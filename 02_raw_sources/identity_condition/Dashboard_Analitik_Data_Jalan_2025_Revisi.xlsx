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https://d.docs.live.net/4bdea6f1a23e4ae8/2. Dokumen Bina Marga/"/>
    </mc:Choice>
  </mc:AlternateContent>
  <xr:revisionPtr revIDLastSave="0" documentId="8_{5FC0851F-D55C-403C-9FA6-5498ADE2805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eferensi" sheetId="1" r:id="rId1"/>
    <sheet name="Data_Analitik" sheetId="2" r:id="rId2"/>
    <sheet name="Dashboard" sheetId="3" r:id="rId3"/>
    <sheet name="Panduan" sheetId="4" r:id="rId4"/>
    <sheet name="Ruas_Per_Kecamatan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3" i="3" l="1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P351" i="2"/>
  <c r="AM351" i="2"/>
  <c r="AK351" i="2"/>
  <c r="AG351" i="2"/>
  <c r="AF351" i="2"/>
  <c r="AJ351" i="2" s="1"/>
  <c r="AA351" i="2"/>
  <c r="Z351" i="2"/>
  <c r="AC351" i="2" s="1"/>
  <c r="AD351" i="2" s="1"/>
  <c r="AE351" i="2" s="1"/>
  <c r="Y351" i="2"/>
  <c r="AI351" i="2" s="1"/>
  <c r="X351" i="2"/>
  <c r="W351" i="2"/>
  <c r="AH351" i="2" s="1"/>
  <c r="AK350" i="2"/>
  <c r="AM350" i="2" s="1"/>
  <c r="AF350" i="2"/>
  <c r="AI350" i="2" s="1"/>
  <c r="AB350" i="2"/>
  <c r="AA350" i="2"/>
  <c r="Z350" i="2"/>
  <c r="AC350" i="2" s="1"/>
  <c r="Y350" i="2"/>
  <c r="X350" i="2"/>
  <c r="W350" i="2"/>
  <c r="AN349" i="2"/>
  <c r="AK349" i="2"/>
  <c r="AM349" i="2" s="1"/>
  <c r="AH349" i="2"/>
  <c r="AG349" i="2"/>
  <c r="AF349" i="2"/>
  <c r="AJ349" i="2" s="1"/>
  <c r="AB349" i="2"/>
  <c r="AA349" i="2"/>
  <c r="Y349" i="2"/>
  <c r="Z349" i="2" s="1"/>
  <c r="AC349" i="2" s="1"/>
  <c r="X349" i="2"/>
  <c r="W349" i="2"/>
  <c r="AN348" i="2"/>
  <c r="AK348" i="2"/>
  <c r="AM348" i="2" s="1"/>
  <c r="AJ348" i="2"/>
  <c r="AH348" i="2"/>
  <c r="AG348" i="2"/>
  <c r="AF348" i="2"/>
  <c r="AB348" i="2"/>
  <c r="AA348" i="2"/>
  <c r="Y348" i="2"/>
  <c r="X348" i="2"/>
  <c r="W348" i="2"/>
  <c r="AO347" i="2"/>
  <c r="AK347" i="2"/>
  <c r="AM347" i="2" s="1"/>
  <c r="AJ347" i="2"/>
  <c r="AF347" i="2"/>
  <c r="AI347" i="2" s="1"/>
  <c r="AA347" i="2"/>
  <c r="Z347" i="2"/>
  <c r="Y347" i="2"/>
  <c r="X347" i="2"/>
  <c r="W347" i="2"/>
  <c r="AK346" i="2"/>
  <c r="AF346" i="2"/>
  <c r="AB346" i="2"/>
  <c r="AA346" i="2"/>
  <c r="Z346" i="2"/>
  <c r="AC346" i="2" s="1"/>
  <c r="Y346" i="2"/>
  <c r="X346" i="2"/>
  <c r="W346" i="2"/>
  <c r="AN345" i="2"/>
  <c r="AK345" i="2"/>
  <c r="AM345" i="2" s="1"/>
  <c r="AH345" i="2"/>
  <c r="AG345" i="2"/>
  <c r="AF345" i="2"/>
  <c r="AJ345" i="2" s="1"/>
  <c r="AA345" i="2"/>
  <c r="Y345" i="2"/>
  <c r="Z345" i="2" s="1"/>
  <c r="AC345" i="2" s="1"/>
  <c r="X345" i="2"/>
  <c r="W345" i="2"/>
  <c r="AN344" i="2"/>
  <c r="AK344" i="2"/>
  <c r="AM344" i="2" s="1"/>
  <c r="AJ344" i="2"/>
  <c r="AH344" i="2"/>
  <c r="AG344" i="2"/>
  <c r="AF344" i="2"/>
  <c r="AB344" i="2"/>
  <c r="AA344" i="2"/>
  <c r="Y344" i="2"/>
  <c r="X344" i="2"/>
  <c r="W344" i="2"/>
  <c r="AO343" i="2"/>
  <c r="AK343" i="2"/>
  <c r="AM343" i="2" s="1"/>
  <c r="AJ343" i="2"/>
  <c r="AF343" i="2"/>
  <c r="AI343" i="2" s="1"/>
  <c r="AD343" i="2"/>
  <c r="AB343" i="2"/>
  <c r="AA343" i="2"/>
  <c r="Z343" i="2"/>
  <c r="AC343" i="2" s="1"/>
  <c r="Y343" i="2"/>
  <c r="X343" i="2"/>
  <c r="W343" i="2"/>
  <c r="AK342" i="2"/>
  <c r="AF342" i="2"/>
  <c r="AB342" i="2"/>
  <c r="AA342" i="2"/>
  <c r="Z342" i="2"/>
  <c r="AC342" i="2" s="1"/>
  <c r="Y342" i="2"/>
  <c r="X342" i="2"/>
  <c r="W342" i="2"/>
  <c r="AN341" i="2"/>
  <c r="AK341" i="2"/>
  <c r="AM341" i="2" s="1"/>
  <c r="AH341" i="2"/>
  <c r="AG341" i="2"/>
  <c r="AF341" i="2"/>
  <c r="AJ341" i="2" s="1"/>
  <c r="AB341" i="2"/>
  <c r="AA341" i="2"/>
  <c r="Y341" i="2"/>
  <c r="Z341" i="2" s="1"/>
  <c r="AC341" i="2" s="1"/>
  <c r="X341" i="2"/>
  <c r="W341" i="2"/>
  <c r="AN340" i="2"/>
  <c r="AK340" i="2"/>
  <c r="AM340" i="2" s="1"/>
  <c r="AJ340" i="2"/>
  <c r="AH340" i="2"/>
  <c r="AG340" i="2"/>
  <c r="AF340" i="2"/>
  <c r="AB340" i="2"/>
  <c r="AA340" i="2"/>
  <c r="Y340" i="2"/>
  <c r="X340" i="2"/>
  <c r="W340" i="2"/>
  <c r="AO339" i="2"/>
  <c r="AK339" i="2"/>
  <c r="AM339" i="2" s="1"/>
  <c r="AJ339" i="2"/>
  <c r="AF339" i="2"/>
  <c r="AI339" i="2" s="1"/>
  <c r="AB339" i="2"/>
  <c r="AA339" i="2"/>
  <c r="Z339" i="2"/>
  <c r="AC339" i="2" s="1"/>
  <c r="AD339" i="2" s="1"/>
  <c r="Y339" i="2"/>
  <c r="X339" i="2"/>
  <c r="W339" i="2"/>
  <c r="AP338" i="2"/>
  <c r="AK338" i="2"/>
  <c r="AF338" i="2"/>
  <c r="AB338" i="2"/>
  <c r="AA338" i="2"/>
  <c r="Z338" i="2"/>
  <c r="AC338" i="2" s="1"/>
  <c r="Y338" i="2"/>
  <c r="X338" i="2"/>
  <c r="W338" i="2"/>
  <c r="AN337" i="2"/>
  <c r="AK337" i="2"/>
  <c r="AM337" i="2" s="1"/>
  <c r="AH337" i="2"/>
  <c r="AG337" i="2"/>
  <c r="AF337" i="2"/>
  <c r="AJ337" i="2" s="1"/>
  <c r="AB337" i="2"/>
  <c r="AA337" i="2"/>
  <c r="Y337" i="2"/>
  <c r="Z337" i="2" s="1"/>
  <c r="AC337" i="2" s="1"/>
  <c r="X337" i="2"/>
  <c r="W337" i="2"/>
  <c r="AN336" i="2"/>
  <c r="AK336" i="2"/>
  <c r="AM336" i="2" s="1"/>
  <c r="AJ336" i="2"/>
  <c r="AH336" i="2"/>
  <c r="AG336" i="2"/>
  <c r="AF336" i="2"/>
  <c r="AA336" i="2"/>
  <c r="Y336" i="2"/>
  <c r="X336" i="2"/>
  <c r="W336" i="2"/>
  <c r="AO335" i="2"/>
  <c r="AK335" i="2"/>
  <c r="AM335" i="2" s="1"/>
  <c r="AJ335" i="2"/>
  <c r="AF335" i="2"/>
  <c r="AI335" i="2" s="1"/>
  <c r="AB335" i="2"/>
  <c r="AA335" i="2"/>
  <c r="Z335" i="2"/>
  <c r="AC335" i="2" s="1"/>
  <c r="AD335" i="2" s="1"/>
  <c r="Y335" i="2"/>
  <c r="X335" i="2"/>
  <c r="W335" i="2"/>
  <c r="AP334" i="2"/>
  <c r="AK334" i="2"/>
  <c r="AF334" i="2"/>
  <c r="AB334" i="2"/>
  <c r="AA334" i="2"/>
  <c r="Z334" i="2"/>
  <c r="AC334" i="2" s="1"/>
  <c r="Y334" i="2"/>
  <c r="X334" i="2"/>
  <c r="W334" i="2"/>
  <c r="AN333" i="2"/>
  <c r="AK333" i="2"/>
  <c r="AM333" i="2" s="1"/>
  <c r="AH333" i="2"/>
  <c r="AG333" i="2"/>
  <c r="AF333" i="2"/>
  <c r="AJ333" i="2" s="1"/>
  <c r="AB333" i="2"/>
  <c r="AA333" i="2"/>
  <c r="Y333" i="2"/>
  <c r="Z333" i="2" s="1"/>
  <c r="AC333" i="2" s="1"/>
  <c r="X333" i="2"/>
  <c r="W333" i="2"/>
  <c r="AN332" i="2"/>
  <c r="AK332" i="2"/>
  <c r="AM332" i="2" s="1"/>
  <c r="AJ332" i="2"/>
  <c r="AH332" i="2"/>
  <c r="AG332" i="2"/>
  <c r="AF332" i="2"/>
  <c r="AA332" i="2"/>
  <c r="Y332" i="2"/>
  <c r="X332" i="2"/>
  <c r="W332" i="2"/>
  <c r="AO331" i="2"/>
  <c r="AK331" i="2"/>
  <c r="AM331" i="2" s="1"/>
  <c r="AJ331" i="2"/>
  <c r="AF331" i="2"/>
  <c r="AI331" i="2" s="1"/>
  <c r="AA331" i="2"/>
  <c r="Z331" i="2"/>
  <c r="Y331" i="2"/>
  <c r="X331" i="2"/>
  <c r="W331" i="2"/>
  <c r="AK330" i="2"/>
  <c r="AF330" i="2"/>
  <c r="AB330" i="2"/>
  <c r="AA330" i="2"/>
  <c r="Z330" i="2"/>
  <c r="AC330" i="2" s="1"/>
  <c r="Y330" i="2"/>
  <c r="X330" i="2"/>
  <c r="W330" i="2"/>
  <c r="AN329" i="2"/>
  <c r="AK329" i="2"/>
  <c r="AM329" i="2" s="1"/>
  <c r="AH329" i="2"/>
  <c r="AG329" i="2"/>
  <c r="AF329" i="2"/>
  <c r="AJ329" i="2" s="1"/>
  <c r="AB329" i="2"/>
  <c r="AA329" i="2"/>
  <c r="Y329" i="2"/>
  <c r="Z329" i="2" s="1"/>
  <c r="AC329" i="2" s="1"/>
  <c r="X329" i="2"/>
  <c r="W329" i="2"/>
  <c r="AN328" i="2"/>
  <c r="AK328" i="2"/>
  <c r="AM328" i="2" s="1"/>
  <c r="AJ328" i="2"/>
  <c r="AH328" i="2"/>
  <c r="AG328" i="2"/>
  <c r="AF328" i="2"/>
  <c r="AB328" i="2"/>
  <c r="AA328" i="2"/>
  <c r="Y328" i="2"/>
  <c r="X328" i="2"/>
  <c r="W328" i="2"/>
  <c r="AO327" i="2"/>
  <c r="AK327" i="2"/>
  <c r="AM327" i="2" s="1"/>
  <c r="AJ327" i="2"/>
  <c r="AF327" i="2"/>
  <c r="AI327" i="2" s="1"/>
  <c r="AA327" i="2"/>
  <c r="Z327" i="2"/>
  <c r="Y327" i="2"/>
  <c r="X327" i="2"/>
  <c r="W327" i="2"/>
  <c r="AK326" i="2"/>
  <c r="AF326" i="2"/>
  <c r="AB326" i="2"/>
  <c r="AA326" i="2"/>
  <c r="Z326" i="2"/>
  <c r="AC326" i="2" s="1"/>
  <c r="Y326" i="2"/>
  <c r="X326" i="2"/>
  <c r="W326" i="2"/>
  <c r="AN325" i="2"/>
  <c r="AK325" i="2"/>
  <c r="AM325" i="2" s="1"/>
  <c r="AH325" i="2"/>
  <c r="AG325" i="2"/>
  <c r="AF325" i="2"/>
  <c r="AJ325" i="2" s="1"/>
  <c r="AB325" i="2"/>
  <c r="AA325" i="2"/>
  <c r="Y325" i="2"/>
  <c r="Z325" i="2" s="1"/>
  <c r="AC325" i="2" s="1"/>
  <c r="X325" i="2"/>
  <c r="W325" i="2"/>
  <c r="AN324" i="2"/>
  <c r="AK324" i="2"/>
  <c r="AM324" i="2" s="1"/>
  <c r="AJ324" i="2"/>
  <c r="AH324" i="2"/>
  <c r="AG324" i="2"/>
  <c r="AF324" i="2"/>
  <c r="AA324" i="2"/>
  <c r="Y324" i="2"/>
  <c r="X324" i="2"/>
  <c r="W324" i="2"/>
  <c r="AO323" i="2"/>
  <c r="AK323" i="2"/>
  <c r="AM323" i="2" s="1"/>
  <c r="AJ323" i="2"/>
  <c r="AF323" i="2"/>
  <c r="AI323" i="2" s="1"/>
  <c r="AA323" i="2"/>
  <c r="Z323" i="2"/>
  <c r="Y323" i="2"/>
  <c r="X323" i="2"/>
  <c r="W323" i="2"/>
  <c r="AP322" i="2"/>
  <c r="AK322" i="2"/>
  <c r="AF322" i="2"/>
  <c r="AB322" i="2"/>
  <c r="AA322" i="2"/>
  <c r="Z322" i="2"/>
  <c r="AC322" i="2" s="1"/>
  <c r="Y322" i="2"/>
  <c r="X322" i="2"/>
  <c r="W322" i="2"/>
  <c r="AN321" i="2"/>
  <c r="AK321" i="2"/>
  <c r="AM321" i="2" s="1"/>
  <c r="AH321" i="2"/>
  <c r="AG321" i="2"/>
  <c r="AF321" i="2"/>
  <c r="AJ321" i="2" s="1"/>
  <c r="AA321" i="2"/>
  <c r="Y321" i="2"/>
  <c r="Z321" i="2" s="1"/>
  <c r="AC321" i="2" s="1"/>
  <c r="X321" i="2"/>
  <c r="W321" i="2"/>
  <c r="AN320" i="2"/>
  <c r="AK320" i="2"/>
  <c r="AM320" i="2" s="1"/>
  <c r="AJ320" i="2"/>
  <c r="AH320" i="2"/>
  <c r="AG320" i="2"/>
  <c r="AF320" i="2"/>
  <c r="AA320" i="2"/>
  <c r="Y320" i="2"/>
  <c r="X320" i="2"/>
  <c r="W320" i="2"/>
  <c r="AO319" i="2"/>
  <c r="AK319" i="2"/>
  <c r="AM319" i="2" s="1"/>
  <c r="AJ319" i="2"/>
  <c r="AF319" i="2"/>
  <c r="AI319" i="2" s="1"/>
  <c r="AA319" i="2"/>
  <c r="Z319" i="2"/>
  <c r="Y319" i="2"/>
  <c r="X319" i="2"/>
  <c r="W319" i="2"/>
  <c r="AK318" i="2"/>
  <c r="AF318" i="2"/>
  <c r="AB318" i="2"/>
  <c r="AA318" i="2"/>
  <c r="Z318" i="2"/>
  <c r="AC318" i="2" s="1"/>
  <c r="Y318" i="2"/>
  <c r="X318" i="2"/>
  <c r="W318" i="2"/>
  <c r="AN317" i="2"/>
  <c r="AK317" i="2"/>
  <c r="AM317" i="2" s="1"/>
  <c r="AH317" i="2"/>
  <c r="AG317" i="2"/>
  <c r="AF317" i="2"/>
  <c r="AJ317" i="2" s="1"/>
  <c r="AB317" i="2"/>
  <c r="AA317" i="2"/>
  <c r="Y317" i="2"/>
  <c r="Z317" i="2" s="1"/>
  <c r="AC317" i="2" s="1"/>
  <c r="X317" i="2"/>
  <c r="W317" i="2"/>
  <c r="AN316" i="2"/>
  <c r="AK316" i="2"/>
  <c r="AM316" i="2" s="1"/>
  <c r="AJ316" i="2"/>
  <c r="AH316" i="2"/>
  <c r="AG316" i="2"/>
  <c r="AF316" i="2"/>
  <c r="AB316" i="2"/>
  <c r="AA316" i="2"/>
  <c r="Y316" i="2"/>
  <c r="X316" i="2"/>
  <c r="W316" i="2"/>
  <c r="AO315" i="2"/>
  <c r="AK315" i="2"/>
  <c r="AM315" i="2" s="1"/>
  <c r="AJ315" i="2"/>
  <c r="AF315" i="2"/>
  <c r="AI315" i="2" s="1"/>
  <c r="AB315" i="2"/>
  <c r="AA315" i="2"/>
  <c r="Z315" i="2"/>
  <c r="AC315" i="2" s="1"/>
  <c r="AD315" i="2" s="1"/>
  <c r="Y315" i="2"/>
  <c r="X315" i="2"/>
  <c r="W315" i="2"/>
  <c r="AP314" i="2"/>
  <c r="AK314" i="2"/>
  <c r="AF314" i="2"/>
  <c r="AB314" i="2"/>
  <c r="AA314" i="2"/>
  <c r="Z314" i="2"/>
  <c r="AC314" i="2" s="1"/>
  <c r="Y314" i="2"/>
  <c r="X314" i="2"/>
  <c r="W314" i="2"/>
  <c r="AN313" i="2"/>
  <c r="AK313" i="2"/>
  <c r="AM313" i="2" s="1"/>
  <c r="AH313" i="2"/>
  <c r="AG313" i="2"/>
  <c r="AF313" i="2"/>
  <c r="AJ313" i="2" s="1"/>
  <c r="AB313" i="2"/>
  <c r="AA313" i="2"/>
  <c r="Y313" i="2"/>
  <c r="Z313" i="2" s="1"/>
  <c r="AC313" i="2" s="1"/>
  <c r="X313" i="2"/>
  <c r="W313" i="2"/>
  <c r="AN312" i="2"/>
  <c r="AK312" i="2"/>
  <c r="AM312" i="2" s="1"/>
  <c r="AJ312" i="2"/>
  <c r="AH312" i="2"/>
  <c r="AG312" i="2"/>
  <c r="AF312" i="2"/>
  <c r="AB312" i="2"/>
  <c r="AA312" i="2"/>
  <c r="Y312" i="2"/>
  <c r="X312" i="2"/>
  <c r="W312" i="2"/>
  <c r="AO311" i="2"/>
  <c r="AK311" i="2"/>
  <c r="AM311" i="2" s="1"/>
  <c r="AJ311" i="2"/>
  <c r="AF311" i="2"/>
  <c r="AI311" i="2" s="1"/>
  <c r="AA311" i="2"/>
  <c r="Z311" i="2"/>
  <c r="Y311" i="2"/>
  <c r="X311" i="2"/>
  <c r="W311" i="2"/>
  <c r="AP310" i="2"/>
  <c r="AK310" i="2"/>
  <c r="AF310" i="2"/>
  <c r="AB310" i="2"/>
  <c r="AA310" i="2"/>
  <c r="Z310" i="2"/>
  <c r="AC310" i="2" s="1"/>
  <c r="Y310" i="2"/>
  <c r="X310" i="2"/>
  <c r="W310" i="2"/>
  <c r="AN309" i="2"/>
  <c r="AK309" i="2"/>
  <c r="AM309" i="2" s="1"/>
  <c r="AH309" i="2"/>
  <c r="AG309" i="2"/>
  <c r="AF309" i="2"/>
  <c r="AJ309" i="2" s="1"/>
  <c r="AB309" i="2"/>
  <c r="AA309" i="2"/>
  <c r="Y309" i="2"/>
  <c r="Z309" i="2" s="1"/>
  <c r="AC309" i="2" s="1"/>
  <c r="X309" i="2"/>
  <c r="W309" i="2"/>
  <c r="AN308" i="2"/>
  <c r="AK308" i="2"/>
  <c r="AM308" i="2" s="1"/>
  <c r="AJ308" i="2"/>
  <c r="AH308" i="2"/>
  <c r="AG308" i="2"/>
  <c r="AF308" i="2"/>
  <c r="AA308" i="2"/>
  <c r="Y308" i="2"/>
  <c r="X308" i="2"/>
  <c r="W308" i="2"/>
  <c r="AO307" i="2"/>
  <c r="AK307" i="2"/>
  <c r="AM307" i="2" s="1"/>
  <c r="AJ307" i="2"/>
  <c r="AF307" i="2"/>
  <c r="AI307" i="2" s="1"/>
  <c r="AB307" i="2"/>
  <c r="AA307" i="2"/>
  <c r="Z307" i="2"/>
  <c r="AC307" i="2" s="1"/>
  <c r="AD307" i="2" s="1"/>
  <c r="Y307" i="2"/>
  <c r="X307" i="2"/>
  <c r="W307" i="2"/>
  <c r="AP306" i="2"/>
  <c r="AK306" i="2"/>
  <c r="AF306" i="2"/>
  <c r="AB306" i="2"/>
  <c r="AA306" i="2"/>
  <c r="Z306" i="2"/>
  <c r="AC306" i="2" s="1"/>
  <c r="Y306" i="2"/>
  <c r="X306" i="2"/>
  <c r="W306" i="2"/>
  <c r="AN305" i="2"/>
  <c r="AK305" i="2"/>
  <c r="AM305" i="2" s="1"/>
  <c r="AH305" i="2"/>
  <c r="AG305" i="2"/>
  <c r="AF305" i="2"/>
  <c r="AJ305" i="2" s="1"/>
  <c r="AA305" i="2"/>
  <c r="Y305" i="2"/>
  <c r="Z305" i="2" s="1"/>
  <c r="AC305" i="2" s="1"/>
  <c r="X305" i="2"/>
  <c r="W305" i="2"/>
  <c r="AN304" i="2"/>
  <c r="AK304" i="2"/>
  <c r="AM304" i="2" s="1"/>
  <c r="AJ304" i="2"/>
  <c r="AH304" i="2"/>
  <c r="AG304" i="2"/>
  <c r="AF304" i="2"/>
  <c r="AA304" i="2"/>
  <c r="Y304" i="2"/>
  <c r="X304" i="2"/>
  <c r="W304" i="2"/>
  <c r="AO303" i="2"/>
  <c r="AK303" i="2"/>
  <c r="AM303" i="2" s="1"/>
  <c r="AJ303" i="2"/>
  <c r="AF303" i="2"/>
  <c r="AI303" i="2" s="1"/>
  <c r="AB303" i="2"/>
  <c r="AA303" i="2"/>
  <c r="Z303" i="2"/>
  <c r="AC303" i="2" s="1"/>
  <c r="AD303" i="2" s="1"/>
  <c r="Y303" i="2"/>
  <c r="X303" i="2"/>
  <c r="W303" i="2"/>
  <c r="AP302" i="2"/>
  <c r="AK302" i="2"/>
  <c r="AF302" i="2"/>
  <c r="AB302" i="2"/>
  <c r="AA302" i="2"/>
  <c r="Z302" i="2"/>
  <c r="AC302" i="2" s="1"/>
  <c r="Y302" i="2"/>
  <c r="X302" i="2"/>
  <c r="W302" i="2"/>
  <c r="AN301" i="2"/>
  <c r="AK301" i="2"/>
  <c r="AM301" i="2" s="1"/>
  <c r="AH301" i="2"/>
  <c r="AG301" i="2"/>
  <c r="AF301" i="2"/>
  <c r="AJ301" i="2" s="1"/>
  <c r="AB301" i="2"/>
  <c r="AA301" i="2"/>
  <c r="Y301" i="2"/>
  <c r="Z301" i="2" s="1"/>
  <c r="AC301" i="2" s="1"/>
  <c r="X301" i="2"/>
  <c r="W301" i="2"/>
  <c r="AN300" i="2"/>
  <c r="AK300" i="2"/>
  <c r="AM300" i="2" s="1"/>
  <c r="AJ300" i="2"/>
  <c r="AH300" i="2"/>
  <c r="AG300" i="2"/>
  <c r="AF300" i="2"/>
  <c r="AB300" i="2"/>
  <c r="AA300" i="2"/>
  <c r="Y300" i="2"/>
  <c r="X300" i="2"/>
  <c r="W300" i="2"/>
  <c r="AO299" i="2"/>
  <c r="AK299" i="2"/>
  <c r="AM299" i="2" s="1"/>
  <c r="AJ299" i="2"/>
  <c r="AF299" i="2"/>
  <c r="AI299" i="2" s="1"/>
  <c r="AA299" i="2"/>
  <c r="Z299" i="2"/>
  <c r="Y299" i="2"/>
  <c r="X299" i="2"/>
  <c r="W299" i="2"/>
  <c r="AP298" i="2"/>
  <c r="AK298" i="2"/>
  <c r="AF298" i="2"/>
  <c r="AB298" i="2"/>
  <c r="AA298" i="2"/>
  <c r="Z298" i="2"/>
  <c r="AC298" i="2" s="1"/>
  <c r="Y298" i="2"/>
  <c r="X298" i="2"/>
  <c r="W298" i="2"/>
  <c r="AN297" i="2"/>
  <c r="AK297" i="2"/>
  <c r="AM297" i="2" s="1"/>
  <c r="AH297" i="2"/>
  <c r="AG297" i="2"/>
  <c r="AF297" i="2"/>
  <c r="AJ297" i="2" s="1"/>
  <c r="AA297" i="2"/>
  <c r="Y297" i="2"/>
  <c r="Z297" i="2" s="1"/>
  <c r="AC297" i="2" s="1"/>
  <c r="X297" i="2"/>
  <c r="W297" i="2"/>
  <c r="AN296" i="2"/>
  <c r="AK296" i="2"/>
  <c r="AM296" i="2" s="1"/>
  <c r="AJ296" i="2"/>
  <c r="AH296" i="2"/>
  <c r="AG296" i="2"/>
  <c r="AF296" i="2"/>
  <c r="AA296" i="2"/>
  <c r="Y296" i="2"/>
  <c r="X296" i="2"/>
  <c r="W296" i="2"/>
  <c r="AO295" i="2"/>
  <c r="AK295" i="2"/>
  <c r="AM295" i="2" s="1"/>
  <c r="AJ295" i="2"/>
  <c r="AF295" i="2"/>
  <c r="AI295" i="2" s="1"/>
  <c r="AA295" i="2"/>
  <c r="Z295" i="2"/>
  <c r="Y295" i="2"/>
  <c r="X295" i="2"/>
  <c r="W295" i="2"/>
  <c r="AK294" i="2"/>
  <c r="AF294" i="2"/>
  <c r="AB294" i="2"/>
  <c r="AA294" i="2"/>
  <c r="Z294" i="2"/>
  <c r="AC294" i="2" s="1"/>
  <c r="Y294" i="2"/>
  <c r="X294" i="2"/>
  <c r="W294" i="2"/>
  <c r="AN293" i="2"/>
  <c r="AK293" i="2"/>
  <c r="AM293" i="2" s="1"/>
  <c r="AH293" i="2"/>
  <c r="AG293" i="2"/>
  <c r="AF293" i="2"/>
  <c r="AJ293" i="2" s="1"/>
  <c r="AB293" i="2"/>
  <c r="AA293" i="2"/>
  <c r="Y293" i="2"/>
  <c r="Z293" i="2" s="1"/>
  <c r="AC293" i="2" s="1"/>
  <c r="X293" i="2"/>
  <c r="W293" i="2"/>
  <c r="AN292" i="2"/>
  <c r="AK292" i="2"/>
  <c r="AM292" i="2" s="1"/>
  <c r="AH292" i="2"/>
  <c r="AF292" i="2"/>
  <c r="AI292" i="2" s="1"/>
  <c r="AA292" i="2"/>
  <c r="Y292" i="2"/>
  <c r="X292" i="2"/>
  <c r="W292" i="2"/>
  <c r="AO291" i="2"/>
  <c r="AK291" i="2"/>
  <c r="AM291" i="2" s="1"/>
  <c r="AJ291" i="2"/>
  <c r="AG291" i="2"/>
  <c r="AF291" i="2"/>
  <c r="AI291" i="2" s="1"/>
  <c r="AD291" i="2"/>
  <c r="AE291" i="2" s="1"/>
  <c r="AB291" i="2"/>
  <c r="AA291" i="2"/>
  <c r="Z291" i="2"/>
  <c r="AC291" i="2" s="1"/>
  <c r="Y291" i="2"/>
  <c r="X291" i="2"/>
  <c r="W291" i="2"/>
  <c r="AN290" i="2"/>
  <c r="AK290" i="2"/>
  <c r="AH290" i="2"/>
  <c r="AF290" i="2"/>
  <c r="AC290" i="2"/>
  <c r="AB290" i="2"/>
  <c r="AA290" i="2"/>
  <c r="Y290" i="2"/>
  <c r="Z290" i="2" s="1"/>
  <c r="X290" i="2"/>
  <c r="W290" i="2"/>
  <c r="AO289" i="2"/>
  <c r="AN289" i="2"/>
  <c r="AK289" i="2"/>
  <c r="AM289" i="2" s="1"/>
  <c r="AJ289" i="2"/>
  <c r="AH289" i="2"/>
  <c r="AG289" i="2"/>
  <c r="AF289" i="2"/>
  <c r="AD289" i="2"/>
  <c r="AB289" i="2"/>
  <c r="AA289" i="2"/>
  <c r="Z289" i="2"/>
  <c r="AC289" i="2" s="1"/>
  <c r="Y289" i="2"/>
  <c r="X289" i="2"/>
  <c r="W289" i="2"/>
  <c r="AP288" i="2"/>
  <c r="AN288" i="2"/>
  <c r="AK288" i="2"/>
  <c r="AH288" i="2"/>
  <c r="AF288" i="2"/>
  <c r="AC288" i="2"/>
  <c r="AB288" i="2"/>
  <c r="AA288" i="2"/>
  <c r="Y288" i="2"/>
  <c r="Z288" i="2" s="1"/>
  <c r="X288" i="2"/>
  <c r="W288" i="2"/>
  <c r="AO287" i="2"/>
  <c r="AK287" i="2"/>
  <c r="AM287" i="2" s="1"/>
  <c r="AJ287" i="2"/>
  <c r="AG287" i="2"/>
  <c r="AF287" i="2"/>
  <c r="AI287" i="2" s="1"/>
  <c r="AD287" i="2"/>
  <c r="AE287" i="2" s="1"/>
  <c r="AA287" i="2"/>
  <c r="Z287" i="2"/>
  <c r="AC287" i="2" s="1"/>
  <c r="Y287" i="2"/>
  <c r="X287" i="2"/>
  <c r="W287" i="2"/>
  <c r="AP286" i="2"/>
  <c r="AN286" i="2"/>
  <c r="AK286" i="2"/>
  <c r="AH286" i="2"/>
  <c r="AF286" i="2"/>
  <c r="AA286" i="2"/>
  <c r="Y286" i="2"/>
  <c r="Z286" i="2" s="1"/>
  <c r="AB286" i="2" s="1"/>
  <c r="X286" i="2"/>
  <c r="W286" i="2"/>
  <c r="AO285" i="2"/>
  <c r="AN285" i="2"/>
  <c r="AK285" i="2"/>
  <c r="AM285" i="2" s="1"/>
  <c r="AJ285" i="2"/>
  <c r="AH285" i="2"/>
  <c r="AG285" i="2"/>
  <c r="AF285" i="2"/>
  <c r="AB285" i="2"/>
  <c r="AA285" i="2"/>
  <c r="Z285" i="2"/>
  <c r="AC285" i="2" s="1"/>
  <c r="AD285" i="2" s="1"/>
  <c r="Y285" i="2"/>
  <c r="X285" i="2"/>
  <c r="W285" i="2"/>
  <c r="AK284" i="2"/>
  <c r="AP284" i="2" s="1"/>
  <c r="AF284" i="2"/>
  <c r="AA284" i="2"/>
  <c r="Y284" i="2"/>
  <c r="Z284" i="2" s="1"/>
  <c r="AB284" i="2" s="1"/>
  <c r="X284" i="2"/>
  <c r="W284" i="2"/>
  <c r="AO283" i="2"/>
  <c r="AK283" i="2"/>
  <c r="AM283" i="2" s="1"/>
  <c r="AJ283" i="2"/>
  <c r="AG283" i="2"/>
  <c r="AF283" i="2"/>
  <c r="AI283" i="2" s="1"/>
  <c r="AD283" i="2"/>
  <c r="AB283" i="2"/>
  <c r="AA283" i="2"/>
  <c r="Z283" i="2"/>
  <c r="AC283" i="2" s="1"/>
  <c r="Y283" i="2"/>
  <c r="X283" i="2"/>
  <c r="W283" i="2"/>
  <c r="AP282" i="2"/>
  <c r="AN282" i="2"/>
  <c r="AK282" i="2"/>
  <c r="AH282" i="2"/>
  <c r="AF282" i="2"/>
  <c r="AA282" i="2"/>
  <c r="Y282" i="2"/>
  <c r="Z282" i="2" s="1"/>
  <c r="AB282" i="2" s="1"/>
  <c r="X282" i="2"/>
  <c r="W282" i="2"/>
  <c r="AO281" i="2"/>
  <c r="AN281" i="2"/>
  <c r="AK281" i="2"/>
  <c r="AM281" i="2" s="1"/>
  <c r="AJ281" i="2"/>
  <c r="AH281" i="2"/>
  <c r="AG281" i="2"/>
  <c r="AF281" i="2"/>
  <c r="AB281" i="2"/>
  <c r="AA281" i="2"/>
  <c r="Z281" i="2"/>
  <c r="AC281" i="2" s="1"/>
  <c r="AD281" i="2" s="1"/>
  <c r="Y281" i="2"/>
  <c r="X281" i="2"/>
  <c r="W281" i="2"/>
  <c r="AK280" i="2"/>
  <c r="AP280" i="2" s="1"/>
  <c r="AF280" i="2"/>
  <c r="AA280" i="2"/>
  <c r="Y280" i="2"/>
  <c r="Z280" i="2" s="1"/>
  <c r="AB280" i="2" s="1"/>
  <c r="X280" i="2"/>
  <c r="W280" i="2"/>
  <c r="AO279" i="2"/>
  <c r="AK279" i="2"/>
  <c r="AM279" i="2" s="1"/>
  <c r="AJ279" i="2"/>
  <c r="AG279" i="2"/>
  <c r="AF279" i="2"/>
  <c r="AI279" i="2" s="1"/>
  <c r="AD279" i="2"/>
  <c r="AB279" i="2"/>
  <c r="AA279" i="2"/>
  <c r="Z279" i="2"/>
  <c r="AC279" i="2" s="1"/>
  <c r="Y279" i="2"/>
  <c r="X279" i="2"/>
  <c r="W279" i="2"/>
  <c r="AP278" i="2"/>
  <c r="AN278" i="2"/>
  <c r="AK278" i="2"/>
  <c r="AH278" i="2"/>
  <c r="AF278" i="2"/>
  <c r="AA278" i="2"/>
  <c r="Y278" i="2"/>
  <c r="Z278" i="2" s="1"/>
  <c r="AB278" i="2" s="1"/>
  <c r="X278" i="2"/>
  <c r="W278" i="2"/>
  <c r="AO277" i="2"/>
  <c r="AN277" i="2"/>
  <c r="AK277" i="2"/>
  <c r="AM277" i="2" s="1"/>
  <c r="AJ277" i="2"/>
  <c r="AH277" i="2"/>
  <c r="AG277" i="2"/>
  <c r="AF277" i="2"/>
  <c r="AB277" i="2"/>
  <c r="AA277" i="2"/>
  <c r="Z277" i="2"/>
  <c r="AC277" i="2" s="1"/>
  <c r="AD277" i="2" s="1"/>
  <c r="Y277" i="2"/>
  <c r="X277" i="2"/>
  <c r="W277" i="2"/>
  <c r="AK276" i="2"/>
  <c r="AP276" i="2" s="1"/>
  <c r="AF276" i="2"/>
  <c r="AA276" i="2"/>
  <c r="Y276" i="2"/>
  <c r="Z276" i="2" s="1"/>
  <c r="AB276" i="2" s="1"/>
  <c r="X276" i="2"/>
  <c r="W276" i="2"/>
  <c r="AO275" i="2"/>
  <c r="AK275" i="2"/>
  <c r="AM275" i="2" s="1"/>
  <c r="AJ275" i="2"/>
  <c r="AG275" i="2"/>
  <c r="AF275" i="2"/>
  <c r="AI275" i="2" s="1"/>
  <c r="AD275" i="2"/>
  <c r="AA275" i="2"/>
  <c r="Z275" i="2"/>
  <c r="AC275" i="2" s="1"/>
  <c r="Y275" i="2"/>
  <c r="X275" i="2"/>
  <c r="W275" i="2"/>
  <c r="AP274" i="2"/>
  <c r="AN274" i="2"/>
  <c r="AK274" i="2"/>
  <c r="AH274" i="2"/>
  <c r="AF274" i="2"/>
  <c r="AA274" i="2"/>
  <c r="Y274" i="2"/>
  <c r="Z274" i="2" s="1"/>
  <c r="AB274" i="2" s="1"/>
  <c r="X274" i="2"/>
  <c r="W274" i="2"/>
  <c r="AO273" i="2"/>
  <c r="AN273" i="2"/>
  <c r="AK273" i="2"/>
  <c r="AM273" i="2" s="1"/>
  <c r="AJ273" i="2"/>
  <c r="AH273" i="2"/>
  <c r="AG273" i="2"/>
  <c r="AF273" i="2"/>
  <c r="AB273" i="2"/>
  <c r="AA273" i="2"/>
  <c r="Z273" i="2"/>
  <c r="AC273" i="2" s="1"/>
  <c r="AD273" i="2" s="1"/>
  <c r="Y273" i="2"/>
  <c r="X273" i="2"/>
  <c r="W273" i="2"/>
  <c r="AK272" i="2"/>
  <c r="AP272" i="2" s="1"/>
  <c r="AF272" i="2"/>
  <c r="AA272" i="2"/>
  <c r="Y272" i="2"/>
  <c r="Z272" i="2" s="1"/>
  <c r="AB272" i="2" s="1"/>
  <c r="X272" i="2"/>
  <c r="W272" i="2"/>
  <c r="AO271" i="2"/>
  <c r="AK271" i="2"/>
  <c r="AM271" i="2" s="1"/>
  <c r="AJ271" i="2"/>
  <c r="AG271" i="2"/>
  <c r="AF271" i="2"/>
  <c r="AI271" i="2" s="1"/>
  <c r="AD271" i="2"/>
  <c r="AE271" i="2" s="1"/>
  <c r="AA271" i="2"/>
  <c r="Z271" i="2"/>
  <c r="AC271" i="2" s="1"/>
  <c r="Y271" i="2"/>
  <c r="X271" i="2"/>
  <c r="W271" i="2"/>
  <c r="AP270" i="2"/>
  <c r="AN270" i="2"/>
  <c r="AK270" i="2"/>
  <c r="AH270" i="2"/>
  <c r="AF270" i="2"/>
  <c r="AC270" i="2"/>
  <c r="AB270" i="2"/>
  <c r="AA270" i="2"/>
  <c r="Y270" i="2"/>
  <c r="Z270" i="2" s="1"/>
  <c r="X270" i="2"/>
  <c r="W270" i="2"/>
  <c r="AO269" i="2"/>
  <c r="AN269" i="2"/>
  <c r="AK269" i="2"/>
  <c r="AM269" i="2" s="1"/>
  <c r="AJ269" i="2"/>
  <c r="AH269" i="2"/>
  <c r="AG269" i="2"/>
  <c r="AF269" i="2"/>
  <c r="AD269" i="2"/>
  <c r="AE269" i="2" s="1"/>
  <c r="AB269" i="2"/>
  <c r="AA269" i="2"/>
  <c r="Z269" i="2"/>
  <c r="AC269" i="2" s="1"/>
  <c r="Y269" i="2"/>
  <c r="X269" i="2"/>
  <c r="W269" i="2"/>
  <c r="AN268" i="2"/>
  <c r="AK268" i="2"/>
  <c r="AH268" i="2"/>
  <c r="AF268" i="2"/>
  <c r="AC268" i="2"/>
  <c r="AA268" i="2"/>
  <c r="Y268" i="2"/>
  <c r="Z268" i="2" s="1"/>
  <c r="AB268" i="2" s="1"/>
  <c r="X268" i="2"/>
  <c r="W268" i="2"/>
  <c r="AO267" i="2"/>
  <c r="AK267" i="2"/>
  <c r="AM267" i="2" s="1"/>
  <c r="AJ267" i="2"/>
  <c r="AG267" i="2"/>
  <c r="AF267" i="2"/>
  <c r="AI267" i="2" s="1"/>
  <c r="AB267" i="2"/>
  <c r="AA267" i="2"/>
  <c r="Z267" i="2"/>
  <c r="AC267" i="2" s="1"/>
  <c r="AD267" i="2" s="1"/>
  <c r="Y267" i="2"/>
  <c r="X267" i="2"/>
  <c r="W267" i="2"/>
  <c r="AK266" i="2"/>
  <c r="AP266" i="2" s="1"/>
  <c r="AF266" i="2"/>
  <c r="AB266" i="2"/>
  <c r="AA266" i="2"/>
  <c r="Y266" i="2"/>
  <c r="Z266" i="2" s="1"/>
  <c r="AC266" i="2" s="1"/>
  <c r="X266" i="2"/>
  <c r="W266" i="2"/>
  <c r="AO265" i="2"/>
  <c r="AN265" i="2"/>
  <c r="AK265" i="2"/>
  <c r="AM265" i="2" s="1"/>
  <c r="AJ265" i="2"/>
  <c r="AH265" i="2"/>
  <c r="AG265" i="2"/>
  <c r="AF265" i="2"/>
  <c r="AB265" i="2"/>
  <c r="AA265" i="2"/>
  <c r="Z265" i="2"/>
  <c r="AC265" i="2" s="1"/>
  <c r="AD265" i="2" s="1"/>
  <c r="Y265" i="2"/>
  <c r="X265" i="2"/>
  <c r="W265" i="2"/>
  <c r="AP264" i="2"/>
  <c r="AK264" i="2"/>
  <c r="AF264" i="2"/>
  <c r="AB264" i="2"/>
  <c r="AA264" i="2"/>
  <c r="Y264" i="2"/>
  <c r="Z264" i="2" s="1"/>
  <c r="AC264" i="2" s="1"/>
  <c r="X264" i="2"/>
  <c r="W264" i="2"/>
  <c r="AO263" i="2"/>
  <c r="AK263" i="2"/>
  <c r="AM263" i="2" s="1"/>
  <c r="AJ263" i="2"/>
  <c r="AG263" i="2"/>
  <c r="AF263" i="2"/>
  <c r="AI263" i="2" s="1"/>
  <c r="AB263" i="2"/>
  <c r="AA263" i="2"/>
  <c r="Z263" i="2"/>
  <c r="AC263" i="2" s="1"/>
  <c r="AD263" i="2" s="1"/>
  <c r="Y263" i="2"/>
  <c r="X263" i="2"/>
  <c r="W263" i="2"/>
  <c r="AP262" i="2"/>
  <c r="AK262" i="2"/>
  <c r="AF262" i="2"/>
  <c r="AB262" i="2"/>
  <c r="AA262" i="2"/>
  <c r="Y262" i="2"/>
  <c r="Z262" i="2" s="1"/>
  <c r="AC262" i="2" s="1"/>
  <c r="X262" i="2"/>
  <c r="W262" i="2"/>
  <c r="AO261" i="2"/>
  <c r="AN261" i="2"/>
  <c r="AK261" i="2"/>
  <c r="AM261" i="2" s="1"/>
  <c r="AJ261" i="2"/>
  <c r="AH261" i="2"/>
  <c r="AG261" i="2"/>
  <c r="AF261" i="2"/>
  <c r="AB261" i="2"/>
  <c r="AA261" i="2"/>
  <c r="Z261" i="2"/>
  <c r="AC261" i="2" s="1"/>
  <c r="AD261" i="2" s="1"/>
  <c r="Y261" i="2"/>
  <c r="X261" i="2"/>
  <c r="W261" i="2"/>
  <c r="AK260" i="2"/>
  <c r="AP260" i="2" s="1"/>
  <c r="AF260" i="2"/>
  <c r="AA260" i="2"/>
  <c r="Y260" i="2"/>
  <c r="Z260" i="2" s="1"/>
  <c r="AB260" i="2" s="1"/>
  <c r="X260" i="2"/>
  <c r="W260" i="2"/>
  <c r="AO259" i="2"/>
  <c r="AK259" i="2"/>
  <c r="AM259" i="2" s="1"/>
  <c r="AJ259" i="2"/>
  <c r="AG259" i="2"/>
  <c r="AF259" i="2"/>
  <c r="AI259" i="2" s="1"/>
  <c r="AD259" i="2"/>
  <c r="AA259" i="2"/>
  <c r="Z259" i="2"/>
  <c r="AC259" i="2" s="1"/>
  <c r="Y259" i="2"/>
  <c r="X259" i="2"/>
  <c r="W259" i="2"/>
  <c r="AP258" i="2"/>
  <c r="AN258" i="2"/>
  <c r="AK258" i="2"/>
  <c r="AH258" i="2"/>
  <c r="AF258" i="2"/>
  <c r="AC258" i="2"/>
  <c r="AB258" i="2"/>
  <c r="AA258" i="2"/>
  <c r="Y258" i="2"/>
  <c r="Z258" i="2" s="1"/>
  <c r="X258" i="2"/>
  <c r="W258" i="2"/>
  <c r="AO257" i="2"/>
  <c r="AN257" i="2"/>
  <c r="AK257" i="2"/>
  <c r="AM257" i="2" s="1"/>
  <c r="AJ257" i="2"/>
  <c r="AH257" i="2"/>
  <c r="AG257" i="2"/>
  <c r="AF257" i="2"/>
  <c r="AD257" i="2"/>
  <c r="AB257" i="2"/>
  <c r="AA257" i="2"/>
  <c r="Z257" i="2"/>
  <c r="AC257" i="2" s="1"/>
  <c r="Y257" i="2"/>
  <c r="X257" i="2"/>
  <c r="W257" i="2"/>
  <c r="AN256" i="2"/>
  <c r="AK256" i="2"/>
  <c r="AH256" i="2"/>
  <c r="AF256" i="2"/>
  <c r="AC256" i="2"/>
  <c r="AB256" i="2"/>
  <c r="AA256" i="2"/>
  <c r="Y256" i="2"/>
  <c r="Z256" i="2" s="1"/>
  <c r="X256" i="2"/>
  <c r="W256" i="2"/>
  <c r="AO255" i="2"/>
  <c r="AK255" i="2"/>
  <c r="AM255" i="2" s="1"/>
  <c r="AJ255" i="2"/>
  <c r="AG255" i="2"/>
  <c r="AF255" i="2"/>
  <c r="AI255" i="2" s="1"/>
  <c r="AD255" i="2"/>
  <c r="AB255" i="2"/>
  <c r="AA255" i="2"/>
  <c r="Z255" i="2"/>
  <c r="AC255" i="2" s="1"/>
  <c r="Y255" i="2"/>
  <c r="X255" i="2"/>
  <c r="W255" i="2"/>
  <c r="AN254" i="2"/>
  <c r="AK254" i="2"/>
  <c r="AH254" i="2"/>
  <c r="AF254" i="2"/>
  <c r="AC254" i="2"/>
  <c r="AB254" i="2"/>
  <c r="AA254" i="2"/>
  <c r="Y254" i="2"/>
  <c r="Z254" i="2" s="1"/>
  <c r="X254" i="2"/>
  <c r="W254" i="2"/>
  <c r="AO253" i="2"/>
  <c r="AN253" i="2"/>
  <c r="AK253" i="2"/>
  <c r="AM253" i="2" s="1"/>
  <c r="AJ253" i="2"/>
  <c r="AH253" i="2"/>
  <c r="AG253" i="2"/>
  <c r="AF253" i="2"/>
  <c r="AD253" i="2"/>
  <c r="AE253" i="2" s="1"/>
  <c r="AA253" i="2"/>
  <c r="Z253" i="2"/>
  <c r="AC253" i="2" s="1"/>
  <c r="Y253" i="2"/>
  <c r="X253" i="2"/>
  <c r="W253" i="2"/>
  <c r="AP252" i="2"/>
  <c r="AN252" i="2"/>
  <c r="AK252" i="2"/>
  <c r="AH252" i="2"/>
  <c r="AF252" i="2"/>
  <c r="AA252" i="2"/>
  <c r="Y252" i="2"/>
  <c r="Z252" i="2" s="1"/>
  <c r="AB252" i="2" s="1"/>
  <c r="X252" i="2"/>
  <c r="W252" i="2"/>
  <c r="AO251" i="2"/>
  <c r="AK251" i="2"/>
  <c r="AM251" i="2" s="1"/>
  <c r="AJ251" i="2"/>
  <c r="AG251" i="2"/>
  <c r="AF251" i="2"/>
  <c r="AI251" i="2" s="1"/>
  <c r="AA251" i="2"/>
  <c r="Z251" i="2"/>
  <c r="AC251" i="2" s="1"/>
  <c r="AD251" i="2" s="1"/>
  <c r="Y251" i="2"/>
  <c r="X251" i="2"/>
  <c r="W251" i="2"/>
  <c r="AP250" i="2"/>
  <c r="AK250" i="2"/>
  <c r="AF250" i="2"/>
  <c r="AB250" i="2"/>
  <c r="AA250" i="2"/>
  <c r="Y250" i="2"/>
  <c r="Z250" i="2" s="1"/>
  <c r="AC250" i="2" s="1"/>
  <c r="X250" i="2"/>
  <c r="W250" i="2"/>
  <c r="AO249" i="2"/>
  <c r="AN249" i="2"/>
  <c r="AK249" i="2"/>
  <c r="AM249" i="2" s="1"/>
  <c r="AJ249" i="2"/>
  <c r="AH249" i="2"/>
  <c r="AG249" i="2"/>
  <c r="AF249" i="2"/>
  <c r="AB249" i="2"/>
  <c r="AA249" i="2"/>
  <c r="Z249" i="2"/>
  <c r="AC249" i="2" s="1"/>
  <c r="AD249" i="2" s="1"/>
  <c r="Y249" i="2"/>
  <c r="X249" i="2"/>
  <c r="W249" i="2"/>
  <c r="AK248" i="2"/>
  <c r="AP248" i="2" s="1"/>
  <c r="AF248" i="2"/>
  <c r="AA248" i="2"/>
  <c r="Y248" i="2"/>
  <c r="Z248" i="2" s="1"/>
  <c r="AB248" i="2" s="1"/>
  <c r="X248" i="2"/>
  <c r="W248" i="2"/>
  <c r="AO247" i="2"/>
  <c r="AK247" i="2"/>
  <c r="AM247" i="2" s="1"/>
  <c r="AJ247" i="2"/>
  <c r="AG247" i="2"/>
  <c r="AF247" i="2"/>
  <c r="AI247" i="2" s="1"/>
  <c r="AD247" i="2"/>
  <c r="AE247" i="2" s="1"/>
  <c r="AA247" i="2"/>
  <c r="Z247" i="2"/>
  <c r="AC247" i="2" s="1"/>
  <c r="Y247" i="2"/>
  <c r="X247" i="2"/>
  <c r="W247" i="2"/>
  <c r="AP246" i="2"/>
  <c r="AN246" i="2"/>
  <c r="AK246" i="2"/>
  <c r="AH246" i="2"/>
  <c r="AF246" i="2"/>
  <c r="AC246" i="2"/>
  <c r="AB246" i="2"/>
  <c r="AA246" i="2"/>
  <c r="Y246" i="2"/>
  <c r="Z246" i="2" s="1"/>
  <c r="X246" i="2"/>
  <c r="W246" i="2"/>
  <c r="AO245" i="2"/>
  <c r="AN245" i="2"/>
  <c r="AK245" i="2"/>
  <c r="AM245" i="2" s="1"/>
  <c r="AJ245" i="2"/>
  <c r="AH245" i="2"/>
  <c r="AG245" i="2"/>
  <c r="AF245" i="2"/>
  <c r="AD245" i="2"/>
  <c r="AE245" i="2" s="1"/>
  <c r="AB245" i="2"/>
  <c r="AA245" i="2"/>
  <c r="Z245" i="2"/>
  <c r="AC245" i="2" s="1"/>
  <c r="Y245" i="2"/>
  <c r="X245" i="2"/>
  <c r="W245" i="2"/>
  <c r="AN244" i="2"/>
  <c r="AK244" i="2"/>
  <c r="AH244" i="2"/>
  <c r="AF244" i="2"/>
  <c r="AC244" i="2"/>
  <c r="AA244" i="2"/>
  <c r="Y244" i="2"/>
  <c r="Z244" i="2" s="1"/>
  <c r="AB244" i="2" s="1"/>
  <c r="X244" i="2"/>
  <c r="W244" i="2"/>
  <c r="AO243" i="2"/>
  <c r="AK243" i="2"/>
  <c r="AM243" i="2" s="1"/>
  <c r="AJ243" i="2"/>
  <c r="AG243" i="2"/>
  <c r="AF243" i="2"/>
  <c r="AI243" i="2" s="1"/>
  <c r="AB243" i="2"/>
  <c r="AA243" i="2"/>
  <c r="Z243" i="2"/>
  <c r="AC243" i="2" s="1"/>
  <c r="AD243" i="2" s="1"/>
  <c r="Y243" i="2"/>
  <c r="X243" i="2"/>
  <c r="W243" i="2"/>
  <c r="AK242" i="2"/>
  <c r="AP242" i="2" s="1"/>
  <c r="AF242" i="2"/>
  <c r="AB242" i="2"/>
  <c r="AA242" i="2"/>
  <c r="Y242" i="2"/>
  <c r="Z242" i="2" s="1"/>
  <c r="AC242" i="2" s="1"/>
  <c r="X242" i="2"/>
  <c r="W242" i="2"/>
  <c r="AO241" i="2"/>
  <c r="AN241" i="2"/>
  <c r="AK241" i="2"/>
  <c r="AM241" i="2" s="1"/>
  <c r="AJ241" i="2"/>
  <c r="AH241" i="2"/>
  <c r="AG241" i="2"/>
  <c r="AF241" i="2"/>
  <c r="AA241" i="2"/>
  <c r="Z241" i="2"/>
  <c r="AC241" i="2" s="1"/>
  <c r="AD241" i="2" s="1"/>
  <c r="AE241" i="2" s="1"/>
  <c r="Y241" i="2"/>
  <c r="X241" i="2"/>
  <c r="W241" i="2"/>
  <c r="AP240" i="2"/>
  <c r="AK240" i="2"/>
  <c r="AF240" i="2"/>
  <c r="AC240" i="2"/>
  <c r="AA240" i="2"/>
  <c r="Y240" i="2"/>
  <c r="Z240" i="2" s="1"/>
  <c r="AB240" i="2" s="1"/>
  <c r="X240" i="2"/>
  <c r="W240" i="2"/>
  <c r="AO239" i="2"/>
  <c r="AK239" i="2"/>
  <c r="AM239" i="2" s="1"/>
  <c r="AJ239" i="2"/>
  <c r="AG239" i="2"/>
  <c r="AF239" i="2"/>
  <c r="AI239" i="2" s="1"/>
  <c r="AD239" i="2"/>
  <c r="AE239" i="2" s="1"/>
  <c r="AB239" i="2"/>
  <c r="AA239" i="2"/>
  <c r="Z239" i="2"/>
  <c r="AC239" i="2" s="1"/>
  <c r="Y239" i="2"/>
  <c r="X239" i="2"/>
  <c r="W239" i="2"/>
  <c r="AN238" i="2"/>
  <c r="AK238" i="2"/>
  <c r="AH238" i="2"/>
  <c r="AF238" i="2"/>
  <c r="AC238" i="2"/>
  <c r="AA238" i="2"/>
  <c r="Y238" i="2"/>
  <c r="Z238" i="2" s="1"/>
  <c r="AB238" i="2" s="1"/>
  <c r="X238" i="2"/>
  <c r="W238" i="2"/>
  <c r="AO237" i="2"/>
  <c r="AN237" i="2"/>
  <c r="AK237" i="2"/>
  <c r="AM237" i="2" s="1"/>
  <c r="AJ237" i="2"/>
  <c r="AH237" i="2"/>
  <c r="AG237" i="2"/>
  <c r="AF237" i="2"/>
  <c r="AA237" i="2"/>
  <c r="Z237" i="2"/>
  <c r="AC237" i="2" s="1"/>
  <c r="AD237" i="2" s="1"/>
  <c r="AE237" i="2" s="1"/>
  <c r="Y237" i="2"/>
  <c r="X237" i="2"/>
  <c r="W237" i="2"/>
  <c r="AP236" i="2"/>
  <c r="AK236" i="2"/>
  <c r="AF236" i="2"/>
  <c r="AC236" i="2"/>
  <c r="AA236" i="2"/>
  <c r="Y236" i="2"/>
  <c r="Z236" i="2" s="1"/>
  <c r="AB236" i="2" s="1"/>
  <c r="X236" i="2"/>
  <c r="W236" i="2"/>
  <c r="AO235" i="2"/>
  <c r="AK235" i="2"/>
  <c r="AM235" i="2" s="1"/>
  <c r="AJ235" i="2"/>
  <c r="AG235" i="2"/>
  <c r="AF235" i="2"/>
  <c r="AI235" i="2" s="1"/>
  <c r="AD235" i="2"/>
  <c r="AE235" i="2" s="1"/>
  <c r="AB235" i="2"/>
  <c r="AA235" i="2"/>
  <c r="Z235" i="2"/>
  <c r="AC235" i="2" s="1"/>
  <c r="Y235" i="2"/>
  <c r="X235" i="2"/>
  <c r="W235" i="2"/>
  <c r="AN234" i="2"/>
  <c r="AK234" i="2"/>
  <c r="AH234" i="2"/>
  <c r="AF234" i="2"/>
  <c r="AC234" i="2"/>
  <c r="AA234" i="2"/>
  <c r="Y234" i="2"/>
  <c r="Z234" i="2" s="1"/>
  <c r="AB234" i="2" s="1"/>
  <c r="X234" i="2"/>
  <c r="W234" i="2"/>
  <c r="AO233" i="2"/>
  <c r="AN233" i="2"/>
  <c r="AK233" i="2"/>
  <c r="AM233" i="2" s="1"/>
  <c r="AJ233" i="2"/>
  <c r="AH233" i="2"/>
  <c r="AG233" i="2"/>
  <c r="AF233" i="2"/>
  <c r="AA233" i="2"/>
  <c r="Z233" i="2"/>
  <c r="AC233" i="2" s="1"/>
  <c r="AD233" i="2" s="1"/>
  <c r="AE233" i="2" s="1"/>
  <c r="Y233" i="2"/>
  <c r="X233" i="2"/>
  <c r="W233" i="2"/>
  <c r="AP232" i="2"/>
  <c r="AK232" i="2"/>
  <c r="AF232" i="2"/>
  <c r="AB232" i="2"/>
  <c r="AA232" i="2"/>
  <c r="Y232" i="2"/>
  <c r="Z232" i="2" s="1"/>
  <c r="AC232" i="2" s="1"/>
  <c r="X232" i="2"/>
  <c r="W232" i="2"/>
  <c r="AO231" i="2"/>
  <c r="AK231" i="2"/>
  <c r="AM231" i="2" s="1"/>
  <c r="AJ231" i="2"/>
  <c r="AG231" i="2"/>
  <c r="AF231" i="2"/>
  <c r="AI231" i="2" s="1"/>
  <c r="AA231" i="2"/>
  <c r="Z231" i="2"/>
  <c r="AC231" i="2" s="1"/>
  <c r="AD231" i="2" s="1"/>
  <c r="AE231" i="2" s="1"/>
  <c r="Y231" i="2"/>
  <c r="X231" i="2"/>
  <c r="W231" i="2"/>
  <c r="AP230" i="2"/>
  <c r="AK230" i="2"/>
  <c r="AF230" i="2"/>
  <c r="AB230" i="2"/>
  <c r="AA230" i="2"/>
  <c r="Y230" i="2"/>
  <c r="Z230" i="2" s="1"/>
  <c r="AC230" i="2" s="1"/>
  <c r="X230" i="2"/>
  <c r="W230" i="2"/>
  <c r="AO229" i="2"/>
  <c r="AN229" i="2"/>
  <c r="AK229" i="2"/>
  <c r="AM229" i="2" s="1"/>
  <c r="AJ229" i="2"/>
  <c r="AH229" i="2"/>
  <c r="AG229" i="2"/>
  <c r="AF229" i="2"/>
  <c r="AB229" i="2"/>
  <c r="AA229" i="2"/>
  <c r="Z229" i="2"/>
  <c r="AC229" i="2" s="1"/>
  <c r="AD229" i="2" s="1"/>
  <c r="AE229" i="2" s="1"/>
  <c r="Y229" i="2"/>
  <c r="X229" i="2"/>
  <c r="W229" i="2"/>
  <c r="AK228" i="2"/>
  <c r="AP228" i="2" s="1"/>
  <c r="AF228" i="2"/>
  <c r="AA228" i="2"/>
  <c r="Y228" i="2"/>
  <c r="Z228" i="2" s="1"/>
  <c r="AB228" i="2" s="1"/>
  <c r="X228" i="2"/>
  <c r="W228" i="2"/>
  <c r="AO227" i="2"/>
  <c r="AK227" i="2"/>
  <c r="AM227" i="2" s="1"/>
  <c r="AJ227" i="2"/>
  <c r="AG227" i="2"/>
  <c r="AF227" i="2"/>
  <c r="AI227" i="2" s="1"/>
  <c r="AD227" i="2"/>
  <c r="AB227" i="2"/>
  <c r="AA227" i="2"/>
  <c r="Z227" i="2"/>
  <c r="AC227" i="2" s="1"/>
  <c r="Y227" i="2"/>
  <c r="X227" i="2"/>
  <c r="W227" i="2"/>
  <c r="AP226" i="2"/>
  <c r="AN226" i="2"/>
  <c r="AK226" i="2"/>
  <c r="AH226" i="2"/>
  <c r="AF226" i="2"/>
  <c r="AA226" i="2"/>
  <c r="Y226" i="2"/>
  <c r="Z226" i="2" s="1"/>
  <c r="AB226" i="2" s="1"/>
  <c r="X226" i="2"/>
  <c r="W226" i="2"/>
  <c r="AO225" i="2"/>
  <c r="AN225" i="2"/>
  <c r="AK225" i="2"/>
  <c r="AM225" i="2" s="1"/>
  <c r="AJ225" i="2"/>
  <c r="AH225" i="2"/>
  <c r="AG225" i="2"/>
  <c r="AF225" i="2"/>
  <c r="AB225" i="2"/>
  <c r="AA225" i="2"/>
  <c r="Z225" i="2"/>
  <c r="AC225" i="2" s="1"/>
  <c r="AD225" i="2" s="1"/>
  <c r="AE225" i="2" s="1"/>
  <c r="Y225" i="2"/>
  <c r="X225" i="2"/>
  <c r="W225" i="2"/>
  <c r="AK224" i="2"/>
  <c r="AP224" i="2" s="1"/>
  <c r="AF224" i="2"/>
  <c r="AA224" i="2"/>
  <c r="Y224" i="2"/>
  <c r="Z224" i="2" s="1"/>
  <c r="AB224" i="2" s="1"/>
  <c r="X224" i="2"/>
  <c r="W224" i="2"/>
  <c r="AO223" i="2"/>
  <c r="AK223" i="2"/>
  <c r="AM223" i="2" s="1"/>
  <c r="AJ223" i="2"/>
  <c r="AG223" i="2"/>
  <c r="AF223" i="2"/>
  <c r="AI223" i="2" s="1"/>
  <c r="AD223" i="2"/>
  <c r="AB223" i="2"/>
  <c r="AA223" i="2"/>
  <c r="Z223" i="2"/>
  <c r="AC223" i="2" s="1"/>
  <c r="Y223" i="2"/>
  <c r="X223" i="2"/>
  <c r="W223" i="2"/>
  <c r="AP222" i="2"/>
  <c r="AN222" i="2"/>
  <c r="AK222" i="2"/>
  <c r="AH222" i="2"/>
  <c r="AF222" i="2"/>
  <c r="AA222" i="2"/>
  <c r="Y222" i="2"/>
  <c r="Z222" i="2" s="1"/>
  <c r="AB222" i="2" s="1"/>
  <c r="X222" i="2"/>
  <c r="W222" i="2"/>
  <c r="AO221" i="2"/>
  <c r="AN221" i="2"/>
  <c r="AK221" i="2"/>
  <c r="AM221" i="2" s="1"/>
  <c r="AJ221" i="2"/>
  <c r="AH221" i="2"/>
  <c r="AG221" i="2"/>
  <c r="AF221" i="2"/>
  <c r="AB221" i="2"/>
  <c r="AA221" i="2"/>
  <c r="Z221" i="2"/>
  <c r="AC221" i="2" s="1"/>
  <c r="AD221" i="2" s="1"/>
  <c r="Y221" i="2"/>
  <c r="X221" i="2"/>
  <c r="W221" i="2"/>
  <c r="AK220" i="2"/>
  <c r="AP220" i="2" s="1"/>
  <c r="AF220" i="2"/>
  <c r="AA220" i="2"/>
  <c r="Y220" i="2"/>
  <c r="Z220" i="2" s="1"/>
  <c r="AB220" i="2" s="1"/>
  <c r="X220" i="2"/>
  <c r="W220" i="2"/>
  <c r="AO219" i="2"/>
  <c r="AK219" i="2"/>
  <c r="AM219" i="2" s="1"/>
  <c r="AJ219" i="2"/>
  <c r="AG219" i="2"/>
  <c r="AF219" i="2"/>
  <c r="AI219" i="2" s="1"/>
  <c r="AD219" i="2"/>
  <c r="AE219" i="2" s="1"/>
  <c r="AA219" i="2"/>
  <c r="Z219" i="2"/>
  <c r="AC219" i="2" s="1"/>
  <c r="Y219" i="2"/>
  <c r="X219" i="2"/>
  <c r="W219" i="2"/>
  <c r="AP218" i="2"/>
  <c r="AN218" i="2"/>
  <c r="AK218" i="2"/>
  <c r="AH218" i="2"/>
  <c r="AF218" i="2"/>
  <c r="AA218" i="2"/>
  <c r="Y218" i="2"/>
  <c r="Z218" i="2" s="1"/>
  <c r="AB218" i="2" s="1"/>
  <c r="X218" i="2"/>
  <c r="W218" i="2"/>
  <c r="AO217" i="2"/>
  <c r="AN217" i="2"/>
  <c r="AK217" i="2"/>
  <c r="AM217" i="2" s="1"/>
  <c r="AJ217" i="2"/>
  <c r="AH217" i="2"/>
  <c r="AG217" i="2"/>
  <c r="AF217" i="2"/>
  <c r="AB217" i="2"/>
  <c r="AA217" i="2"/>
  <c r="Z217" i="2"/>
  <c r="AC217" i="2" s="1"/>
  <c r="AD217" i="2" s="1"/>
  <c r="AE217" i="2" s="1"/>
  <c r="Y217" i="2"/>
  <c r="X217" i="2"/>
  <c r="W217" i="2"/>
  <c r="AK216" i="2"/>
  <c r="AP216" i="2" s="1"/>
  <c r="AF216" i="2"/>
  <c r="AA216" i="2"/>
  <c r="Y216" i="2"/>
  <c r="Z216" i="2" s="1"/>
  <c r="AB216" i="2" s="1"/>
  <c r="X216" i="2"/>
  <c r="W216" i="2"/>
  <c r="AO215" i="2"/>
  <c r="AK215" i="2"/>
  <c r="AM215" i="2" s="1"/>
  <c r="AJ215" i="2"/>
  <c r="AG215" i="2"/>
  <c r="AF215" i="2"/>
  <c r="AI215" i="2" s="1"/>
  <c r="AD215" i="2"/>
  <c r="AE215" i="2" s="1"/>
  <c r="AA215" i="2"/>
  <c r="Z215" i="2"/>
  <c r="AC215" i="2" s="1"/>
  <c r="Y215" i="2"/>
  <c r="X215" i="2"/>
  <c r="W215" i="2"/>
  <c r="AP214" i="2"/>
  <c r="AN214" i="2"/>
  <c r="AK214" i="2"/>
  <c r="AH214" i="2"/>
  <c r="AF214" i="2"/>
  <c r="AC214" i="2"/>
  <c r="AB214" i="2"/>
  <c r="AA214" i="2"/>
  <c r="Y214" i="2"/>
  <c r="Z214" i="2" s="1"/>
  <c r="X214" i="2"/>
  <c r="W214" i="2"/>
  <c r="AO213" i="2"/>
  <c r="AN213" i="2"/>
  <c r="AK213" i="2"/>
  <c r="AM213" i="2" s="1"/>
  <c r="AJ213" i="2"/>
  <c r="AH213" i="2"/>
  <c r="AG213" i="2"/>
  <c r="AF213" i="2"/>
  <c r="AD213" i="2"/>
  <c r="AB213" i="2"/>
  <c r="AA213" i="2"/>
  <c r="Z213" i="2"/>
  <c r="AC213" i="2" s="1"/>
  <c r="Y213" i="2"/>
  <c r="X213" i="2"/>
  <c r="W213" i="2"/>
  <c r="AN212" i="2"/>
  <c r="AK212" i="2"/>
  <c r="AH212" i="2"/>
  <c r="AF212" i="2"/>
  <c r="AC212" i="2"/>
  <c r="AB212" i="2"/>
  <c r="AA212" i="2"/>
  <c r="Y212" i="2"/>
  <c r="Z212" i="2" s="1"/>
  <c r="X212" i="2"/>
  <c r="W212" i="2"/>
  <c r="AO211" i="2"/>
  <c r="AK211" i="2"/>
  <c r="AM211" i="2" s="1"/>
  <c r="AJ211" i="2"/>
  <c r="AG211" i="2"/>
  <c r="AF211" i="2"/>
  <c r="AI211" i="2" s="1"/>
  <c r="AD211" i="2"/>
  <c r="AE211" i="2" s="1"/>
  <c r="AB211" i="2"/>
  <c r="AA211" i="2"/>
  <c r="Z211" i="2"/>
  <c r="AC211" i="2" s="1"/>
  <c r="Y211" i="2"/>
  <c r="X211" i="2"/>
  <c r="W211" i="2"/>
  <c r="AN210" i="2"/>
  <c r="AK210" i="2"/>
  <c r="AH210" i="2"/>
  <c r="AF210" i="2"/>
  <c r="AC210" i="2"/>
  <c r="AB210" i="2"/>
  <c r="AA210" i="2"/>
  <c r="Y210" i="2"/>
  <c r="Z210" i="2" s="1"/>
  <c r="X210" i="2"/>
  <c r="W210" i="2"/>
  <c r="AO209" i="2"/>
  <c r="AN209" i="2"/>
  <c r="AK209" i="2"/>
  <c r="AM209" i="2" s="1"/>
  <c r="AJ209" i="2"/>
  <c r="AH209" i="2"/>
  <c r="AG209" i="2"/>
  <c r="AF209" i="2"/>
  <c r="AD209" i="2"/>
  <c r="AE209" i="2" s="1"/>
  <c r="AA209" i="2"/>
  <c r="Z209" i="2"/>
  <c r="AC209" i="2" s="1"/>
  <c r="Y209" i="2"/>
  <c r="X209" i="2"/>
  <c r="W209" i="2"/>
  <c r="AP208" i="2"/>
  <c r="AN208" i="2"/>
  <c r="AK208" i="2"/>
  <c r="AH208" i="2"/>
  <c r="AF208" i="2"/>
  <c r="AA208" i="2"/>
  <c r="Y208" i="2"/>
  <c r="Z208" i="2" s="1"/>
  <c r="AB208" i="2" s="1"/>
  <c r="X208" i="2"/>
  <c r="W208" i="2"/>
  <c r="AO207" i="2"/>
  <c r="AK207" i="2"/>
  <c r="AM207" i="2" s="1"/>
  <c r="AJ207" i="2"/>
  <c r="AG207" i="2"/>
  <c r="AF207" i="2"/>
  <c r="AI207" i="2" s="1"/>
  <c r="AA207" i="2"/>
  <c r="Z207" i="2"/>
  <c r="AC207" i="2" s="1"/>
  <c r="AD207" i="2" s="1"/>
  <c r="AE207" i="2" s="1"/>
  <c r="Y207" i="2"/>
  <c r="X207" i="2"/>
  <c r="W207" i="2"/>
  <c r="AP206" i="2"/>
  <c r="AK206" i="2"/>
  <c r="AF206" i="2"/>
  <c r="AC206" i="2"/>
  <c r="AA206" i="2"/>
  <c r="Y206" i="2"/>
  <c r="Z206" i="2" s="1"/>
  <c r="AB206" i="2" s="1"/>
  <c r="X206" i="2"/>
  <c r="W206" i="2"/>
  <c r="AO205" i="2"/>
  <c r="AN205" i="2"/>
  <c r="AK205" i="2"/>
  <c r="AM205" i="2" s="1"/>
  <c r="AJ205" i="2"/>
  <c r="AH205" i="2"/>
  <c r="AG205" i="2"/>
  <c r="AF205" i="2"/>
  <c r="AD205" i="2"/>
  <c r="AB205" i="2"/>
  <c r="AA205" i="2"/>
  <c r="Z205" i="2"/>
  <c r="AC205" i="2" s="1"/>
  <c r="Y205" i="2"/>
  <c r="X205" i="2"/>
  <c r="W205" i="2"/>
  <c r="AP204" i="2"/>
  <c r="AN204" i="2"/>
  <c r="AK204" i="2"/>
  <c r="AH204" i="2"/>
  <c r="AF204" i="2"/>
  <c r="AA204" i="2"/>
  <c r="Y204" i="2"/>
  <c r="Z204" i="2" s="1"/>
  <c r="AB204" i="2" s="1"/>
  <c r="X204" i="2"/>
  <c r="W204" i="2"/>
  <c r="AO203" i="2"/>
  <c r="AK203" i="2"/>
  <c r="AM203" i="2" s="1"/>
  <c r="AJ203" i="2"/>
  <c r="AG203" i="2"/>
  <c r="AF203" i="2"/>
  <c r="AI203" i="2" s="1"/>
  <c r="AA203" i="2"/>
  <c r="Z203" i="2"/>
  <c r="AC203" i="2" s="1"/>
  <c r="AD203" i="2" s="1"/>
  <c r="AE203" i="2" s="1"/>
  <c r="Y203" i="2"/>
  <c r="X203" i="2"/>
  <c r="W203" i="2"/>
  <c r="AP202" i="2"/>
  <c r="AK202" i="2"/>
  <c r="AF202" i="2"/>
  <c r="AC202" i="2"/>
  <c r="AA202" i="2"/>
  <c r="Y202" i="2"/>
  <c r="Z202" i="2" s="1"/>
  <c r="AB202" i="2" s="1"/>
  <c r="X202" i="2"/>
  <c r="W202" i="2"/>
  <c r="AO201" i="2"/>
  <c r="AN201" i="2"/>
  <c r="AK201" i="2"/>
  <c r="AM201" i="2" s="1"/>
  <c r="AJ201" i="2"/>
  <c r="AH201" i="2"/>
  <c r="AG201" i="2"/>
  <c r="AF201" i="2"/>
  <c r="AD201" i="2"/>
  <c r="AE201" i="2" s="1"/>
  <c r="AA201" i="2"/>
  <c r="Z201" i="2"/>
  <c r="AC201" i="2" s="1"/>
  <c r="Y201" i="2"/>
  <c r="X201" i="2"/>
  <c r="W201" i="2"/>
  <c r="AP200" i="2"/>
  <c r="AN200" i="2"/>
  <c r="AK200" i="2"/>
  <c r="AH200" i="2"/>
  <c r="AF200" i="2"/>
  <c r="AC200" i="2"/>
  <c r="AB200" i="2"/>
  <c r="AA200" i="2"/>
  <c r="Y200" i="2"/>
  <c r="Z200" i="2" s="1"/>
  <c r="X200" i="2"/>
  <c r="W200" i="2"/>
  <c r="AO199" i="2"/>
  <c r="AK199" i="2"/>
  <c r="AM199" i="2" s="1"/>
  <c r="AJ199" i="2"/>
  <c r="AG199" i="2"/>
  <c r="AF199" i="2"/>
  <c r="AI199" i="2" s="1"/>
  <c r="AD199" i="2"/>
  <c r="AB199" i="2"/>
  <c r="AA199" i="2"/>
  <c r="Z199" i="2"/>
  <c r="AC199" i="2" s="1"/>
  <c r="Y199" i="2"/>
  <c r="X199" i="2"/>
  <c r="W199" i="2"/>
  <c r="AP198" i="2"/>
  <c r="AN198" i="2"/>
  <c r="AK198" i="2"/>
  <c r="AH198" i="2"/>
  <c r="AF198" i="2"/>
  <c r="AA198" i="2"/>
  <c r="Y198" i="2"/>
  <c r="Z198" i="2" s="1"/>
  <c r="AB198" i="2" s="1"/>
  <c r="X198" i="2"/>
  <c r="W198" i="2"/>
  <c r="AO197" i="2"/>
  <c r="AN197" i="2"/>
  <c r="AK197" i="2"/>
  <c r="AM197" i="2" s="1"/>
  <c r="AJ197" i="2"/>
  <c r="AH197" i="2"/>
  <c r="AG197" i="2"/>
  <c r="AF197" i="2"/>
  <c r="AB197" i="2"/>
  <c r="AA197" i="2"/>
  <c r="Z197" i="2"/>
  <c r="AC197" i="2" s="1"/>
  <c r="AD197" i="2" s="1"/>
  <c r="Y197" i="2"/>
  <c r="X197" i="2"/>
  <c r="W197" i="2"/>
  <c r="AK196" i="2"/>
  <c r="AP196" i="2" s="1"/>
  <c r="AF196" i="2"/>
  <c r="AA196" i="2"/>
  <c r="Y196" i="2"/>
  <c r="Z196" i="2" s="1"/>
  <c r="AB196" i="2" s="1"/>
  <c r="X196" i="2"/>
  <c r="W196" i="2"/>
  <c r="AO195" i="2"/>
  <c r="AK195" i="2"/>
  <c r="AM195" i="2" s="1"/>
  <c r="AJ195" i="2"/>
  <c r="AG195" i="2"/>
  <c r="AF195" i="2"/>
  <c r="AI195" i="2" s="1"/>
  <c r="AD195" i="2"/>
  <c r="AE195" i="2" s="1"/>
  <c r="AA195" i="2"/>
  <c r="Z195" i="2"/>
  <c r="AC195" i="2" s="1"/>
  <c r="Y195" i="2"/>
  <c r="X195" i="2"/>
  <c r="W195" i="2"/>
  <c r="AP194" i="2"/>
  <c r="AN194" i="2"/>
  <c r="AK194" i="2"/>
  <c r="AH194" i="2"/>
  <c r="AF194" i="2"/>
  <c r="AC194" i="2"/>
  <c r="AB194" i="2"/>
  <c r="AA194" i="2"/>
  <c r="Y194" i="2"/>
  <c r="Z194" i="2" s="1"/>
  <c r="X194" i="2"/>
  <c r="W194" i="2"/>
  <c r="AO193" i="2"/>
  <c r="AN193" i="2"/>
  <c r="AK193" i="2"/>
  <c r="AM193" i="2" s="1"/>
  <c r="AJ193" i="2"/>
  <c r="AH193" i="2"/>
  <c r="AG193" i="2"/>
  <c r="AF193" i="2"/>
  <c r="AD193" i="2"/>
  <c r="AE193" i="2" s="1"/>
  <c r="AB193" i="2"/>
  <c r="AA193" i="2"/>
  <c r="Z193" i="2"/>
  <c r="AC193" i="2" s="1"/>
  <c r="Y193" i="2"/>
  <c r="X193" i="2"/>
  <c r="W193" i="2"/>
  <c r="AN192" i="2"/>
  <c r="AK192" i="2"/>
  <c r="AH192" i="2"/>
  <c r="AF192" i="2"/>
  <c r="AC192" i="2"/>
  <c r="AB192" i="2"/>
  <c r="AA192" i="2"/>
  <c r="Y192" i="2"/>
  <c r="Z192" i="2" s="1"/>
  <c r="X192" i="2"/>
  <c r="W192" i="2"/>
  <c r="AO191" i="2"/>
  <c r="AK191" i="2"/>
  <c r="AM191" i="2" s="1"/>
  <c r="AJ191" i="2"/>
  <c r="AG191" i="2"/>
  <c r="AF191" i="2"/>
  <c r="AI191" i="2" s="1"/>
  <c r="AD191" i="2"/>
  <c r="AB191" i="2"/>
  <c r="AA191" i="2"/>
  <c r="Z191" i="2"/>
  <c r="AC191" i="2" s="1"/>
  <c r="Y191" i="2"/>
  <c r="X191" i="2"/>
  <c r="W191" i="2"/>
  <c r="AN190" i="2"/>
  <c r="AK190" i="2"/>
  <c r="AH190" i="2"/>
  <c r="AF190" i="2"/>
  <c r="AC190" i="2"/>
  <c r="AA190" i="2"/>
  <c r="Y190" i="2"/>
  <c r="Z190" i="2" s="1"/>
  <c r="AB190" i="2" s="1"/>
  <c r="X190" i="2"/>
  <c r="W190" i="2"/>
  <c r="AO189" i="2"/>
  <c r="AN189" i="2"/>
  <c r="AK189" i="2"/>
  <c r="AM189" i="2" s="1"/>
  <c r="AJ189" i="2"/>
  <c r="AH189" i="2"/>
  <c r="AG189" i="2"/>
  <c r="AF189" i="2"/>
  <c r="AB189" i="2"/>
  <c r="AA189" i="2"/>
  <c r="Z189" i="2"/>
  <c r="AC189" i="2" s="1"/>
  <c r="AD189" i="2" s="1"/>
  <c r="Y189" i="2"/>
  <c r="X189" i="2"/>
  <c r="W189" i="2"/>
  <c r="AP188" i="2"/>
  <c r="AK188" i="2"/>
  <c r="AF188" i="2"/>
  <c r="AB188" i="2"/>
  <c r="AA188" i="2"/>
  <c r="Y188" i="2"/>
  <c r="Z188" i="2" s="1"/>
  <c r="AC188" i="2" s="1"/>
  <c r="X188" i="2"/>
  <c r="W188" i="2"/>
  <c r="AO187" i="2"/>
  <c r="AK187" i="2"/>
  <c r="AM187" i="2" s="1"/>
  <c r="AJ187" i="2"/>
  <c r="AG187" i="2"/>
  <c r="AF187" i="2"/>
  <c r="AI187" i="2" s="1"/>
  <c r="AB187" i="2"/>
  <c r="AA187" i="2"/>
  <c r="Z187" i="2"/>
  <c r="AC187" i="2" s="1"/>
  <c r="AD187" i="2" s="1"/>
  <c r="Y187" i="2"/>
  <c r="X187" i="2"/>
  <c r="W187" i="2"/>
  <c r="AP186" i="2"/>
  <c r="AK186" i="2"/>
  <c r="AF186" i="2"/>
  <c r="AB186" i="2"/>
  <c r="AA186" i="2"/>
  <c r="Y186" i="2"/>
  <c r="Z186" i="2" s="1"/>
  <c r="AC186" i="2" s="1"/>
  <c r="X186" i="2"/>
  <c r="W186" i="2"/>
  <c r="AO185" i="2"/>
  <c r="AN185" i="2"/>
  <c r="AK185" i="2"/>
  <c r="AM185" i="2" s="1"/>
  <c r="AJ185" i="2"/>
  <c r="AH185" i="2"/>
  <c r="AG185" i="2"/>
  <c r="AF185" i="2"/>
  <c r="AB185" i="2"/>
  <c r="AA185" i="2"/>
  <c r="Z185" i="2"/>
  <c r="AC185" i="2" s="1"/>
  <c r="AD185" i="2" s="1"/>
  <c r="AE185" i="2" s="1"/>
  <c r="Y185" i="2"/>
  <c r="X185" i="2"/>
  <c r="W185" i="2"/>
  <c r="AK184" i="2"/>
  <c r="AP184" i="2" s="1"/>
  <c r="AF184" i="2"/>
  <c r="AB184" i="2"/>
  <c r="AA184" i="2"/>
  <c r="Y184" i="2"/>
  <c r="Z184" i="2" s="1"/>
  <c r="AC184" i="2" s="1"/>
  <c r="X184" i="2"/>
  <c r="W184" i="2"/>
  <c r="AO183" i="2"/>
  <c r="AK183" i="2"/>
  <c r="AM183" i="2" s="1"/>
  <c r="AJ183" i="2"/>
  <c r="AG183" i="2"/>
  <c r="AF183" i="2"/>
  <c r="AI183" i="2" s="1"/>
  <c r="AB183" i="2"/>
  <c r="AA183" i="2"/>
  <c r="Z183" i="2"/>
  <c r="AC183" i="2" s="1"/>
  <c r="AD183" i="2" s="1"/>
  <c r="Y183" i="2"/>
  <c r="X183" i="2"/>
  <c r="W183" i="2"/>
  <c r="AK182" i="2"/>
  <c r="AP182" i="2" s="1"/>
  <c r="AF182" i="2"/>
  <c r="AB182" i="2"/>
  <c r="AA182" i="2"/>
  <c r="Y182" i="2"/>
  <c r="Z182" i="2" s="1"/>
  <c r="AC182" i="2" s="1"/>
  <c r="X182" i="2"/>
  <c r="W182" i="2"/>
  <c r="AO181" i="2"/>
  <c r="AN181" i="2"/>
  <c r="AK181" i="2"/>
  <c r="AM181" i="2" s="1"/>
  <c r="AJ181" i="2"/>
  <c r="AH181" i="2"/>
  <c r="AG181" i="2"/>
  <c r="AF181" i="2"/>
  <c r="AA181" i="2"/>
  <c r="Z181" i="2"/>
  <c r="AC181" i="2" s="1"/>
  <c r="AD181" i="2" s="1"/>
  <c r="Y181" i="2"/>
  <c r="X181" i="2"/>
  <c r="W181" i="2"/>
  <c r="AP180" i="2"/>
  <c r="AK180" i="2"/>
  <c r="AF180" i="2"/>
  <c r="AC180" i="2"/>
  <c r="AA180" i="2"/>
  <c r="Y180" i="2"/>
  <c r="Z180" i="2" s="1"/>
  <c r="AB180" i="2" s="1"/>
  <c r="X180" i="2"/>
  <c r="W180" i="2"/>
  <c r="AO179" i="2"/>
  <c r="AK179" i="2"/>
  <c r="AM179" i="2" s="1"/>
  <c r="AJ179" i="2"/>
  <c r="AG179" i="2"/>
  <c r="AF179" i="2"/>
  <c r="AI179" i="2" s="1"/>
  <c r="AD179" i="2"/>
  <c r="AB179" i="2"/>
  <c r="AA179" i="2"/>
  <c r="Z179" i="2"/>
  <c r="AC179" i="2" s="1"/>
  <c r="Y179" i="2"/>
  <c r="X179" i="2"/>
  <c r="W179" i="2"/>
  <c r="AN178" i="2"/>
  <c r="AK178" i="2"/>
  <c r="AH178" i="2"/>
  <c r="AF178" i="2"/>
  <c r="AC178" i="2"/>
  <c r="AA178" i="2"/>
  <c r="Y178" i="2"/>
  <c r="Z178" i="2" s="1"/>
  <c r="AB178" i="2" s="1"/>
  <c r="X178" i="2"/>
  <c r="W178" i="2"/>
  <c r="AO177" i="2"/>
  <c r="AN177" i="2"/>
  <c r="AK177" i="2"/>
  <c r="AM177" i="2" s="1"/>
  <c r="AJ177" i="2"/>
  <c r="AH177" i="2"/>
  <c r="AG177" i="2"/>
  <c r="AF177" i="2"/>
  <c r="AA177" i="2"/>
  <c r="Z177" i="2"/>
  <c r="AC177" i="2" s="1"/>
  <c r="AD177" i="2" s="1"/>
  <c r="AE177" i="2" s="1"/>
  <c r="Y177" i="2"/>
  <c r="X177" i="2"/>
  <c r="W177" i="2"/>
  <c r="AP176" i="2"/>
  <c r="AK176" i="2"/>
  <c r="AF176" i="2"/>
  <c r="AC176" i="2"/>
  <c r="AA176" i="2"/>
  <c r="Y176" i="2"/>
  <c r="Z176" i="2" s="1"/>
  <c r="AB176" i="2" s="1"/>
  <c r="X176" i="2"/>
  <c r="W176" i="2"/>
  <c r="AO175" i="2"/>
  <c r="AK175" i="2"/>
  <c r="AM175" i="2" s="1"/>
  <c r="AJ175" i="2"/>
  <c r="AG175" i="2"/>
  <c r="AF175" i="2"/>
  <c r="AI175" i="2" s="1"/>
  <c r="AD175" i="2"/>
  <c r="AB175" i="2"/>
  <c r="AA175" i="2"/>
  <c r="Z175" i="2"/>
  <c r="AC175" i="2" s="1"/>
  <c r="Y175" i="2"/>
  <c r="X175" i="2"/>
  <c r="W175" i="2"/>
  <c r="AN174" i="2"/>
  <c r="AK174" i="2"/>
  <c r="AH174" i="2"/>
  <c r="AF174" i="2"/>
  <c r="AC174" i="2"/>
  <c r="AA174" i="2"/>
  <c r="Y174" i="2"/>
  <c r="Z174" i="2" s="1"/>
  <c r="AB174" i="2" s="1"/>
  <c r="X174" i="2"/>
  <c r="W174" i="2"/>
  <c r="AO173" i="2"/>
  <c r="AN173" i="2"/>
  <c r="AK173" i="2"/>
  <c r="AM173" i="2" s="1"/>
  <c r="AJ173" i="2"/>
  <c r="AH173" i="2"/>
  <c r="AG173" i="2"/>
  <c r="AF173" i="2"/>
  <c r="AA173" i="2"/>
  <c r="Z173" i="2"/>
  <c r="AC173" i="2" s="1"/>
  <c r="AD173" i="2" s="1"/>
  <c r="AE173" i="2" s="1"/>
  <c r="Y173" i="2"/>
  <c r="X173" i="2"/>
  <c r="W173" i="2"/>
  <c r="AP172" i="2"/>
  <c r="AK172" i="2"/>
  <c r="AF172" i="2"/>
  <c r="AB172" i="2"/>
  <c r="AA172" i="2"/>
  <c r="Y172" i="2"/>
  <c r="Z172" i="2" s="1"/>
  <c r="AC172" i="2" s="1"/>
  <c r="X172" i="2"/>
  <c r="W172" i="2"/>
  <c r="AO171" i="2"/>
  <c r="AK171" i="2"/>
  <c r="AM171" i="2" s="1"/>
  <c r="AJ171" i="2"/>
  <c r="AG171" i="2"/>
  <c r="AF171" i="2"/>
  <c r="AI171" i="2" s="1"/>
  <c r="AB171" i="2"/>
  <c r="AA171" i="2"/>
  <c r="Z171" i="2"/>
  <c r="AC171" i="2" s="1"/>
  <c r="AD171" i="2" s="1"/>
  <c r="Y171" i="2"/>
  <c r="X171" i="2"/>
  <c r="W171" i="2"/>
  <c r="AP170" i="2"/>
  <c r="AK170" i="2"/>
  <c r="AF170" i="2"/>
  <c r="AC170" i="2"/>
  <c r="AA170" i="2"/>
  <c r="Y170" i="2"/>
  <c r="Z170" i="2" s="1"/>
  <c r="AB170" i="2" s="1"/>
  <c r="X170" i="2"/>
  <c r="W170" i="2"/>
  <c r="AO169" i="2"/>
  <c r="AN169" i="2"/>
  <c r="AK169" i="2"/>
  <c r="AM169" i="2" s="1"/>
  <c r="AJ169" i="2"/>
  <c r="AH169" i="2"/>
  <c r="AG169" i="2"/>
  <c r="AF169" i="2"/>
  <c r="AD169" i="2"/>
  <c r="AE169" i="2" s="1"/>
  <c r="AA169" i="2"/>
  <c r="Z169" i="2"/>
  <c r="AC169" i="2" s="1"/>
  <c r="Y169" i="2"/>
  <c r="X169" i="2"/>
  <c r="W169" i="2"/>
  <c r="AP168" i="2"/>
  <c r="AN168" i="2"/>
  <c r="AK168" i="2"/>
  <c r="AH168" i="2"/>
  <c r="AF168" i="2"/>
  <c r="AA168" i="2"/>
  <c r="Y168" i="2"/>
  <c r="Z168" i="2" s="1"/>
  <c r="AB168" i="2" s="1"/>
  <c r="X168" i="2"/>
  <c r="W168" i="2"/>
  <c r="AO167" i="2"/>
  <c r="AK167" i="2"/>
  <c r="AM167" i="2" s="1"/>
  <c r="AJ167" i="2"/>
  <c r="AG167" i="2"/>
  <c r="AF167" i="2"/>
  <c r="AI167" i="2" s="1"/>
  <c r="AB167" i="2"/>
  <c r="AA167" i="2"/>
  <c r="Z167" i="2"/>
  <c r="AC167" i="2" s="1"/>
  <c r="AD167" i="2" s="1"/>
  <c r="Y167" i="2"/>
  <c r="X167" i="2"/>
  <c r="W167" i="2"/>
  <c r="AP166" i="2"/>
  <c r="AK166" i="2"/>
  <c r="AF166" i="2"/>
  <c r="AB166" i="2"/>
  <c r="AA166" i="2"/>
  <c r="Y166" i="2"/>
  <c r="Z166" i="2" s="1"/>
  <c r="AC166" i="2" s="1"/>
  <c r="X166" i="2"/>
  <c r="W166" i="2"/>
  <c r="AO165" i="2"/>
  <c r="AN165" i="2"/>
  <c r="AK165" i="2"/>
  <c r="AM165" i="2" s="1"/>
  <c r="AJ165" i="2"/>
  <c r="AH165" i="2"/>
  <c r="AG165" i="2"/>
  <c r="AF165" i="2"/>
  <c r="AB165" i="2"/>
  <c r="AA165" i="2"/>
  <c r="Z165" i="2"/>
  <c r="AC165" i="2" s="1"/>
  <c r="AD165" i="2" s="1"/>
  <c r="Y165" i="2"/>
  <c r="X165" i="2"/>
  <c r="W165" i="2"/>
  <c r="AK164" i="2"/>
  <c r="AP164" i="2" s="1"/>
  <c r="AF164" i="2"/>
  <c r="AA164" i="2"/>
  <c r="Y164" i="2"/>
  <c r="Z164" i="2" s="1"/>
  <c r="AB164" i="2" s="1"/>
  <c r="X164" i="2"/>
  <c r="W164" i="2"/>
  <c r="AO163" i="2"/>
  <c r="AK163" i="2"/>
  <c r="AM163" i="2" s="1"/>
  <c r="AJ163" i="2"/>
  <c r="AG163" i="2"/>
  <c r="AF163" i="2"/>
  <c r="AI163" i="2" s="1"/>
  <c r="AD163" i="2"/>
  <c r="AE163" i="2" s="1"/>
  <c r="AA163" i="2"/>
  <c r="Z163" i="2"/>
  <c r="AC163" i="2" s="1"/>
  <c r="Y163" i="2"/>
  <c r="X163" i="2"/>
  <c r="W163" i="2"/>
  <c r="AP162" i="2"/>
  <c r="AN162" i="2"/>
  <c r="AK162" i="2"/>
  <c r="AH162" i="2"/>
  <c r="AF162" i="2"/>
  <c r="AA162" i="2"/>
  <c r="Y162" i="2"/>
  <c r="Z162" i="2" s="1"/>
  <c r="AB162" i="2" s="1"/>
  <c r="X162" i="2"/>
  <c r="W162" i="2"/>
  <c r="AO161" i="2"/>
  <c r="AN161" i="2"/>
  <c r="AK161" i="2"/>
  <c r="AM161" i="2" s="1"/>
  <c r="AJ161" i="2"/>
  <c r="AH161" i="2"/>
  <c r="AG161" i="2"/>
  <c r="AF161" i="2"/>
  <c r="AB161" i="2"/>
  <c r="AA161" i="2"/>
  <c r="Z161" i="2"/>
  <c r="AC161" i="2" s="1"/>
  <c r="AD161" i="2" s="1"/>
  <c r="AE161" i="2" s="1"/>
  <c r="Y161" i="2"/>
  <c r="X161" i="2"/>
  <c r="W161" i="2"/>
  <c r="AK160" i="2"/>
  <c r="AP160" i="2" s="1"/>
  <c r="AF160" i="2"/>
  <c r="AA160" i="2"/>
  <c r="Y160" i="2"/>
  <c r="Z160" i="2" s="1"/>
  <c r="AB160" i="2" s="1"/>
  <c r="X160" i="2"/>
  <c r="W160" i="2"/>
  <c r="AO159" i="2"/>
  <c r="AK159" i="2"/>
  <c r="AM159" i="2" s="1"/>
  <c r="AJ159" i="2"/>
  <c r="AG159" i="2"/>
  <c r="AF159" i="2"/>
  <c r="AI159" i="2" s="1"/>
  <c r="AD159" i="2"/>
  <c r="AA159" i="2"/>
  <c r="Z159" i="2"/>
  <c r="AC159" i="2" s="1"/>
  <c r="Y159" i="2"/>
  <c r="X159" i="2"/>
  <c r="W159" i="2"/>
  <c r="AP158" i="2"/>
  <c r="AN158" i="2"/>
  <c r="AK158" i="2"/>
  <c r="AH158" i="2"/>
  <c r="AF158" i="2"/>
  <c r="AC158" i="2"/>
  <c r="AB158" i="2"/>
  <c r="AA158" i="2"/>
  <c r="Y158" i="2"/>
  <c r="Z158" i="2" s="1"/>
  <c r="X158" i="2"/>
  <c r="W158" i="2"/>
  <c r="AO157" i="2"/>
  <c r="AN157" i="2"/>
  <c r="AK157" i="2"/>
  <c r="AM157" i="2" s="1"/>
  <c r="AJ157" i="2"/>
  <c r="AH157" i="2"/>
  <c r="AG157" i="2"/>
  <c r="AF157" i="2"/>
  <c r="AD157" i="2"/>
  <c r="AB157" i="2"/>
  <c r="AA157" i="2"/>
  <c r="Z157" i="2"/>
  <c r="AC157" i="2" s="1"/>
  <c r="Y157" i="2"/>
  <c r="X157" i="2"/>
  <c r="W157" i="2"/>
  <c r="AN156" i="2"/>
  <c r="AK156" i="2"/>
  <c r="AH156" i="2"/>
  <c r="AF156" i="2"/>
  <c r="AC156" i="2"/>
  <c r="AB156" i="2"/>
  <c r="AA156" i="2"/>
  <c r="Y156" i="2"/>
  <c r="Z156" i="2" s="1"/>
  <c r="X156" i="2"/>
  <c r="W156" i="2"/>
  <c r="AO155" i="2"/>
  <c r="AK155" i="2"/>
  <c r="AM155" i="2" s="1"/>
  <c r="AJ155" i="2"/>
  <c r="AG155" i="2"/>
  <c r="AF155" i="2"/>
  <c r="AI155" i="2" s="1"/>
  <c r="AD155" i="2"/>
  <c r="AB155" i="2"/>
  <c r="AA155" i="2"/>
  <c r="Z155" i="2"/>
  <c r="AC155" i="2" s="1"/>
  <c r="Y155" i="2"/>
  <c r="X155" i="2"/>
  <c r="W155" i="2"/>
  <c r="AN154" i="2"/>
  <c r="AK154" i="2"/>
  <c r="AH154" i="2"/>
  <c r="AF154" i="2"/>
  <c r="AC154" i="2"/>
  <c r="AA154" i="2"/>
  <c r="Y154" i="2"/>
  <c r="Z154" i="2" s="1"/>
  <c r="AB154" i="2" s="1"/>
  <c r="X154" i="2"/>
  <c r="W154" i="2"/>
  <c r="AO153" i="2"/>
  <c r="AN153" i="2"/>
  <c r="AK153" i="2"/>
  <c r="AM153" i="2" s="1"/>
  <c r="AJ153" i="2"/>
  <c r="AH153" i="2"/>
  <c r="AG153" i="2"/>
  <c r="AF153" i="2"/>
  <c r="AA153" i="2"/>
  <c r="Z153" i="2"/>
  <c r="AC153" i="2" s="1"/>
  <c r="AD153" i="2" s="1"/>
  <c r="Y153" i="2"/>
  <c r="X153" i="2"/>
  <c r="W153" i="2"/>
  <c r="AP152" i="2"/>
  <c r="AK152" i="2"/>
  <c r="AF152" i="2"/>
  <c r="AB152" i="2"/>
  <c r="AA152" i="2"/>
  <c r="Y152" i="2"/>
  <c r="Z152" i="2" s="1"/>
  <c r="AC152" i="2" s="1"/>
  <c r="X152" i="2"/>
  <c r="W152" i="2"/>
  <c r="AO151" i="2"/>
  <c r="AK151" i="2"/>
  <c r="AM151" i="2" s="1"/>
  <c r="AJ151" i="2"/>
  <c r="AG151" i="2"/>
  <c r="AF151" i="2"/>
  <c r="AI151" i="2" s="1"/>
  <c r="AB151" i="2"/>
  <c r="AA151" i="2"/>
  <c r="Z151" i="2"/>
  <c r="AC151" i="2" s="1"/>
  <c r="AD151" i="2" s="1"/>
  <c r="Y151" i="2"/>
  <c r="X151" i="2"/>
  <c r="W151" i="2"/>
  <c r="AP150" i="2"/>
  <c r="AK150" i="2"/>
  <c r="AF150" i="2"/>
  <c r="AC150" i="2"/>
  <c r="AA150" i="2"/>
  <c r="Y150" i="2"/>
  <c r="Z150" i="2" s="1"/>
  <c r="AB150" i="2" s="1"/>
  <c r="X150" i="2"/>
  <c r="W150" i="2"/>
  <c r="AO149" i="2"/>
  <c r="AN149" i="2"/>
  <c r="AK149" i="2"/>
  <c r="AM149" i="2" s="1"/>
  <c r="AJ149" i="2"/>
  <c r="AH149" i="2"/>
  <c r="AG149" i="2"/>
  <c r="AF149" i="2"/>
  <c r="AD149" i="2"/>
  <c r="AA149" i="2"/>
  <c r="Z149" i="2"/>
  <c r="AC149" i="2" s="1"/>
  <c r="Y149" i="2"/>
  <c r="X149" i="2"/>
  <c r="W149" i="2"/>
  <c r="AP148" i="2"/>
  <c r="AN148" i="2"/>
  <c r="AK148" i="2"/>
  <c r="AH148" i="2"/>
  <c r="AF148" i="2"/>
  <c r="AA148" i="2"/>
  <c r="Y148" i="2"/>
  <c r="Z148" i="2" s="1"/>
  <c r="AB148" i="2" s="1"/>
  <c r="X148" i="2"/>
  <c r="W148" i="2"/>
  <c r="AO147" i="2"/>
  <c r="AK147" i="2"/>
  <c r="AM147" i="2" s="1"/>
  <c r="AJ147" i="2"/>
  <c r="AG147" i="2"/>
  <c r="AF147" i="2"/>
  <c r="AI147" i="2" s="1"/>
  <c r="AB147" i="2"/>
  <c r="AA147" i="2"/>
  <c r="Z147" i="2"/>
  <c r="AC147" i="2" s="1"/>
  <c r="AD147" i="2" s="1"/>
  <c r="Y147" i="2"/>
  <c r="X147" i="2"/>
  <c r="W147" i="2"/>
  <c r="AP146" i="2"/>
  <c r="AK146" i="2"/>
  <c r="AF146" i="2"/>
  <c r="AC146" i="2"/>
  <c r="AA146" i="2"/>
  <c r="Y146" i="2"/>
  <c r="Z146" i="2" s="1"/>
  <c r="AB146" i="2" s="1"/>
  <c r="X146" i="2"/>
  <c r="W146" i="2"/>
  <c r="AO145" i="2"/>
  <c r="AN145" i="2"/>
  <c r="AK145" i="2"/>
  <c r="AM145" i="2" s="1"/>
  <c r="AJ145" i="2"/>
  <c r="AH145" i="2"/>
  <c r="AG145" i="2"/>
  <c r="AF145" i="2"/>
  <c r="AD145" i="2"/>
  <c r="AA145" i="2"/>
  <c r="Z145" i="2"/>
  <c r="AC145" i="2" s="1"/>
  <c r="Y145" i="2"/>
  <c r="X145" i="2"/>
  <c r="W145" i="2"/>
  <c r="AP144" i="2"/>
  <c r="AN144" i="2"/>
  <c r="AK144" i="2"/>
  <c r="AH144" i="2"/>
  <c r="AF144" i="2"/>
  <c r="AA144" i="2"/>
  <c r="Y144" i="2"/>
  <c r="Z144" i="2" s="1"/>
  <c r="AB144" i="2" s="1"/>
  <c r="X144" i="2"/>
  <c r="W144" i="2"/>
  <c r="AO143" i="2"/>
  <c r="AK143" i="2"/>
  <c r="AM143" i="2" s="1"/>
  <c r="AJ143" i="2"/>
  <c r="AG143" i="2"/>
  <c r="AF143" i="2"/>
  <c r="AI143" i="2" s="1"/>
  <c r="AA143" i="2"/>
  <c r="Z143" i="2"/>
  <c r="AC143" i="2" s="1"/>
  <c r="AD143" i="2" s="1"/>
  <c r="Y143" i="2"/>
  <c r="X143" i="2"/>
  <c r="W143" i="2"/>
  <c r="AP142" i="2"/>
  <c r="AK142" i="2"/>
  <c r="AF142" i="2"/>
  <c r="AB142" i="2"/>
  <c r="AA142" i="2"/>
  <c r="Y142" i="2"/>
  <c r="Z142" i="2" s="1"/>
  <c r="AC142" i="2" s="1"/>
  <c r="X142" i="2"/>
  <c r="W142" i="2"/>
  <c r="AO141" i="2"/>
  <c r="AN141" i="2"/>
  <c r="AK141" i="2"/>
  <c r="AM141" i="2" s="1"/>
  <c r="AJ141" i="2"/>
  <c r="AH141" i="2"/>
  <c r="AG141" i="2"/>
  <c r="AF141" i="2"/>
  <c r="AB141" i="2"/>
  <c r="AA141" i="2"/>
  <c r="Z141" i="2"/>
  <c r="AC141" i="2" s="1"/>
  <c r="AD141" i="2" s="1"/>
  <c r="Y141" i="2"/>
  <c r="X141" i="2"/>
  <c r="W141" i="2"/>
  <c r="AK140" i="2"/>
  <c r="AP140" i="2" s="1"/>
  <c r="AF140" i="2"/>
  <c r="AA140" i="2"/>
  <c r="Y140" i="2"/>
  <c r="Z140" i="2" s="1"/>
  <c r="AB140" i="2" s="1"/>
  <c r="X140" i="2"/>
  <c r="W140" i="2"/>
  <c r="AO139" i="2"/>
  <c r="AK139" i="2"/>
  <c r="AM139" i="2" s="1"/>
  <c r="AJ139" i="2"/>
  <c r="AG139" i="2"/>
  <c r="AF139" i="2"/>
  <c r="AI139" i="2" s="1"/>
  <c r="AD139" i="2"/>
  <c r="AA139" i="2"/>
  <c r="Z139" i="2"/>
  <c r="AC139" i="2" s="1"/>
  <c r="Y139" i="2"/>
  <c r="X139" i="2"/>
  <c r="W139" i="2"/>
  <c r="AP138" i="2"/>
  <c r="AN138" i="2"/>
  <c r="AK138" i="2"/>
  <c r="AH138" i="2"/>
  <c r="AF138" i="2"/>
  <c r="AA138" i="2"/>
  <c r="Y138" i="2"/>
  <c r="Z138" i="2" s="1"/>
  <c r="AB138" i="2" s="1"/>
  <c r="X138" i="2"/>
  <c r="W138" i="2"/>
  <c r="AO137" i="2"/>
  <c r="AN137" i="2"/>
  <c r="AK137" i="2"/>
  <c r="AM137" i="2" s="1"/>
  <c r="AJ137" i="2"/>
  <c r="AH137" i="2"/>
  <c r="AG137" i="2"/>
  <c r="AF137" i="2"/>
  <c r="AB137" i="2"/>
  <c r="AA137" i="2"/>
  <c r="Z137" i="2"/>
  <c r="AC137" i="2" s="1"/>
  <c r="AD137" i="2" s="1"/>
  <c r="Y137" i="2"/>
  <c r="X137" i="2"/>
  <c r="W137" i="2"/>
  <c r="AK136" i="2"/>
  <c r="AP136" i="2" s="1"/>
  <c r="AF136" i="2"/>
  <c r="AA136" i="2"/>
  <c r="Y136" i="2"/>
  <c r="Z136" i="2" s="1"/>
  <c r="AB136" i="2" s="1"/>
  <c r="X136" i="2"/>
  <c r="W136" i="2"/>
  <c r="AO135" i="2"/>
  <c r="AK135" i="2"/>
  <c r="AM135" i="2" s="1"/>
  <c r="AJ135" i="2"/>
  <c r="AG135" i="2"/>
  <c r="AF135" i="2"/>
  <c r="AI135" i="2" s="1"/>
  <c r="AD135" i="2"/>
  <c r="AB135" i="2"/>
  <c r="AA135" i="2"/>
  <c r="Z135" i="2"/>
  <c r="AC135" i="2" s="1"/>
  <c r="Y135" i="2"/>
  <c r="X135" i="2"/>
  <c r="W135" i="2"/>
  <c r="AP134" i="2"/>
  <c r="AN134" i="2"/>
  <c r="AK134" i="2"/>
  <c r="AH134" i="2"/>
  <c r="AF134" i="2"/>
  <c r="AC134" i="2"/>
  <c r="AB134" i="2"/>
  <c r="AA134" i="2"/>
  <c r="Y134" i="2"/>
  <c r="Z134" i="2" s="1"/>
  <c r="X134" i="2"/>
  <c r="W134" i="2"/>
  <c r="AO133" i="2"/>
  <c r="AN133" i="2"/>
  <c r="AK133" i="2"/>
  <c r="AM133" i="2" s="1"/>
  <c r="AJ133" i="2"/>
  <c r="AH133" i="2"/>
  <c r="AG133" i="2"/>
  <c r="AF133" i="2"/>
  <c r="AD133" i="2"/>
  <c r="AE133" i="2" s="1"/>
  <c r="AB133" i="2"/>
  <c r="AA133" i="2"/>
  <c r="Z133" i="2"/>
  <c r="AC133" i="2" s="1"/>
  <c r="Y133" i="2"/>
  <c r="X133" i="2"/>
  <c r="W133" i="2"/>
  <c r="AN132" i="2"/>
  <c r="AK132" i="2"/>
  <c r="AH132" i="2"/>
  <c r="AF132" i="2"/>
  <c r="AC132" i="2"/>
  <c r="AB132" i="2"/>
  <c r="AA132" i="2"/>
  <c r="Y132" i="2"/>
  <c r="Z132" i="2" s="1"/>
  <c r="X132" i="2"/>
  <c r="W132" i="2"/>
  <c r="AO131" i="2"/>
  <c r="AK131" i="2"/>
  <c r="AM131" i="2" s="1"/>
  <c r="AJ131" i="2"/>
  <c r="AG131" i="2"/>
  <c r="AF131" i="2"/>
  <c r="AI131" i="2" s="1"/>
  <c r="AD131" i="2"/>
  <c r="AB131" i="2"/>
  <c r="AA131" i="2"/>
  <c r="Z131" i="2"/>
  <c r="AC131" i="2" s="1"/>
  <c r="Y131" i="2"/>
  <c r="X131" i="2"/>
  <c r="W131" i="2"/>
  <c r="AN130" i="2"/>
  <c r="AK130" i="2"/>
  <c r="AH130" i="2"/>
  <c r="AF130" i="2"/>
  <c r="AC130" i="2"/>
  <c r="AB130" i="2"/>
  <c r="AA130" i="2"/>
  <c r="Y130" i="2"/>
  <c r="Z130" i="2" s="1"/>
  <c r="X130" i="2"/>
  <c r="W130" i="2"/>
  <c r="AO129" i="2"/>
  <c r="AN129" i="2"/>
  <c r="AK129" i="2"/>
  <c r="AM129" i="2" s="1"/>
  <c r="AJ129" i="2"/>
  <c r="AH129" i="2"/>
  <c r="AG129" i="2"/>
  <c r="AF129" i="2"/>
  <c r="AD129" i="2"/>
  <c r="AA129" i="2"/>
  <c r="Z129" i="2"/>
  <c r="AC129" i="2" s="1"/>
  <c r="Y129" i="2"/>
  <c r="X129" i="2"/>
  <c r="W129" i="2"/>
  <c r="AP128" i="2"/>
  <c r="AN128" i="2"/>
  <c r="AK128" i="2"/>
  <c r="AH128" i="2"/>
  <c r="AF128" i="2"/>
  <c r="AC128" i="2"/>
  <c r="AB128" i="2"/>
  <c r="AA128" i="2"/>
  <c r="Y128" i="2"/>
  <c r="Z128" i="2" s="1"/>
  <c r="X128" i="2"/>
  <c r="W128" i="2"/>
  <c r="AO127" i="2"/>
  <c r="AK127" i="2"/>
  <c r="AM127" i="2" s="1"/>
  <c r="AJ127" i="2"/>
  <c r="AG127" i="2"/>
  <c r="AF127" i="2"/>
  <c r="AI127" i="2" s="1"/>
  <c r="AD127" i="2"/>
  <c r="AB127" i="2"/>
  <c r="AA127" i="2"/>
  <c r="Z127" i="2"/>
  <c r="AC127" i="2" s="1"/>
  <c r="Y127" i="2"/>
  <c r="X127" i="2"/>
  <c r="W127" i="2"/>
  <c r="AP126" i="2"/>
  <c r="AN126" i="2"/>
  <c r="AK126" i="2"/>
  <c r="AH126" i="2"/>
  <c r="AF126" i="2"/>
  <c r="AA126" i="2"/>
  <c r="Y126" i="2"/>
  <c r="Z126" i="2" s="1"/>
  <c r="AB126" i="2" s="1"/>
  <c r="X126" i="2"/>
  <c r="W126" i="2"/>
  <c r="AO125" i="2"/>
  <c r="AN125" i="2"/>
  <c r="AK125" i="2"/>
  <c r="AM125" i="2" s="1"/>
  <c r="AJ125" i="2"/>
  <c r="AH125" i="2"/>
  <c r="AG125" i="2"/>
  <c r="AF125" i="2"/>
  <c r="AB125" i="2"/>
  <c r="AA125" i="2"/>
  <c r="Z125" i="2"/>
  <c r="AC125" i="2" s="1"/>
  <c r="AD125" i="2" s="1"/>
  <c r="AE125" i="2" s="1"/>
  <c r="Y125" i="2"/>
  <c r="X125" i="2"/>
  <c r="W125" i="2"/>
  <c r="AK124" i="2"/>
  <c r="AP124" i="2" s="1"/>
  <c r="AF124" i="2"/>
  <c r="AA124" i="2"/>
  <c r="Y124" i="2"/>
  <c r="Z124" i="2" s="1"/>
  <c r="AB124" i="2" s="1"/>
  <c r="X124" i="2"/>
  <c r="W124" i="2"/>
  <c r="AO123" i="2"/>
  <c r="AK123" i="2"/>
  <c r="AM123" i="2" s="1"/>
  <c r="AJ123" i="2"/>
  <c r="AG123" i="2"/>
  <c r="AF123" i="2"/>
  <c r="AI123" i="2" s="1"/>
  <c r="AD123" i="2"/>
  <c r="AB123" i="2"/>
  <c r="AA123" i="2"/>
  <c r="Z123" i="2"/>
  <c r="AC123" i="2" s="1"/>
  <c r="Y123" i="2"/>
  <c r="X123" i="2"/>
  <c r="W123" i="2"/>
  <c r="AP122" i="2"/>
  <c r="AN122" i="2"/>
  <c r="AK122" i="2"/>
  <c r="AH122" i="2"/>
  <c r="AF122" i="2"/>
  <c r="AA122" i="2"/>
  <c r="Y122" i="2"/>
  <c r="Z122" i="2" s="1"/>
  <c r="AB122" i="2" s="1"/>
  <c r="X122" i="2"/>
  <c r="W122" i="2"/>
  <c r="AO121" i="2"/>
  <c r="AN121" i="2"/>
  <c r="AK121" i="2"/>
  <c r="AM121" i="2" s="1"/>
  <c r="AJ121" i="2"/>
  <c r="AH121" i="2"/>
  <c r="AG121" i="2"/>
  <c r="AF121" i="2"/>
  <c r="AB121" i="2"/>
  <c r="AA121" i="2"/>
  <c r="Z121" i="2"/>
  <c r="AC121" i="2" s="1"/>
  <c r="AD121" i="2" s="1"/>
  <c r="Y121" i="2"/>
  <c r="X121" i="2"/>
  <c r="W121" i="2"/>
  <c r="AK120" i="2"/>
  <c r="AP120" i="2" s="1"/>
  <c r="AF120" i="2"/>
  <c r="AB120" i="2"/>
  <c r="AA120" i="2"/>
  <c r="Y120" i="2"/>
  <c r="Z120" i="2" s="1"/>
  <c r="AC120" i="2" s="1"/>
  <c r="X120" i="2"/>
  <c r="W120" i="2"/>
  <c r="AO119" i="2"/>
  <c r="AK119" i="2"/>
  <c r="AM119" i="2" s="1"/>
  <c r="AJ119" i="2"/>
  <c r="AG119" i="2"/>
  <c r="AF119" i="2"/>
  <c r="AI119" i="2" s="1"/>
  <c r="AB119" i="2"/>
  <c r="AA119" i="2"/>
  <c r="Z119" i="2"/>
  <c r="AC119" i="2" s="1"/>
  <c r="AD119" i="2" s="1"/>
  <c r="AE119" i="2" s="1"/>
  <c r="Y119" i="2"/>
  <c r="X119" i="2"/>
  <c r="W119" i="2"/>
  <c r="AK118" i="2"/>
  <c r="AP118" i="2" s="1"/>
  <c r="AF118" i="2"/>
  <c r="AA118" i="2"/>
  <c r="Y118" i="2"/>
  <c r="Z118" i="2" s="1"/>
  <c r="AB118" i="2" s="1"/>
  <c r="X118" i="2"/>
  <c r="W118" i="2"/>
  <c r="AO117" i="2"/>
  <c r="AN117" i="2"/>
  <c r="AK117" i="2"/>
  <c r="AM117" i="2" s="1"/>
  <c r="AJ117" i="2"/>
  <c r="AH117" i="2"/>
  <c r="AG117" i="2"/>
  <c r="AF117" i="2"/>
  <c r="AD117" i="2"/>
  <c r="AE117" i="2" s="1"/>
  <c r="AB117" i="2"/>
  <c r="AA117" i="2"/>
  <c r="Z117" i="2"/>
  <c r="AC117" i="2" s="1"/>
  <c r="Y117" i="2"/>
  <c r="X117" i="2"/>
  <c r="W117" i="2"/>
  <c r="AN116" i="2"/>
  <c r="AK116" i="2"/>
  <c r="AH116" i="2"/>
  <c r="AF116" i="2"/>
  <c r="AC116" i="2"/>
  <c r="AA116" i="2"/>
  <c r="Y116" i="2"/>
  <c r="Z116" i="2" s="1"/>
  <c r="AB116" i="2" s="1"/>
  <c r="X116" i="2"/>
  <c r="W116" i="2"/>
  <c r="AO115" i="2"/>
  <c r="AK115" i="2"/>
  <c r="AM115" i="2" s="1"/>
  <c r="AJ115" i="2"/>
  <c r="AG115" i="2"/>
  <c r="AF115" i="2"/>
  <c r="AI115" i="2" s="1"/>
  <c r="AB115" i="2"/>
  <c r="AA115" i="2"/>
  <c r="Z115" i="2"/>
  <c r="AC115" i="2" s="1"/>
  <c r="AD115" i="2" s="1"/>
  <c r="AE115" i="2" s="1"/>
  <c r="Y115" i="2"/>
  <c r="X115" i="2"/>
  <c r="W115" i="2"/>
  <c r="AK114" i="2"/>
  <c r="AP114" i="2" s="1"/>
  <c r="AF114" i="2"/>
  <c r="AA114" i="2"/>
  <c r="Y114" i="2"/>
  <c r="Z114" i="2" s="1"/>
  <c r="AB114" i="2" s="1"/>
  <c r="X114" i="2"/>
  <c r="W114" i="2"/>
  <c r="AO113" i="2"/>
  <c r="AN113" i="2"/>
  <c r="AK113" i="2"/>
  <c r="AM113" i="2" s="1"/>
  <c r="AJ113" i="2"/>
  <c r="AH113" i="2"/>
  <c r="AG113" i="2"/>
  <c r="AF113" i="2"/>
  <c r="AD113" i="2"/>
  <c r="AB113" i="2"/>
  <c r="AA113" i="2"/>
  <c r="Z113" i="2"/>
  <c r="AC113" i="2" s="1"/>
  <c r="Y113" i="2"/>
  <c r="X113" i="2"/>
  <c r="W113" i="2"/>
  <c r="AN112" i="2"/>
  <c r="AK112" i="2"/>
  <c r="AH112" i="2"/>
  <c r="AF112" i="2"/>
  <c r="AC112" i="2"/>
  <c r="AA112" i="2"/>
  <c r="Y112" i="2"/>
  <c r="Z112" i="2" s="1"/>
  <c r="AB112" i="2" s="1"/>
  <c r="X112" i="2"/>
  <c r="W112" i="2"/>
  <c r="AO111" i="2"/>
  <c r="AK111" i="2"/>
  <c r="AM111" i="2" s="1"/>
  <c r="AJ111" i="2"/>
  <c r="AG111" i="2"/>
  <c r="AF111" i="2"/>
  <c r="AI111" i="2" s="1"/>
  <c r="AB111" i="2"/>
  <c r="AA111" i="2"/>
  <c r="Z111" i="2"/>
  <c r="AC111" i="2" s="1"/>
  <c r="AD111" i="2" s="1"/>
  <c r="AE111" i="2" s="1"/>
  <c r="Y111" i="2"/>
  <c r="X111" i="2"/>
  <c r="W111" i="2"/>
  <c r="AK110" i="2"/>
  <c r="AP110" i="2" s="1"/>
  <c r="AF110" i="2"/>
  <c r="AA110" i="2"/>
  <c r="Y110" i="2"/>
  <c r="Z110" i="2" s="1"/>
  <c r="AB110" i="2" s="1"/>
  <c r="X110" i="2"/>
  <c r="W110" i="2"/>
  <c r="AO109" i="2"/>
  <c r="AN109" i="2"/>
  <c r="AK109" i="2"/>
  <c r="AM109" i="2" s="1"/>
  <c r="AJ109" i="2"/>
  <c r="AH109" i="2"/>
  <c r="AG109" i="2"/>
  <c r="AF109" i="2"/>
  <c r="AD109" i="2"/>
  <c r="AB109" i="2"/>
  <c r="AA109" i="2"/>
  <c r="Z109" i="2"/>
  <c r="AC109" i="2" s="1"/>
  <c r="Y109" i="2"/>
  <c r="X109" i="2"/>
  <c r="W109" i="2"/>
  <c r="AN108" i="2"/>
  <c r="AK108" i="2"/>
  <c r="AH108" i="2"/>
  <c r="AF108" i="2"/>
  <c r="AC108" i="2"/>
  <c r="AB108" i="2"/>
  <c r="AA108" i="2"/>
  <c r="Y108" i="2"/>
  <c r="Z108" i="2" s="1"/>
  <c r="X108" i="2"/>
  <c r="W108" i="2"/>
  <c r="AO107" i="2"/>
  <c r="AK107" i="2"/>
  <c r="AM107" i="2" s="1"/>
  <c r="AJ107" i="2"/>
  <c r="AG107" i="2"/>
  <c r="AF107" i="2"/>
  <c r="AI107" i="2" s="1"/>
  <c r="AD107" i="2"/>
  <c r="AB107" i="2"/>
  <c r="AA107" i="2"/>
  <c r="Z107" i="2"/>
  <c r="AC107" i="2" s="1"/>
  <c r="Y107" i="2"/>
  <c r="X107" i="2"/>
  <c r="W107" i="2"/>
  <c r="AN106" i="2"/>
  <c r="AK106" i="2"/>
  <c r="AH106" i="2"/>
  <c r="AF106" i="2"/>
  <c r="AC106" i="2"/>
  <c r="AA106" i="2"/>
  <c r="Y106" i="2"/>
  <c r="Z106" i="2" s="1"/>
  <c r="AB106" i="2" s="1"/>
  <c r="X106" i="2"/>
  <c r="W106" i="2"/>
  <c r="AO105" i="2"/>
  <c r="AN105" i="2"/>
  <c r="AK105" i="2"/>
  <c r="AM105" i="2" s="1"/>
  <c r="AJ105" i="2"/>
  <c r="AH105" i="2"/>
  <c r="AG105" i="2"/>
  <c r="AF105" i="2"/>
  <c r="AB105" i="2"/>
  <c r="AA105" i="2"/>
  <c r="Z105" i="2"/>
  <c r="AC105" i="2" s="1"/>
  <c r="AD105" i="2" s="1"/>
  <c r="Y105" i="2"/>
  <c r="X105" i="2"/>
  <c r="W105" i="2"/>
  <c r="AP104" i="2"/>
  <c r="AK104" i="2"/>
  <c r="AF104" i="2"/>
  <c r="AB104" i="2"/>
  <c r="AA104" i="2"/>
  <c r="Y104" i="2"/>
  <c r="Z104" i="2" s="1"/>
  <c r="AC104" i="2" s="1"/>
  <c r="X104" i="2"/>
  <c r="W104" i="2"/>
  <c r="AO103" i="2"/>
  <c r="AK103" i="2"/>
  <c r="AM103" i="2" s="1"/>
  <c r="AJ103" i="2"/>
  <c r="AG103" i="2"/>
  <c r="AF103" i="2"/>
  <c r="AI103" i="2" s="1"/>
  <c r="AA103" i="2"/>
  <c r="Z103" i="2"/>
  <c r="AC103" i="2" s="1"/>
  <c r="AD103" i="2" s="1"/>
  <c r="Y103" i="2"/>
  <c r="X103" i="2"/>
  <c r="W103" i="2"/>
  <c r="AP102" i="2"/>
  <c r="AK102" i="2"/>
  <c r="AG102" i="2"/>
  <c r="AF102" i="2"/>
  <c r="AJ102" i="2" s="1"/>
  <c r="AA102" i="2"/>
  <c r="Y102" i="2"/>
  <c r="Z102" i="2" s="1"/>
  <c r="AB102" i="2" s="1"/>
  <c r="W102" i="2"/>
  <c r="AM101" i="2"/>
  <c r="AK101" i="2"/>
  <c r="AG101" i="2"/>
  <c r="AF101" i="2"/>
  <c r="AJ101" i="2" s="1"/>
  <c r="AA101" i="2"/>
  <c r="Y101" i="2"/>
  <c r="Z101" i="2" s="1"/>
  <c r="AB101" i="2" s="1"/>
  <c r="W101" i="2"/>
  <c r="AK100" i="2"/>
  <c r="AO100" i="2" s="1"/>
  <c r="AG100" i="2"/>
  <c r="AF100" i="2"/>
  <c r="AJ100" i="2" s="1"/>
  <c r="AB100" i="2"/>
  <c r="AA100" i="2"/>
  <c r="Y100" i="2"/>
  <c r="Z100" i="2" s="1"/>
  <c r="AC100" i="2" s="1"/>
  <c r="AD100" i="2" s="1"/>
  <c r="W100" i="2"/>
  <c r="AK99" i="2"/>
  <c r="AO99" i="2" s="1"/>
  <c r="AI99" i="2"/>
  <c r="AG99" i="2"/>
  <c r="AF99" i="2"/>
  <c r="AJ99" i="2" s="1"/>
  <c r="AE99" i="2"/>
  <c r="AC99" i="2"/>
  <c r="AD99" i="2" s="1"/>
  <c r="AA99" i="2"/>
  <c r="Y99" i="2"/>
  <c r="Z99" i="2" s="1"/>
  <c r="AB99" i="2" s="1"/>
  <c r="W99" i="2"/>
  <c r="AO98" i="2"/>
  <c r="AM98" i="2"/>
  <c r="AK98" i="2"/>
  <c r="AI98" i="2"/>
  <c r="AG98" i="2"/>
  <c r="AF98" i="2"/>
  <c r="AJ98" i="2" s="1"/>
  <c r="AC98" i="2"/>
  <c r="AD98" i="2" s="1"/>
  <c r="AB98" i="2"/>
  <c r="AA98" i="2"/>
  <c r="Y98" i="2"/>
  <c r="Z98" i="2" s="1"/>
  <c r="W98" i="2"/>
  <c r="AM97" i="2"/>
  <c r="AK97" i="2"/>
  <c r="AI97" i="2"/>
  <c r="AG97" i="2"/>
  <c r="AF97" i="2"/>
  <c r="AJ97" i="2" s="1"/>
  <c r="AC97" i="2"/>
  <c r="AD97" i="2" s="1"/>
  <c r="AA97" i="2"/>
  <c r="Y97" i="2"/>
  <c r="Z97" i="2" s="1"/>
  <c r="AB97" i="2" s="1"/>
  <c r="W97" i="2"/>
  <c r="AO96" i="2"/>
  <c r="AK96" i="2"/>
  <c r="AG96" i="2"/>
  <c r="AF96" i="2"/>
  <c r="AJ96" i="2" s="1"/>
  <c r="AB96" i="2"/>
  <c r="AA96" i="2"/>
  <c r="Y96" i="2"/>
  <c r="Z96" i="2" s="1"/>
  <c r="AC96" i="2" s="1"/>
  <c r="AD96" i="2" s="1"/>
  <c r="W96" i="2"/>
  <c r="AO95" i="2"/>
  <c r="AK95" i="2"/>
  <c r="AG95" i="2"/>
  <c r="AF95" i="2"/>
  <c r="AJ95" i="2" s="1"/>
  <c r="AA95" i="2"/>
  <c r="Y95" i="2"/>
  <c r="Z95" i="2" s="1"/>
  <c r="AB95" i="2" s="1"/>
  <c r="W95" i="2"/>
  <c r="AM94" i="2"/>
  <c r="AK94" i="2"/>
  <c r="AG94" i="2"/>
  <c r="AF94" i="2"/>
  <c r="AJ94" i="2" s="1"/>
  <c r="AA94" i="2"/>
  <c r="Y94" i="2"/>
  <c r="Z94" i="2" s="1"/>
  <c r="AB94" i="2" s="1"/>
  <c r="W94" i="2"/>
  <c r="AK93" i="2"/>
  <c r="AO93" i="2" s="1"/>
  <c r="AI93" i="2"/>
  <c r="AG93" i="2"/>
  <c r="AF93" i="2"/>
  <c r="AJ93" i="2" s="1"/>
  <c r="AC93" i="2"/>
  <c r="AD93" i="2" s="1"/>
  <c r="AA93" i="2"/>
  <c r="Y93" i="2"/>
  <c r="Z93" i="2" s="1"/>
  <c r="AB93" i="2" s="1"/>
  <c r="W93" i="2"/>
  <c r="AM92" i="2"/>
  <c r="AK92" i="2"/>
  <c r="AI92" i="2"/>
  <c r="AG92" i="2"/>
  <c r="AF92" i="2"/>
  <c r="AJ92" i="2" s="1"/>
  <c r="AC92" i="2"/>
  <c r="AD92" i="2" s="1"/>
  <c r="AA92" i="2"/>
  <c r="Y92" i="2"/>
  <c r="Z92" i="2" s="1"/>
  <c r="AB92" i="2" s="1"/>
  <c r="W92" i="2"/>
  <c r="AO91" i="2"/>
  <c r="AK91" i="2"/>
  <c r="AG91" i="2"/>
  <c r="AF91" i="2"/>
  <c r="AJ91" i="2" s="1"/>
  <c r="AA91" i="2"/>
  <c r="Y91" i="2"/>
  <c r="Z91" i="2" s="1"/>
  <c r="AB91" i="2" s="1"/>
  <c r="W91" i="2"/>
  <c r="AM90" i="2"/>
  <c r="AK90" i="2"/>
  <c r="AG90" i="2"/>
  <c r="AF90" i="2"/>
  <c r="AJ90" i="2" s="1"/>
  <c r="AA90" i="2"/>
  <c r="Y90" i="2"/>
  <c r="Z90" i="2" s="1"/>
  <c r="AB90" i="2" s="1"/>
  <c r="W90" i="2"/>
  <c r="AK89" i="2"/>
  <c r="AO89" i="2" s="1"/>
  <c r="AG89" i="2"/>
  <c r="AF89" i="2"/>
  <c r="AJ89" i="2" s="1"/>
  <c r="AB89" i="2"/>
  <c r="AA89" i="2"/>
  <c r="Y89" i="2"/>
  <c r="Z89" i="2" s="1"/>
  <c r="AC89" i="2" s="1"/>
  <c r="AD89" i="2" s="1"/>
  <c r="W89" i="2"/>
  <c r="AK88" i="2"/>
  <c r="AO88" i="2" s="1"/>
  <c r="AI88" i="2"/>
  <c r="AG88" i="2"/>
  <c r="AF88" i="2"/>
  <c r="AJ88" i="2" s="1"/>
  <c r="AE88" i="2"/>
  <c r="AC88" i="2"/>
  <c r="AD88" i="2" s="1"/>
  <c r="AA88" i="2"/>
  <c r="Y88" i="2"/>
  <c r="Z88" i="2" s="1"/>
  <c r="AB88" i="2" s="1"/>
  <c r="W88" i="2"/>
  <c r="AM87" i="2"/>
  <c r="AK87" i="2"/>
  <c r="AI87" i="2"/>
  <c r="AG87" i="2"/>
  <c r="AF87" i="2"/>
  <c r="AJ87" i="2" s="1"/>
  <c r="AC87" i="2"/>
  <c r="AD87" i="2" s="1"/>
  <c r="AE87" i="2" s="1"/>
  <c r="AA87" i="2"/>
  <c r="Y87" i="2"/>
  <c r="Z87" i="2" s="1"/>
  <c r="AB87" i="2" s="1"/>
  <c r="W87" i="2"/>
  <c r="AO86" i="2"/>
  <c r="AK86" i="2"/>
  <c r="AG86" i="2"/>
  <c r="AF86" i="2"/>
  <c r="AJ86" i="2" s="1"/>
  <c r="AA86" i="2"/>
  <c r="Y86" i="2"/>
  <c r="Z86" i="2" s="1"/>
  <c r="AB86" i="2" s="1"/>
  <c r="W86" i="2"/>
  <c r="AM85" i="2"/>
  <c r="AK85" i="2"/>
  <c r="AG85" i="2"/>
  <c r="AF85" i="2"/>
  <c r="AJ85" i="2" s="1"/>
  <c r="AA85" i="2"/>
  <c r="Y85" i="2"/>
  <c r="Z85" i="2" s="1"/>
  <c r="AB85" i="2" s="1"/>
  <c r="W85" i="2"/>
  <c r="AK84" i="2"/>
  <c r="AO84" i="2" s="1"/>
  <c r="AG84" i="2"/>
  <c r="AF84" i="2"/>
  <c r="AJ84" i="2" s="1"/>
  <c r="AB84" i="2"/>
  <c r="AA84" i="2"/>
  <c r="Y84" i="2"/>
  <c r="Z84" i="2" s="1"/>
  <c r="AC84" i="2" s="1"/>
  <c r="AD84" i="2" s="1"/>
  <c r="W84" i="2"/>
  <c r="AK83" i="2"/>
  <c r="AO83" i="2" s="1"/>
  <c r="AG83" i="2"/>
  <c r="AF83" i="2"/>
  <c r="AJ83" i="2" s="1"/>
  <c r="AB83" i="2"/>
  <c r="AA83" i="2"/>
  <c r="Z83" i="2"/>
  <c r="AC83" i="2" s="1"/>
  <c r="AD83" i="2" s="1"/>
  <c r="Y83" i="2"/>
  <c r="AI83" i="2" s="1"/>
  <c r="W83" i="2"/>
  <c r="AO82" i="2"/>
  <c r="AM82" i="2"/>
  <c r="AK82" i="2"/>
  <c r="AI82" i="2"/>
  <c r="AG82" i="2"/>
  <c r="AF82" i="2"/>
  <c r="AJ82" i="2" s="1"/>
  <c r="AA82" i="2"/>
  <c r="Z82" i="2"/>
  <c r="AB82" i="2" s="1"/>
  <c r="Y82" i="2"/>
  <c r="W82" i="2"/>
  <c r="X82" i="2" s="1"/>
  <c r="AO81" i="2"/>
  <c r="AM81" i="2"/>
  <c r="AK81" i="2"/>
  <c r="AI81" i="2"/>
  <c r="AG81" i="2"/>
  <c r="AF81" i="2"/>
  <c r="AJ81" i="2" s="1"/>
  <c r="AA81" i="2"/>
  <c r="Z81" i="2"/>
  <c r="AB81" i="2" s="1"/>
  <c r="Y81" i="2"/>
  <c r="W81" i="2"/>
  <c r="X81" i="2" s="1"/>
  <c r="AO80" i="2"/>
  <c r="AM80" i="2"/>
  <c r="AK80" i="2"/>
  <c r="AI80" i="2"/>
  <c r="AG80" i="2"/>
  <c r="AF80" i="2"/>
  <c r="AJ80" i="2" s="1"/>
  <c r="AA80" i="2"/>
  <c r="Z80" i="2"/>
  <c r="AB80" i="2" s="1"/>
  <c r="Y80" i="2"/>
  <c r="W80" i="2"/>
  <c r="X80" i="2" s="1"/>
  <c r="AO79" i="2"/>
  <c r="AM79" i="2"/>
  <c r="AK79" i="2"/>
  <c r="AI79" i="2"/>
  <c r="AG79" i="2"/>
  <c r="AF79" i="2"/>
  <c r="AJ79" i="2" s="1"/>
  <c r="AA79" i="2"/>
  <c r="Z79" i="2"/>
  <c r="AB79" i="2" s="1"/>
  <c r="Y79" i="2"/>
  <c r="W79" i="2"/>
  <c r="X79" i="2" s="1"/>
  <c r="AO78" i="2"/>
  <c r="AM78" i="2"/>
  <c r="AK78" i="2"/>
  <c r="AI78" i="2"/>
  <c r="AH78" i="2"/>
  <c r="AG78" i="2"/>
  <c r="AF78" i="2"/>
  <c r="AJ78" i="2" s="1"/>
  <c r="AB78" i="2"/>
  <c r="AA78" i="2"/>
  <c r="Y78" i="2"/>
  <c r="Z78" i="2" s="1"/>
  <c r="AC78" i="2" s="1"/>
  <c r="AD78" i="2" s="1"/>
  <c r="W78" i="2"/>
  <c r="X78" i="2" s="1"/>
  <c r="AK77" i="2"/>
  <c r="AN77" i="2" s="1"/>
  <c r="AI77" i="2"/>
  <c r="AH77" i="2"/>
  <c r="AG77" i="2"/>
  <c r="AF77" i="2"/>
  <c r="AJ77" i="2" s="1"/>
  <c r="AB77" i="2"/>
  <c r="AA77" i="2"/>
  <c r="Z77" i="2"/>
  <c r="AC77" i="2" s="1"/>
  <c r="AD77" i="2" s="1"/>
  <c r="AE77" i="2" s="1"/>
  <c r="Y77" i="2"/>
  <c r="X77" i="2"/>
  <c r="W77" i="2"/>
  <c r="AP76" i="2"/>
  <c r="AN76" i="2"/>
  <c r="AM76" i="2"/>
  <c r="AL76" i="2"/>
  <c r="AK76" i="2"/>
  <c r="AO76" i="2" s="1"/>
  <c r="AH76" i="2"/>
  <c r="AF76" i="2"/>
  <c r="AG76" i="2" s="1"/>
  <c r="AA76" i="2"/>
  <c r="Z76" i="2"/>
  <c r="AC76" i="2" s="1"/>
  <c r="AD76" i="2" s="1"/>
  <c r="AE76" i="2" s="1"/>
  <c r="Y76" i="2"/>
  <c r="X76" i="2"/>
  <c r="W76" i="2"/>
  <c r="AP75" i="2"/>
  <c r="AN75" i="2"/>
  <c r="AM75" i="2"/>
  <c r="AL75" i="2"/>
  <c r="AK75" i="2"/>
  <c r="AO75" i="2" s="1"/>
  <c r="AH75" i="2"/>
  <c r="AF75" i="2"/>
  <c r="AG75" i="2" s="1"/>
  <c r="AA75" i="2"/>
  <c r="Z75" i="2"/>
  <c r="AC75" i="2" s="1"/>
  <c r="AD75" i="2" s="1"/>
  <c r="AE75" i="2" s="1"/>
  <c r="Y75" i="2"/>
  <c r="X75" i="2"/>
  <c r="W75" i="2"/>
  <c r="AP74" i="2"/>
  <c r="AN74" i="2"/>
  <c r="AM74" i="2"/>
  <c r="AL74" i="2"/>
  <c r="AK74" i="2"/>
  <c r="AO74" i="2" s="1"/>
  <c r="AH74" i="2"/>
  <c r="AF74" i="2"/>
  <c r="AG74" i="2" s="1"/>
  <c r="AA74" i="2"/>
  <c r="Z74" i="2"/>
  <c r="AC74" i="2" s="1"/>
  <c r="AD74" i="2" s="1"/>
  <c r="Y74" i="2"/>
  <c r="X74" i="2"/>
  <c r="W74" i="2"/>
  <c r="AP73" i="2"/>
  <c r="AN73" i="2"/>
  <c r="AM73" i="2"/>
  <c r="AL73" i="2"/>
  <c r="AK73" i="2"/>
  <c r="AO73" i="2" s="1"/>
  <c r="AH73" i="2"/>
  <c r="AF73" i="2"/>
  <c r="AG73" i="2" s="1"/>
  <c r="AA73" i="2"/>
  <c r="Z73" i="2"/>
  <c r="AC73" i="2" s="1"/>
  <c r="AD73" i="2" s="1"/>
  <c r="Y73" i="2"/>
  <c r="X73" i="2"/>
  <c r="W73" i="2"/>
  <c r="AP72" i="2"/>
  <c r="AN72" i="2"/>
  <c r="AM72" i="2"/>
  <c r="AL72" i="2"/>
  <c r="AK72" i="2"/>
  <c r="AO72" i="2" s="1"/>
  <c r="AH72" i="2"/>
  <c r="AF72" i="2"/>
  <c r="AG72" i="2" s="1"/>
  <c r="AA72" i="2"/>
  <c r="Z72" i="2"/>
  <c r="AC72" i="2" s="1"/>
  <c r="AD72" i="2" s="1"/>
  <c r="Y72" i="2"/>
  <c r="X72" i="2"/>
  <c r="W72" i="2"/>
  <c r="AP71" i="2"/>
  <c r="AN71" i="2"/>
  <c r="AM71" i="2"/>
  <c r="AL71" i="2"/>
  <c r="AK71" i="2"/>
  <c r="AO71" i="2" s="1"/>
  <c r="AH71" i="2"/>
  <c r="AF71" i="2"/>
  <c r="AG71" i="2" s="1"/>
  <c r="AA71" i="2"/>
  <c r="Z71" i="2"/>
  <c r="AC71" i="2" s="1"/>
  <c r="AD71" i="2" s="1"/>
  <c r="AE71" i="2" s="1"/>
  <c r="Y71" i="2"/>
  <c r="X71" i="2"/>
  <c r="W71" i="2"/>
  <c r="AP70" i="2"/>
  <c r="AN70" i="2"/>
  <c r="AM70" i="2"/>
  <c r="AL70" i="2"/>
  <c r="AK70" i="2"/>
  <c r="AO70" i="2" s="1"/>
  <c r="AH70" i="2"/>
  <c r="AF70" i="2"/>
  <c r="AG70" i="2" s="1"/>
  <c r="AB70" i="2"/>
  <c r="AA70" i="2"/>
  <c r="Z70" i="2"/>
  <c r="AC70" i="2" s="1"/>
  <c r="AD70" i="2" s="1"/>
  <c r="Y70" i="2"/>
  <c r="X70" i="2"/>
  <c r="W70" i="2"/>
  <c r="AP69" i="2"/>
  <c r="AN69" i="2"/>
  <c r="AM69" i="2"/>
  <c r="AL69" i="2"/>
  <c r="AK69" i="2"/>
  <c r="AO69" i="2" s="1"/>
  <c r="AH69" i="2"/>
  <c r="AF69" i="2"/>
  <c r="AG69" i="2" s="1"/>
  <c r="AA69" i="2"/>
  <c r="Z69" i="2"/>
  <c r="AC69" i="2" s="1"/>
  <c r="AD69" i="2" s="1"/>
  <c r="AE69" i="2" s="1"/>
  <c r="Y69" i="2"/>
  <c r="X69" i="2"/>
  <c r="W69" i="2"/>
  <c r="AP68" i="2"/>
  <c r="AN68" i="2"/>
  <c r="AM68" i="2"/>
  <c r="AL68" i="2"/>
  <c r="AK68" i="2"/>
  <c r="AO68" i="2" s="1"/>
  <c r="AH68" i="2"/>
  <c r="AF68" i="2"/>
  <c r="AG68" i="2" s="1"/>
  <c r="AA68" i="2"/>
  <c r="Z68" i="2"/>
  <c r="AC68" i="2" s="1"/>
  <c r="AD68" i="2" s="1"/>
  <c r="AE68" i="2" s="1"/>
  <c r="Y68" i="2"/>
  <c r="X68" i="2"/>
  <c r="W68" i="2"/>
  <c r="AP67" i="2"/>
  <c r="AN67" i="2"/>
  <c r="AM67" i="2"/>
  <c r="AL67" i="2"/>
  <c r="AK67" i="2"/>
  <c r="AO67" i="2" s="1"/>
  <c r="AH67" i="2"/>
  <c r="AF67" i="2"/>
  <c r="AG67" i="2" s="1"/>
  <c r="AA67" i="2"/>
  <c r="Z67" i="2"/>
  <c r="AC67" i="2" s="1"/>
  <c r="AD67" i="2" s="1"/>
  <c r="AE67" i="2" s="1"/>
  <c r="Y67" i="2"/>
  <c r="X67" i="2"/>
  <c r="W67" i="2"/>
  <c r="AP66" i="2"/>
  <c r="AN66" i="2"/>
  <c r="AM66" i="2"/>
  <c r="AL66" i="2"/>
  <c r="AK66" i="2"/>
  <c r="AO66" i="2" s="1"/>
  <c r="AH66" i="2"/>
  <c r="AF66" i="2"/>
  <c r="AG66" i="2" s="1"/>
  <c r="AA66" i="2"/>
  <c r="Z66" i="2"/>
  <c r="AC66" i="2" s="1"/>
  <c r="AD66" i="2" s="1"/>
  <c r="AE66" i="2" s="1"/>
  <c r="Y66" i="2"/>
  <c r="X66" i="2"/>
  <c r="W66" i="2"/>
  <c r="AP65" i="2"/>
  <c r="AN65" i="2"/>
  <c r="AM65" i="2"/>
  <c r="AL65" i="2"/>
  <c r="AK65" i="2"/>
  <c r="AO65" i="2" s="1"/>
  <c r="AH65" i="2"/>
  <c r="AF65" i="2"/>
  <c r="AG65" i="2" s="1"/>
  <c r="AA65" i="2"/>
  <c r="Z65" i="2"/>
  <c r="AC65" i="2" s="1"/>
  <c r="AD65" i="2" s="1"/>
  <c r="AE65" i="2" s="1"/>
  <c r="Y65" i="2"/>
  <c r="X65" i="2"/>
  <c r="W65" i="2"/>
  <c r="AP64" i="2"/>
  <c r="AN64" i="2"/>
  <c r="AM64" i="2"/>
  <c r="AL64" i="2"/>
  <c r="AK64" i="2"/>
  <c r="AO64" i="2" s="1"/>
  <c r="AH64" i="2"/>
  <c r="AF64" i="2"/>
  <c r="AG64" i="2" s="1"/>
  <c r="AA64" i="2"/>
  <c r="Z64" i="2"/>
  <c r="AC64" i="2" s="1"/>
  <c r="AD64" i="2" s="1"/>
  <c r="Y64" i="2"/>
  <c r="X64" i="2"/>
  <c r="W64" i="2"/>
  <c r="AP63" i="2"/>
  <c r="AN63" i="2"/>
  <c r="AM63" i="2"/>
  <c r="AL63" i="2"/>
  <c r="AK63" i="2"/>
  <c r="AO63" i="2" s="1"/>
  <c r="AH63" i="2"/>
  <c r="AF63" i="2"/>
  <c r="AG63" i="2" s="1"/>
  <c r="AB63" i="2"/>
  <c r="AA63" i="2"/>
  <c r="Z63" i="2"/>
  <c r="AC63" i="2" s="1"/>
  <c r="AD63" i="2" s="1"/>
  <c r="Y63" i="2"/>
  <c r="X63" i="2"/>
  <c r="W63" i="2"/>
  <c r="AP62" i="2"/>
  <c r="AN62" i="2"/>
  <c r="AM62" i="2"/>
  <c r="AL62" i="2"/>
  <c r="AK62" i="2"/>
  <c r="AO62" i="2" s="1"/>
  <c r="AH62" i="2"/>
  <c r="AF62" i="2"/>
  <c r="AG62" i="2" s="1"/>
  <c r="AB62" i="2"/>
  <c r="AA62" i="2"/>
  <c r="Z62" i="2"/>
  <c r="AC62" i="2" s="1"/>
  <c r="AD62" i="2" s="1"/>
  <c r="Y62" i="2"/>
  <c r="X62" i="2"/>
  <c r="W62" i="2"/>
  <c r="AP61" i="2"/>
  <c r="AN61" i="2"/>
  <c r="AM61" i="2"/>
  <c r="AL61" i="2"/>
  <c r="AK61" i="2"/>
  <c r="AO61" i="2" s="1"/>
  <c r="AH61" i="2"/>
  <c r="AF61" i="2"/>
  <c r="AG61" i="2" s="1"/>
  <c r="AA61" i="2"/>
  <c r="Z61" i="2"/>
  <c r="AC61" i="2" s="1"/>
  <c r="AD61" i="2" s="1"/>
  <c r="AE61" i="2" s="1"/>
  <c r="Y61" i="2"/>
  <c r="X61" i="2"/>
  <c r="W61" i="2"/>
  <c r="AP60" i="2"/>
  <c r="AN60" i="2"/>
  <c r="AM60" i="2"/>
  <c r="AL60" i="2"/>
  <c r="AK60" i="2"/>
  <c r="AO60" i="2" s="1"/>
  <c r="AH60" i="2"/>
  <c r="AF60" i="2"/>
  <c r="AG60" i="2" s="1"/>
  <c r="AA60" i="2"/>
  <c r="Z60" i="2"/>
  <c r="AC60" i="2" s="1"/>
  <c r="AD60" i="2" s="1"/>
  <c r="AE60" i="2" s="1"/>
  <c r="Y60" i="2"/>
  <c r="X60" i="2"/>
  <c r="W60" i="2"/>
  <c r="AP59" i="2"/>
  <c r="AN59" i="2"/>
  <c r="AM59" i="2"/>
  <c r="AL59" i="2"/>
  <c r="AK59" i="2"/>
  <c r="AO59" i="2" s="1"/>
  <c r="AH59" i="2"/>
  <c r="AF59" i="2"/>
  <c r="AG59" i="2" s="1"/>
  <c r="AA59" i="2"/>
  <c r="Z59" i="2"/>
  <c r="AC59" i="2" s="1"/>
  <c r="AD59" i="2" s="1"/>
  <c r="AE59" i="2" s="1"/>
  <c r="Y59" i="2"/>
  <c r="X59" i="2"/>
  <c r="W59" i="2"/>
  <c r="AP58" i="2"/>
  <c r="AN58" i="2"/>
  <c r="AM58" i="2"/>
  <c r="AL58" i="2"/>
  <c r="AK58" i="2"/>
  <c r="AO58" i="2" s="1"/>
  <c r="AH58" i="2"/>
  <c r="AF58" i="2"/>
  <c r="AG58" i="2" s="1"/>
  <c r="AA58" i="2"/>
  <c r="Z58" i="2"/>
  <c r="AC58" i="2" s="1"/>
  <c r="AD58" i="2" s="1"/>
  <c r="Y58" i="2"/>
  <c r="X58" i="2"/>
  <c r="W58" i="2"/>
  <c r="AP57" i="2"/>
  <c r="AN57" i="2"/>
  <c r="AM57" i="2"/>
  <c r="AL57" i="2"/>
  <c r="AK57" i="2"/>
  <c r="AO57" i="2" s="1"/>
  <c r="AH57" i="2"/>
  <c r="AF57" i="2"/>
  <c r="AG57" i="2" s="1"/>
  <c r="AA57" i="2"/>
  <c r="Z57" i="2"/>
  <c r="AC57" i="2" s="1"/>
  <c r="AD57" i="2" s="1"/>
  <c r="AE57" i="2" s="1"/>
  <c r="Y57" i="2"/>
  <c r="X57" i="2"/>
  <c r="W57" i="2"/>
  <c r="AP56" i="2"/>
  <c r="AN56" i="2"/>
  <c r="AM56" i="2"/>
  <c r="AL56" i="2"/>
  <c r="AK56" i="2"/>
  <c r="AO56" i="2" s="1"/>
  <c r="AH56" i="2"/>
  <c r="AF56" i="2"/>
  <c r="AG56" i="2" s="1"/>
  <c r="AA56" i="2"/>
  <c r="Z56" i="2"/>
  <c r="AC56" i="2" s="1"/>
  <c r="AD56" i="2" s="1"/>
  <c r="Y56" i="2"/>
  <c r="X56" i="2"/>
  <c r="W56" i="2"/>
  <c r="AP55" i="2"/>
  <c r="AN55" i="2"/>
  <c r="AM55" i="2"/>
  <c r="AL55" i="2"/>
  <c r="AK55" i="2"/>
  <c r="AO55" i="2" s="1"/>
  <c r="AH55" i="2"/>
  <c r="AF55" i="2"/>
  <c r="AG55" i="2" s="1"/>
  <c r="AA55" i="2"/>
  <c r="Z55" i="2"/>
  <c r="AC55" i="2" s="1"/>
  <c r="AD55" i="2" s="1"/>
  <c r="Y55" i="2"/>
  <c r="X55" i="2"/>
  <c r="W55" i="2"/>
  <c r="AP54" i="2"/>
  <c r="AN54" i="2"/>
  <c r="AM54" i="2"/>
  <c r="AL54" i="2"/>
  <c r="AK54" i="2"/>
  <c r="AO54" i="2" s="1"/>
  <c r="AH54" i="2"/>
  <c r="AF54" i="2"/>
  <c r="AG54" i="2" s="1"/>
  <c r="AA54" i="2"/>
  <c r="Z54" i="2"/>
  <c r="AC54" i="2" s="1"/>
  <c r="AD54" i="2" s="1"/>
  <c r="Y54" i="2"/>
  <c r="X54" i="2"/>
  <c r="W54" i="2"/>
  <c r="AP53" i="2"/>
  <c r="AN53" i="2"/>
  <c r="AM53" i="2"/>
  <c r="AL53" i="2"/>
  <c r="AK53" i="2"/>
  <c r="AO53" i="2" s="1"/>
  <c r="AH53" i="2"/>
  <c r="AF53" i="2"/>
  <c r="AG53" i="2" s="1"/>
  <c r="AA53" i="2"/>
  <c r="Z53" i="2"/>
  <c r="AC53" i="2" s="1"/>
  <c r="AD53" i="2" s="1"/>
  <c r="Y53" i="2"/>
  <c r="X53" i="2"/>
  <c r="W53" i="2"/>
  <c r="AP52" i="2"/>
  <c r="AN52" i="2"/>
  <c r="AM52" i="2"/>
  <c r="AL52" i="2"/>
  <c r="AK52" i="2"/>
  <c r="AO52" i="2" s="1"/>
  <c r="AH52" i="2"/>
  <c r="AF52" i="2"/>
  <c r="AG52" i="2" s="1"/>
  <c r="AA52" i="2"/>
  <c r="Z52" i="2"/>
  <c r="AC52" i="2" s="1"/>
  <c r="AD52" i="2" s="1"/>
  <c r="AE52" i="2" s="1"/>
  <c r="Y52" i="2"/>
  <c r="X52" i="2"/>
  <c r="W52" i="2"/>
  <c r="AP51" i="2"/>
  <c r="AN51" i="2"/>
  <c r="AM51" i="2"/>
  <c r="AL51" i="2"/>
  <c r="AK51" i="2"/>
  <c r="AO51" i="2" s="1"/>
  <c r="AH51" i="2"/>
  <c r="AF51" i="2"/>
  <c r="AG51" i="2" s="1"/>
  <c r="AA51" i="2"/>
  <c r="Z51" i="2"/>
  <c r="AC51" i="2" s="1"/>
  <c r="AD51" i="2" s="1"/>
  <c r="AE51" i="2" s="1"/>
  <c r="Y51" i="2"/>
  <c r="X51" i="2"/>
  <c r="W51" i="2"/>
  <c r="AP50" i="2"/>
  <c r="AN50" i="2"/>
  <c r="AM50" i="2"/>
  <c r="AL50" i="2"/>
  <c r="AK50" i="2"/>
  <c r="AO50" i="2" s="1"/>
  <c r="AH50" i="2"/>
  <c r="AF50" i="2"/>
  <c r="AG50" i="2" s="1"/>
  <c r="AA50" i="2"/>
  <c r="Z50" i="2"/>
  <c r="AC50" i="2" s="1"/>
  <c r="AD50" i="2" s="1"/>
  <c r="AE50" i="2" s="1"/>
  <c r="Y50" i="2"/>
  <c r="X50" i="2"/>
  <c r="W50" i="2"/>
  <c r="AP49" i="2"/>
  <c r="AN49" i="2"/>
  <c r="AM49" i="2"/>
  <c r="AL49" i="2"/>
  <c r="AK49" i="2"/>
  <c r="AO49" i="2" s="1"/>
  <c r="AH49" i="2"/>
  <c r="AF49" i="2"/>
  <c r="AG49" i="2" s="1"/>
  <c r="AB49" i="2"/>
  <c r="AA49" i="2"/>
  <c r="Z49" i="2"/>
  <c r="AC49" i="2" s="1"/>
  <c r="AD49" i="2" s="1"/>
  <c r="Y49" i="2"/>
  <c r="X49" i="2"/>
  <c r="W49" i="2"/>
  <c r="AP48" i="2"/>
  <c r="AN48" i="2"/>
  <c r="AM48" i="2"/>
  <c r="AL48" i="2"/>
  <c r="AK48" i="2"/>
  <c r="AO48" i="2" s="1"/>
  <c r="AH48" i="2"/>
  <c r="AF48" i="2"/>
  <c r="AG48" i="2" s="1"/>
  <c r="AA48" i="2"/>
  <c r="Z48" i="2"/>
  <c r="AC48" i="2" s="1"/>
  <c r="AD48" i="2" s="1"/>
  <c r="AE48" i="2" s="1"/>
  <c r="Y48" i="2"/>
  <c r="X48" i="2"/>
  <c r="W48" i="2"/>
  <c r="AP47" i="2"/>
  <c r="AN47" i="2"/>
  <c r="AM47" i="2"/>
  <c r="AL47" i="2"/>
  <c r="AK47" i="2"/>
  <c r="AO47" i="2" s="1"/>
  <c r="AH47" i="2"/>
  <c r="AF47" i="2"/>
  <c r="AG47" i="2" s="1"/>
  <c r="AA47" i="2"/>
  <c r="Z47" i="2"/>
  <c r="AC47" i="2" s="1"/>
  <c r="AD47" i="2" s="1"/>
  <c r="Y47" i="2"/>
  <c r="X47" i="2"/>
  <c r="W47" i="2"/>
  <c r="AP46" i="2"/>
  <c r="AN46" i="2"/>
  <c r="AM46" i="2"/>
  <c r="AL46" i="2"/>
  <c r="AK46" i="2"/>
  <c r="AO46" i="2" s="1"/>
  <c r="AH46" i="2"/>
  <c r="AF46" i="2"/>
  <c r="AG46" i="2" s="1"/>
  <c r="AB46" i="2"/>
  <c r="AA46" i="2"/>
  <c r="Z46" i="2"/>
  <c r="AC46" i="2" s="1"/>
  <c r="AD46" i="2" s="1"/>
  <c r="Y46" i="2"/>
  <c r="X46" i="2"/>
  <c r="W46" i="2"/>
  <c r="AP45" i="2"/>
  <c r="AN45" i="2"/>
  <c r="AM45" i="2"/>
  <c r="AL45" i="2"/>
  <c r="AK45" i="2"/>
  <c r="AO45" i="2" s="1"/>
  <c r="AH45" i="2"/>
  <c r="AF45" i="2"/>
  <c r="AG45" i="2" s="1"/>
  <c r="AB45" i="2"/>
  <c r="AA45" i="2"/>
  <c r="Z45" i="2"/>
  <c r="AC45" i="2" s="1"/>
  <c r="AD45" i="2" s="1"/>
  <c r="Y45" i="2"/>
  <c r="X45" i="2"/>
  <c r="W45" i="2"/>
  <c r="AP44" i="2"/>
  <c r="AN44" i="2"/>
  <c r="AM44" i="2"/>
  <c r="AL44" i="2"/>
  <c r="AK44" i="2"/>
  <c r="AO44" i="2" s="1"/>
  <c r="AH44" i="2"/>
  <c r="AF44" i="2"/>
  <c r="AG44" i="2" s="1"/>
  <c r="AB44" i="2"/>
  <c r="AA44" i="2"/>
  <c r="Z44" i="2"/>
  <c r="AC44" i="2" s="1"/>
  <c r="AD44" i="2" s="1"/>
  <c r="Y44" i="2"/>
  <c r="X44" i="2"/>
  <c r="W44" i="2"/>
  <c r="AP43" i="2"/>
  <c r="AN43" i="2"/>
  <c r="AM43" i="2"/>
  <c r="AL43" i="2"/>
  <c r="AK43" i="2"/>
  <c r="AO43" i="2" s="1"/>
  <c r="AH43" i="2"/>
  <c r="AF43" i="2"/>
  <c r="AG43" i="2" s="1"/>
  <c r="AA43" i="2"/>
  <c r="Z43" i="2"/>
  <c r="AC43" i="2" s="1"/>
  <c r="AD43" i="2" s="1"/>
  <c r="AE43" i="2" s="1"/>
  <c r="Y43" i="2"/>
  <c r="X43" i="2"/>
  <c r="W43" i="2"/>
  <c r="AP42" i="2"/>
  <c r="AN42" i="2"/>
  <c r="AM42" i="2"/>
  <c r="AL42" i="2"/>
  <c r="AK42" i="2"/>
  <c r="AO42" i="2" s="1"/>
  <c r="AH42" i="2"/>
  <c r="AF42" i="2"/>
  <c r="AG42" i="2" s="1"/>
  <c r="AA42" i="2"/>
  <c r="Z42" i="2"/>
  <c r="AC42" i="2" s="1"/>
  <c r="AD42" i="2" s="1"/>
  <c r="AE42" i="2" s="1"/>
  <c r="Y42" i="2"/>
  <c r="X42" i="2"/>
  <c r="W42" i="2"/>
  <c r="AP41" i="2"/>
  <c r="AN41" i="2"/>
  <c r="AM41" i="2"/>
  <c r="AL41" i="2"/>
  <c r="AK41" i="2"/>
  <c r="AO41" i="2" s="1"/>
  <c r="AH41" i="2"/>
  <c r="AF41" i="2"/>
  <c r="AG41" i="2" s="1"/>
  <c r="AA41" i="2"/>
  <c r="Z41" i="2"/>
  <c r="AC41" i="2" s="1"/>
  <c r="AD41" i="2" s="1"/>
  <c r="Y41" i="2"/>
  <c r="X41" i="2"/>
  <c r="W41" i="2"/>
  <c r="AP40" i="2"/>
  <c r="AN40" i="2"/>
  <c r="AM40" i="2"/>
  <c r="AL40" i="2"/>
  <c r="AK40" i="2"/>
  <c r="AO40" i="2" s="1"/>
  <c r="AH40" i="2"/>
  <c r="AF40" i="2"/>
  <c r="AG40" i="2" s="1"/>
  <c r="AA40" i="2"/>
  <c r="Z40" i="2"/>
  <c r="AC40" i="2" s="1"/>
  <c r="AD40" i="2" s="1"/>
  <c r="AE40" i="2" s="1"/>
  <c r="Y40" i="2"/>
  <c r="X40" i="2"/>
  <c r="W40" i="2"/>
  <c r="AP39" i="2"/>
  <c r="AN39" i="2"/>
  <c r="AM39" i="2"/>
  <c r="AL39" i="2"/>
  <c r="AK39" i="2"/>
  <c r="AO39" i="2" s="1"/>
  <c r="AH39" i="2"/>
  <c r="AF39" i="2"/>
  <c r="AG39" i="2" s="1"/>
  <c r="AA39" i="2"/>
  <c r="Z39" i="2"/>
  <c r="AC39" i="2" s="1"/>
  <c r="AD39" i="2" s="1"/>
  <c r="Y39" i="2"/>
  <c r="X39" i="2"/>
  <c r="W39" i="2"/>
  <c r="AP38" i="2"/>
  <c r="AN38" i="2"/>
  <c r="AM38" i="2"/>
  <c r="AL38" i="2"/>
  <c r="AK38" i="2"/>
  <c r="AO38" i="2" s="1"/>
  <c r="AH38" i="2"/>
  <c r="AF38" i="2"/>
  <c r="AG38" i="2" s="1"/>
  <c r="AA38" i="2"/>
  <c r="Z38" i="2"/>
  <c r="AC38" i="2" s="1"/>
  <c r="AD38" i="2" s="1"/>
  <c r="AE38" i="2" s="1"/>
  <c r="Y38" i="2"/>
  <c r="X38" i="2"/>
  <c r="W38" i="2"/>
  <c r="AP37" i="2"/>
  <c r="AN37" i="2"/>
  <c r="AM37" i="2"/>
  <c r="AL37" i="2"/>
  <c r="AK37" i="2"/>
  <c r="AO37" i="2" s="1"/>
  <c r="AH37" i="2"/>
  <c r="AF37" i="2"/>
  <c r="AG37" i="2" s="1"/>
  <c r="AA37" i="2"/>
  <c r="Z37" i="2"/>
  <c r="AC37" i="2" s="1"/>
  <c r="AD37" i="2" s="1"/>
  <c r="Y37" i="2"/>
  <c r="X37" i="2"/>
  <c r="W37" i="2"/>
  <c r="AP36" i="2"/>
  <c r="AN36" i="2"/>
  <c r="AM36" i="2"/>
  <c r="AL36" i="2"/>
  <c r="AK36" i="2"/>
  <c r="AO36" i="2" s="1"/>
  <c r="AH36" i="2"/>
  <c r="AF36" i="2"/>
  <c r="AG36" i="2" s="1"/>
  <c r="AA36" i="2"/>
  <c r="Z36" i="2"/>
  <c r="AC36" i="2" s="1"/>
  <c r="AD36" i="2" s="1"/>
  <c r="AE36" i="2" s="1"/>
  <c r="Y36" i="2"/>
  <c r="X36" i="2"/>
  <c r="W36" i="2"/>
  <c r="AP35" i="2"/>
  <c r="AN35" i="2"/>
  <c r="AM35" i="2"/>
  <c r="AL35" i="2"/>
  <c r="AK35" i="2"/>
  <c r="AO35" i="2" s="1"/>
  <c r="AH35" i="2"/>
  <c r="AF35" i="2"/>
  <c r="AG35" i="2" s="1"/>
  <c r="AA35" i="2"/>
  <c r="Z35" i="2"/>
  <c r="AC35" i="2" s="1"/>
  <c r="AD35" i="2" s="1"/>
  <c r="AE35" i="2" s="1"/>
  <c r="Y35" i="2"/>
  <c r="X35" i="2"/>
  <c r="W35" i="2"/>
  <c r="AP34" i="2"/>
  <c r="AN34" i="2"/>
  <c r="AM34" i="2"/>
  <c r="AL34" i="2"/>
  <c r="AK34" i="2"/>
  <c r="AO34" i="2" s="1"/>
  <c r="AH34" i="2"/>
  <c r="AF34" i="2"/>
  <c r="AG34" i="2" s="1"/>
  <c r="AA34" i="2"/>
  <c r="Z34" i="2"/>
  <c r="AC34" i="2" s="1"/>
  <c r="AD34" i="2" s="1"/>
  <c r="AE34" i="2" s="1"/>
  <c r="Y34" i="2"/>
  <c r="X34" i="2"/>
  <c r="W34" i="2"/>
  <c r="AP33" i="2"/>
  <c r="AN33" i="2"/>
  <c r="AM33" i="2"/>
  <c r="AL33" i="2"/>
  <c r="AK33" i="2"/>
  <c r="AO33" i="2" s="1"/>
  <c r="AH33" i="2"/>
  <c r="AF33" i="2"/>
  <c r="AG33" i="2" s="1"/>
  <c r="AA33" i="2"/>
  <c r="Z33" i="2"/>
  <c r="AC33" i="2" s="1"/>
  <c r="AD33" i="2" s="1"/>
  <c r="Y33" i="2"/>
  <c r="X33" i="2"/>
  <c r="W33" i="2"/>
  <c r="AP32" i="2"/>
  <c r="AN32" i="2"/>
  <c r="AM32" i="2"/>
  <c r="AL32" i="2"/>
  <c r="AK32" i="2"/>
  <c r="AO32" i="2" s="1"/>
  <c r="AH32" i="2"/>
  <c r="AF32" i="2"/>
  <c r="AG32" i="2" s="1"/>
  <c r="AA32" i="2"/>
  <c r="Z32" i="2"/>
  <c r="AC32" i="2" s="1"/>
  <c r="AD32" i="2" s="1"/>
  <c r="AE32" i="2" s="1"/>
  <c r="Y32" i="2"/>
  <c r="X32" i="2"/>
  <c r="W32" i="2"/>
  <c r="AP31" i="2"/>
  <c r="AN31" i="2"/>
  <c r="AM31" i="2"/>
  <c r="AL31" i="2"/>
  <c r="AK31" i="2"/>
  <c r="AO31" i="2" s="1"/>
  <c r="AH31" i="2"/>
  <c r="AF31" i="2"/>
  <c r="AG31" i="2" s="1"/>
  <c r="AA31" i="2"/>
  <c r="Z31" i="2"/>
  <c r="AC31" i="2" s="1"/>
  <c r="AD31" i="2" s="1"/>
  <c r="AE31" i="2" s="1"/>
  <c r="Y31" i="2"/>
  <c r="X31" i="2"/>
  <c r="W31" i="2"/>
  <c r="AP30" i="2"/>
  <c r="AN30" i="2"/>
  <c r="AM30" i="2"/>
  <c r="AL30" i="2"/>
  <c r="AK30" i="2"/>
  <c r="AO30" i="2" s="1"/>
  <c r="AH30" i="2"/>
  <c r="AF30" i="2"/>
  <c r="AG30" i="2" s="1"/>
  <c r="AA30" i="2"/>
  <c r="Z30" i="2"/>
  <c r="AC30" i="2" s="1"/>
  <c r="AD30" i="2" s="1"/>
  <c r="Y30" i="2"/>
  <c r="X30" i="2"/>
  <c r="W30" i="2"/>
  <c r="AP29" i="2"/>
  <c r="AN29" i="2"/>
  <c r="AM29" i="2"/>
  <c r="AL29" i="2"/>
  <c r="AK29" i="2"/>
  <c r="AO29" i="2" s="1"/>
  <c r="AH29" i="2"/>
  <c r="AF29" i="2"/>
  <c r="AG29" i="2" s="1"/>
  <c r="AA29" i="2"/>
  <c r="Z29" i="2"/>
  <c r="AC29" i="2" s="1"/>
  <c r="AD29" i="2" s="1"/>
  <c r="AE29" i="2" s="1"/>
  <c r="Y29" i="2"/>
  <c r="X29" i="2"/>
  <c r="W29" i="2"/>
  <c r="AP28" i="2"/>
  <c r="AN28" i="2"/>
  <c r="AM28" i="2"/>
  <c r="AL28" i="2"/>
  <c r="AK28" i="2"/>
  <c r="AO28" i="2" s="1"/>
  <c r="AH28" i="2"/>
  <c r="AF28" i="2"/>
  <c r="AG28" i="2" s="1"/>
  <c r="AA28" i="2"/>
  <c r="Z28" i="2"/>
  <c r="AC28" i="2" s="1"/>
  <c r="AD28" i="2" s="1"/>
  <c r="AE28" i="2" s="1"/>
  <c r="Y28" i="2"/>
  <c r="X28" i="2"/>
  <c r="W28" i="2"/>
  <c r="AP27" i="2"/>
  <c r="AN27" i="2"/>
  <c r="AM27" i="2"/>
  <c r="AL27" i="2"/>
  <c r="AK27" i="2"/>
  <c r="AO27" i="2" s="1"/>
  <c r="AH27" i="2"/>
  <c r="AF27" i="2"/>
  <c r="AG27" i="2" s="1"/>
  <c r="AA27" i="2"/>
  <c r="Z27" i="2"/>
  <c r="AC27" i="2" s="1"/>
  <c r="AD27" i="2" s="1"/>
  <c r="AE27" i="2" s="1"/>
  <c r="Y27" i="2"/>
  <c r="X27" i="2"/>
  <c r="W27" i="2"/>
  <c r="AP26" i="2"/>
  <c r="AN26" i="2"/>
  <c r="AM26" i="2"/>
  <c r="AL26" i="2"/>
  <c r="AK26" i="2"/>
  <c r="AO26" i="2" s="1"/>
  <c r="AH26" i="2"/>
  <c r="AF26" i="2"/>
  <c r="AG26" i="2" s="1"/>
  <c r="AB26" i="2"/>
  <c r="AA26" i="2"/>
  <c r="Z26" i="2"/>
  <c r="AC26" i="2" s="1"/>
  <c r="AD26" i="2" s="1"/>
  <c r="Y26" i="2"/>
  <c r="X26" i="2"/>
  <c r="W26" i="2"/>
  <c r="AP25" i="2"/>
  <c r="AN25" i="2"/>
  <c r="AM25" i="2"/>
  <c r="AL25" i="2"/>
  <c r="AK25" i="2"/>
  <c r="AO25" i="2" s="1"/>
  <c r="AH25" i="2"/>
  <c r="AF25" i="2"/>
  <c r="AG25" i="2" s="1"/>
  <c r="AA25" i="2"/>
  <c r="Z25" i="2"/>
  <c r="AC25" i="2" s="1"/>
  <c r="AD25" i="2" s="1"/>
  <c r="AE25" i="2" s="1"/>
  <c r="Y25" i="2"/>
  <c r="X25" i="2"/>
  <c r="W25" i="2"/>
  <c r="AP24" i="2"/>
  <c r="AN24" i="2"/>
  <c r="AM24" i="2"/>
  <c r="AL24" i="2"/>
  <c r="AK24" i="2"/>
  <c r="AO24" i="2" s="1"/>
  <c r="AH24" i="2"/>
  <c r="AF24" i="2"/>
  <c r="AG24" i="2" s="1"/>
  <c r="AA24" i="2"/>
  <c r="Z24" i="2"/>
  <c r="AC24" i="2" s="1"/>
  <c r="AD24" i="2" s="1"/>
  <c r="AE24" i="2" s="1"/>
  <c r="Y24" i="2"/>
  <c r="X24" i="2"/>
  <c r="W24" i="2"/>
  <c r="AP23" i="2"/>
  <c r="AN23" i="2"/>
  <c r="AM23" i="2"/>
  <c r="AL23" i="2"/>
  <c r="AK23" i="2"/>
  <c r="AO23" i="2" s="1"/>
  <c r="AH23" i="2"/>
  <c r="AF23" i="2"/>
  <c r="AG23" i="2" s="1"/>
  <c r="AA23" i="2"/>
  <c r="Z23" i="2"/>
  <c r="AC23" i="2" s="1"/>
  <c r="AD23" i="2" s="1"/>
  <c r="AE23" i="2" s="1"/>
  <c r="Y23" i="2"/>
  <c r="X23" i="2"/>
  <c r="W23" i="2"/>
  <c r="AP22" i="2"/>
  <c r="AN22" i="2"/>
  <c r="AM22" i="2"/>
  <c r="AL22" i="2"/>
  <c r="AK22" i="2"/>
  <c r="AO22" i="2" s="1"/>
  <c r="AH22" i="2"/>
  <c r="AF22" i="2"/>
  <c r="AG22" i="2" s="1"/>
  <c r="AA22" i="2"/>
  <c r="Z22" i="2"/>
  <c r="AC22" i="2" s="1"/>
  <c r="AD22" i="2" s="1"/>
  <c r="AE22" i="2" s="1"/>
  <c r="Y22" i="2"/>
  <c r="X22" i="2"/>
  <c r="W22" i="2"/>
  <c r="AP21" i="2"/>
  <c r="AN21" i="2"/>
  <c r="AM21" i="2"/>
  <c r="AL21" i="2"/>
  <c r="AK21" i="2"/>
  <c r="AO21" i="2" s="1"/>
  <c r="AH21" i="2"/>
  <c r="AF21" i="2"/>
  <c r="AG21" i="2" s="1"/>
  <c r="AA21" i="2"/>
  <c r="Z21" i="2"/>
  <c r="AC21" i="2" s="1"/>
  <c r="AD21" i="2" s="1"/>
  <c r="AE21" i="2" s="1"/>
  <c r="Y21" i="2"/>
  <c r="X21" i="2"/>
  <c r="W21" i="2"/>
  <c r="AP20" i="2"/>
  <c r="AN20" i="2"/>
  <c r="AM20" i="2"/>
  <c r="AL20" i="2"/>
  <c r="AK20" i="2"/>
  <c r="AO20" i="2" s="1"/>
  <c r="AH20" i="2"/>
  <c r="AF20" i="2"/>
  <c r="AG20" i="2" s="1"/>
  <c r="AA20" i="2"/>
  <c r="Z20" i="2"/>
  <c r="AC20" i="2" s="1"/>
  <c r="AD20" i="2" s="1"/>
  <c r="AE20" i="2" s="1"/>
  <c r="Y20" i="2"/>
  <c r="X20" i="2"/>
  <c r="W20" i="2"/>
  <c r="AP19" i="2"/>
  <c r="AN19" i="2"/>
  <c r="AM19" i="2"/>
  <c r="AL19" i="2"/>
  <c r="AK19" i="2"/>
  <c r="AO19" i="2" s="1"/>
  <c r="AH19" i="2"/>
  <c r="AF19" i="2"/>
  <c r="AG19" i="2" s="1"/>
  <c r="AA19" i="2"/>
  <c r="Z19" i="2"/>
  <c r="AC19" i="2" s="1"/>
  <c r="AD19" i="2" s="1"/>
  <c r="AE19" i="2" s="1"/>
  <c r="Y19" i="2"/>
  <c r="X19" i="2"/>
  <c r="W19" i="2"/>
  <c r="AP18" i="2"/>
  <c r="AN18" i="2"/>
  <c r="AM18" i="2"/>
  <c r="AL18" i="2"/>
  <c r="AK18" i="2"/>
  <c r="AO18" i="2" s="1"/>
  <c r="AH18" i="2"/>
  <c r="AF18" i="2"/>
  <c r="AG18" i="2" s="1"/>
  <c r="AA18" i="2"/>
  <c r="Z18" i="2"/>
  <c r="AC18" i="2" s="1"/>
  <c r="AD18" i="2" s="1"/>
  <c r="AE18" i="2" s="1"/>
  <c r="Y18" i="2"/>
  <c r="X18" i="2"/>
  <c r="W18" i="2"/>
  <c r="AP17" i="2"/>
  <c r="AN17" i="2"/>
  <c r="AM17" i="2"/>
  <c r="AL17" i="2"/>
  <c r="AK17" i="2"/>
  <c r="AO17" i="2" s="1"/>
  <c r="AH17" i="2"/>
  <c r="AF17" i="2"/>
  <c r="AG17" i="2" s="1"/>
  <c r="AA17" i="2"/>
  <c r="Z17" i="2"/>
  <c r="AC17" i="2" s="1"/>
  <c r="AD17" i="2" s="1"/>
  <c r="Y17" i="2"/>
  <c r="X17" i="2"/>
  <c r="W17" i="2"/>
  <c r="AP16" i="2"/>
  <c r="AN16" i="2"/>
  <c r="AM16" i="2"/>
  <c r="AL16" i="2"/>
  <c r="AK16" i="2"/>
  <c r="AO16" i="2" s="1"/>
  <c r="AH16" i="2"/>
  <c r="AF16" i="2"/>
  <c r="AG16" i="2" s="1"/>
  <c r="AB16" i="2"/>
  <c r="AA16" i="2"/>
  <c r="Z16" i="2"/>
  <c r="AC16" i="2" s="1"/>
  <c r="AD16" i="2" s="1"/>
  <c r="Y16" i="2"/>
  <c r="X16" i="2"/>
  <c r="W16" i="2"/>
  <c r="AP15" i="2"/>
  <c r="AN15" i="2"/>
  <c r="AM15" i="2"/>
  <c r="AL15" i="2"/>
  <c r="AK15" i="2"/>
  <c r="AO15" i="2" s="1"/>
  <c r="AH15" i="2"/>
  <c r="AF15" i="2"/>
  <c r="AG15" i="2" s="1"/>
  <c r="AA15" i="2"/>
  <c r="Z15" i="2"/>
  <c r="AC15" i="2" s="1"/>
  <c r="AD15" i="2" s="1"/>
  <c r="AE15" i="2" s="1"/>
  <c r="Y15" i="2"/>
  <c r="X15" i="2"/>
  <c r="W15" i="2"/>
  <c r="AP14" i="2"/>
  <c r="AN14" i="2"/>
  <c r="AM14" i="2"/>
  <c r="AL14" i="2"/>
  <c r="AK14" i="2"/>
  <c r="AO14" i="2" s="1"/>
  <c r="AH14" i="2"/>
  <c r="AF14" i="2"/>
  <c r="AG14" i="2" s="1"/>
  <c r="AA14" i="2"/>
  <c r="Z14" i="2"/>
  <c r="AC14" i="2" s="1"/>
  <c r="AD14" i="2" s="1"/>
  <c r="AE14" i="2" s="1"/>
  <c r="Y14" i="2"/>
  <c r="X14" i="2"/>
  <c r="W14" i="2"/>
  <c r="AP13" i="2"/>
  <c r="AN13" i="2"/>
  <c r="AM13" i="2"/>
  <c r="AL13" i="2"/>
  <c r="AK13" i="2"/>
  <c r="AO13" i="2" s="1"/>
  <c r="AH13" i="2"/>
  <c r="AF13" i="2"/>
  <c r="AG13" i="2" s="1"/>
  <c r="AA13" i="2"/>
  <c r="Z13" i="2"/>
  <c r="AC13" i="2" s="1"/>
  <c r="AD13" i="2" s="1"/>
  <c r="AE13" i="2" s="1"/>
  <c r="Y13" i="2"/>
  <c r="X13" i="2"/>
  <c r="W13" i="2"/>
  <c r="AP12" i="2"/>
  <c r="AN12" i="2"/>
  <c r="AM12" i="2"/>
  <c r="AL12" i="2"/>
  <c r="AK12" i="2"/>
  <c r="AO12" i="2" s="1"/>
  <c r="AH12" i="2"/>
  <c r="AF12" i="2"/>
  <c r="AG12" i="2" s="1"/>
  <c r="AA12" i="2"/>
  <c r="Z12" i="2"/>
  <c r="AC12" i="2" s="1"/>
  <c r="AD12" i="2" s="1"/>
  <c r="AE12" i="2" s="1"/>
  <c r="Y12" i="2"/>
  <c r="X12" i="2"/>
  <c r="W12" i="2"/>
  <c r="AP11" i="2"/>
  <c r="AN11" i="2"/>
  <c r="AM11" i="2"/>
  <c r="AL11" i="2"/>
  <c r="AK11" i="2"/>
  <c r="AO11" i="2" s="1"/>
  <c r="AH11" i="2"/>
  <c r="AF11" i="2"/>
  <c r="AG11" i="2" s="1"/>
  <c r="AA11" i="2"/>
  <c r="Z11" i="2"/>
  <c r="AC11" i="2" s="1"/>
  <c r="AD11" i="2" s="1"/>
  <c r="AE11" i="2" s="1"/>
  <c r="Y11" i="2"/>
  <c r="X11" i="2"/>
  <c r="W11" i="2"/>
  <c r="AP10" i="2"/>
  <c r="AN10" i="2"/>
  <c r="AM10" i="2"/>
  <c r="AL10" i="2"/>
  <c r="AK10" i="2"/>
  <c r="AO10" i="2" s="1"/>
  <c r="AH10" i="2"/>
  <c r="AF10" i="2"/>
  <c r="AG10" i="2" s="1"/>
  <c r="AA10" i="2"/>
  <c r="Z10" i="2"/>
  <c r="AC10" i="2" s="1"/>
  <c r="AD10" i="2" s="1"/>
  <c r="AE10" i="2" s="1"/>
  <c r="Y10" i="2"/>
  <c r="X10" i="2"/>
  <c r="W10" i="2"/>
  <c r="AP9" i="2"/>
  <c r="AN9" i="2"/>
  <c r="AM9" i="2"/>
  <c r="AL9" i="2"/>
  <c r="AK9" i="2"/>
  <c r="AO9" i="2" s="1"/>
  <c r="AH9" i="2"/>
  <c r="AF9" i="2"/>
  <c r="AG9" i="2" s="1"/>
  <c r="AA9" i="2"/>
  <c r="Z9" i="2"/>
  <c r="AC9" i="2" s="1"/>
  <c r="AD9" i="2" s="1"/>
  <c r="AE9" i="2" s="1"/>
  <c r="Y9" i="2"/>
  <c r="X9" i="2"/>
  <c r="W9" i="2"/>
  <c r="AP8" i="2"/>
  <c r="AN8" i="2"/>
  <c r="AM8" i="2"/>
  <c r="AL8" i="2"/>
  <c r="AK8" i="2"/>
  <c r="AO8" i="2" s="1"/>
  <c r="AH8" i="2"/>
  <c r="AF8" i="2"/>
  <c r="AG8" i="2" s="1"/>
  <c r="AA8" i="2"/>
  <c r="Z8" i="2"/>
  <c r="AC8" i="2" s="1"/>
  <c r="AD8" i="2" s="1"/>
  <c r="AE8" i="2" s="1"/>
  <c r="Y8" i="2"/>
  <c r="X8" i="2"/>
  <c r="W8" i="2"/>
  <c r="AP7" i="2"/>
  <c r="AN7" i="2"/>
  <c r="AM7" i="2"/>
  <c r="AL7" i="2"/>
  <c r="AK7" i="2"/>
  <c r="AO7" i="2" s="1"/>
  <c r="AH7" i="2"/>
  <c r="AF7" i="2"/>
  <c r="AG7" i="2" s="1"/>
  <c r="AA7" i="2"/>
  <c r="Z7" i="2"/>
  <c r="AC7" i="2" s="1"/>
  <c r="AD7" i="2" s="1"/>
  <c r="AE7" i="2" s="1"/>
  <c r="Y7" i="2"/>
  <c r="X7" i="2"/>
  <c r="W7" i="2"/>
  <c r="AP6" i="2"/>
  <c r="AN6" i="2"/>
  <c r="AM6" i="2"/>
  <c r="AL6" i="2"/>
  <c r="AK6" i="2"/>
  <c r="AO6" i="2" s="1"/>
  <c r="AH6" i="2"/>
  <c r="AF6" i="2"/>
  <c r="AG6" i="2" s="1"/>
  <c r="AA6" i="2"/>
  <c r="Z6" i="2"/>
  <c r="AC6" i="2" s="1"/>
  <c r="AD6" i="2" s="1"/>
  <c r="AE6" i="2" s="1"/>
  <c r="Y6" i="2"/>
  <c r="X6" i="2"/>
  <c r="W6" i="2"/>
  <c r="AP5" i="2"/>
  <c r="AN5" i="2"/>
  <c r="AM5" i="2"/>
  <c r="AL5" i="2"/>
  <c r="AK5" i="2"/>
  <c r="AO5" i="2" s="1"/>
  <c r="AH5" i="2"/>
  <c r="AF5" i="2"/>
  <c r="AG5" i="2" s="1"/>
  <c r="AA5" i="2"/>
  <c r="Z5" i="2"/>
  <c r="AC5" i="2" s="1"/>
  <c r="AD5" i="2" s="1"/>
  <c r="AE5" i="2" s="1"/>
  <c r="Y5" i="2"/>
  <c r="X5" i="2"/>
  <c r="W5" i="2"/>
  <c r="AP4" i="2"/>
  <c r="AN4" i="2"/>
  <c r="AM4" i="2"/>
  <c r="AL4" i="2"/>
  <c r="AK4" i="2"/>
  <c r="AO4" i="2" s="1"/>
  <c r="AH4" i="2"/>
  <c r="AF4" i="2"/>
  <c r="AG4" i="2" s="1"/>
  <c r="AA4" i="2"/>
  <c r="Z4" i="2"/>
  <c r="AC4" i="2" s="1"/>
  <c r="AD4" i="2" s="1"/>
  <c r="AE4" i="2" s="1"/>
  <c r="Y4" i="2"/>
  <c r="X4" i="2"/>
  <c r="W4" i="2"/>
  <c r="AP3" i="2"/>
  <c r="AN3" i="2"/>
  <c r="AM3" i="2"/>
  <c r="AL3" i="2"/>
  <c r="AK3" i="2"/>
  <c r="AO3" i="2" s="1"/>
  <c r="AH3" i="2"/>
  <c r="AF3" i="2"/>
  <c r="AG3" i="2" s="1"/>
  <c r="AA3" i="2"/>
  <c r="Z3" i="2"/>
  <c r="AC3" i="2" s="1"/>
  <c r="AD3" i="2" s="1"/>
  <c r="AE3" i="2" s="1"/>
  <c r="Y3" i="2"/>
  <c r="X3" i="2"/>
  <c r="W3" i="2"/>
  <c r="AP2" i="2"/>
  <c r="AN2" i="2"/>
  <c r="AM2" i="2"/>
  <c r="AL2" i="2"/>
  <c r="AK2" i="2"/>
  <c r="AL341" i="2" s="1"/>
  <c r="AH2" i="2"/>
  <c r="AF2" i="2"/>
  <c r="D6" i="3" s="1"/>
  <c r="AA2" i="2"/>
  <c r="Z2" i="2"/>
  <c r="AC2" i="2" s="1"/>
  <c r="AD2" i="2" s="1"/>
  <c r="Y2" i="2"/>
  <c r="X2" i="2"/>
  <c r="W2" i="2"/>
  <c r="AM294" i="2" l="1"/>
  <c r="AO294" i="2"/>
  <c r="AN294" i="2"/>
  <c r="AL294" i="2"/>
  <c r="AL297" i="2"/>
  <c r="AI298" i="2"/>
  <c r="AJ298" i="2"/>
  <c r="AD298" i="2"/>
  <c r="AH298" i="2"/>
  <c r="AG298" i="2"/>
  <c r="AL305" i="2"/>
  <c r="AI306" i="2"/>
  <c r="AJ306" i="2"/>
  <c r="AD306" i="2"/>
  <c r="AE306" i="2" s="1"/>
  <c r="AH306" i="2"/>
  <c r="AG306" i="2"/>
  <c r="AO308" i="2"/>
  <c r="Z308" i="2"/>
  <c r="AC311" i="2"/>
  <c r="AD311" i="2" s="1"/>
  <c r="AB311" i="2"/>
  <c r="AL313" i="2"/>
  <c r="AI314" i="2"/>
  <c r="AJ314" i="2"/>
  <c r="AD314" i="2"/>
  <c r="AH314" i="2"/>
  <c r="AG314" i="2"/>
  <c r="AO316" i="2"/>
  <c r="Z316" i="2"/>
  <c r="AC316" i="2" s="1"/>
  <c r="AD316" i="2" s="1"/>
  <c r="AM318" i="2"/>
  <c r="AO318" i="2"/>
  <c r="AN318" i="2"/>
  <c r="AL318" i="2"/>
  <c r="AL321" i="2"/>
  <c r="AI322" i="2"/>
  <c r="AJ322" i="2"/>
  <c r="AD322" i="2"/>
  <c r="AE322" i="2" s="1"/>
  <c r="AH322" i="2"/>
  <c r="AG322" i="2"/>
  <c r="AO328" i="2"/>
  <c r="Z328" i="2"/>
  <c r="AC328" i="2" s="1"/>
  <c r="AD328" i="2" s="1"/>
  <c r="AM330" i="2"/>
  <c r="AO330" i="2"/>
  <c r="AN330" i="2"/>
  <c r="AL330" i="2"/>
  <c r="AL333" i="2"/>
  <c r="AI334" i="2"/>
  <c r="AJ334" i="2"/>
  <c r="AD334" i="2"/>
  <c r="AH334" i="2"/>
  <c r="AG334" i="2"/>
  <c r="AO336" i="2"/>
  <c r="Z336" i="2"/>
  <c r="AL345" i="2"/>
  <c r="AI346" i="2"/>
  <c r="AJ346" i="2"/>
  <c r="AD346" i="2"/>
  <c r="AE346" i="2" s="1"/>
  <c r="AH346" i="2"/>
  <c r="AG346" i="2"/>
  <c r="AM77" i="2"/>
  <c r="AL78" i="2"/>
  <c r="AC79" i="2"/>
  <c r="AD79" i="2" s="1"/>
  <c r="AL79" i="2"/>
  <c r="AC80" i="2"/>
  <c r="AD80" i="2" s="1"/>
  <c r="AE80" i="2" s="1"/>
  <c r="AL80" i="2"/>
  <c r="AC81" i="2"/>
  <c r="AD81" i="2" s="1"/>
  <c r="AE81" i="2" s="1"/>
  <c r="AL81" i="2"/>
  <c r="AC82" i="2"/>
  <c r="AD82" i="2" s="1"/>
  <c r="AE82" i="2" s="1"/>
  <c r="AL82" i="2"/>
  <c r="X83" i="2"/>
  <c r="AH83" i="2"/>
  <c r="AC85" i="2"/>
  <c r="AD85" i="2" s="1"/>
  <c r="AE85" i="2" s="1"/>
  <c r="AI85" i="2"/>
  <c r="X86" i="2"/>
  <c r="AH86" i="2"/>
  <c r="AN86" i="2"/>
  <c r="AP86" i="2"/>
  <c r="AL86" i="2"/>
  <c r="AC90" i="2"/>
  <c r="AD90" i="2" s="1"/>
  <c r="AI90" i="2"/>
  <c r="X91" i="2"/>
  <c r="AH91" i="2"/>
  <c r="AN91" i="2"/>
  <c r="AP91" i="2"/>
  <c r="AL91" i="2"/>
  <c r="AC94" i="2"/>
  <c r="AD94" i="2" s="1"/>
  <c r="AE94" i="2" s="1"/>
  <c r="AI94" i="2"/>
  <c r="X95" i="2"/>
  <c r="AH95" i="2"/>
  <c r="AN95" i="2"/>
  <c r="AP95" i="2"/>
  <c r="AL95" i="2"/>
  <c r="AN96" i="2"/>
  <c r="AP96" i="2"/>
  <c r="AL96" i="2"/>
  <c r="AC101" i="2"/>
  <c r="AD101" i="2" s="1"/>
  <c r="AI101" i="2"/>
  <c r="X102" i="2"/>
  <c r="AH102" i="2"/>
  <c r="AM102" i="2"/>
  <c r="AO102" i="2"/>
  <c r="AL102" i="2"/>
  <c r="AB103" i="2"/>
  <c r="AM104" i="2"/>
  <c r="AL104" i="2"/>
  <c r="AO104" i="2"/>
  <c r="AL109" i="2"/>
  <c r="AI110" i="2"/>
  <c r="AJ110" i="2"/>
  <c r="AD110" i="2"/>
  <c r="AE110" i="2" s="1"/>
  <c r="AG110" i="2"/>
  <c r="AL111" i="2"/>
  <c r="AL113" i="2"/>
  <c r="AI114" i="2"/>
  <c r="AJ114" i="2"/>
  <c r="AG114" i="2"/>
  <c r="AL115" i="2"/>
  <c r="AL117" i="2"/>
  <c r="AI118" i="2"/>
  <c r="AJ118" i="2"/>
  <c r="AD118" i="2"/>
  <c r="AE118" i="2" s="1"/>
  <c r="AG118" i="2"/>
  <c r="AL119" i="2"/>
  <c r="AI120" i="2"/>
  <c r="AG120" i="2"/>
  <c r="AJ120" i="2"/>
  <c r="AD120" i="2"/>
  <c r="AC122" i="2"/>
  <c r="AD122" i="2" s="1"/>
  <c r="AE122" i="2" s="1"/>
  <c r="AI124" i="2"/>
  <c r="AG124" i="2"/>
  <c r="AJ124" i="2"/>
  <c r="AD124" i="2"/>
  <c r="AE124" i="2" s="1"/>
  <c r="AC126" i="2"/>
  <c r="AL133" i="2"/>
  <c r="AI136" i="2"/>
  <c r="AG136" i="2"/>
  <c r="AJ136" i="2"/>
  <c r="AC138" i="2"/>
  <c r="AI140" i="2"/>
  <c r="AG140" i="2"/>
  <c r="AJ140" i="2"/>
  <c r="AD140" i="2"/>
  <c r="AE140" i="2" s="1"/>
  <c r="AM142" i="2"/>
  <c r="AO142" i="2"/>
  <c r="AL142" i="2"/>
  <c r="AB143" i="2"/>
  <c r="AC144" i="2"/>
  <c r="AD144" i="2" s="1"/>
  <c r="AM146" i="2"/>
  <c r="AO146" i="2"/>
  <c r="AL146" i="2"/>
  <c r="AC148" i="2"/>
  <c r="AM150" i="2"/>
  <c r="AO150" i="2"/>
  <c r="AL150" i="2"/>
  <c r="AM152" i="2"/>
  <c r="AL152" i="2"/>
  <c r="AO152" i="2"/>
  <c r="AB153" i="2"/>
  <c r="AL157" i="2"/>
  <c r="AI160" i="2"/>
  <c r="AG160" i="2"/>
  <c r="AJ160" i="2"/>
  <c r="AC162" i="2"/>
  <c r="AD162" i="2" s="1"/>
  <c r="AE162" i="2" s="1"/>
  <c r="AI164" i="2"/>
  <c r="AG164" i="2"/>
  <c r="AJ164" i="2"/>
  <c r="AD164" i="2"/>
  <c r="AM166" i="2"/>
  <c r="AO166" i="2"/>
  <c r="AL166" i="2"/>
  <c r="AC168" i="2"/>
  <c r="AM170" i="2"/>
  <c r="AO170" i="2"/>
  <c r="AL170" i="2"/>
  <c r="AM172" i="2"/>
  <c r="AL172" i="2"/>
  <c r="AO172" i="2"/>
  <c r="AB173" i="2"/>
  <c r="AM176" i="2"/>
  <c r="AL176" i="2"/>
  <c r="AO176" i="2"/>
  <c r="AB177" i="2"/>
  <c r="AM180" i="2"/>
  <c r="AL180" i="2"/>
  <c r="AO180" i="2"/>
  <c r="AB181" i="2"/>
  <c r="AI182" i="2"/>
  <c r="AJ182" i="2"/>
  <c r="AD182" i="2"/>
  <c r="AG182" i="2"/>
  <c r="AL183" i="2"/>
  <c r="AI184" i="2"/>
  <c r="AG184" i="2"/>
  <c r="AJ184" i="2"/>
  <c r="AD184" i="2"/>
  <c r="AM186" i="2"/>
  <c r="AO186" i="2"/>
  <c r="AL186" i="2"/>
  <c r="AM188" i="2"/>
  <c r="AL188" i="2"/>
  <c r="AO188" i="2"/>
  <c r="AL193" i="2"/>
  <c r="AI196" i="2"/>
  <c r="AG196" i="2"/>
  <c r="AJ196" i="2"/>
  <c r="AC198" i="2"/>
  <c r="AD198" i="2" s="1"/>
  <c r="AM202" i="2"/>
  <c r="AO202" i="2"/>
  <c r="AL202" i="2"/>
  <c r="AB203" i="2"/>
  <c r="AC204" i="2"/>
  <c r="AD204" i="2" s="1"/>
  <c r="AE204" i="2" s="1"/>
  <c r="AM206" i="2"/>
  <c r="AO206" i="2"/>
  <c r="AL206" i="2"/>
  <c r="AB207" i="2"/>
  <c r="AC208" i="2"/>
  <c r="AD208" i="2" s="1"/>
  <c r="AE208" i="2" s="1"/>
  <c r="AL213" i="2"/>
  <c r="AI216" i="2"/>
  <c r="AG216" i="2"/>
  <c r="AJ216" i="2"/>
  <c r="AC218" i="2"/>
  <c r="AI220" i="2"/>
  <c r="AG220" i="2"/>
  <c r="AJ220" i="2"/>
  <c r="AC222" i="2"/>
  <c r="AD222" i="2" s="1"/>
  <c r="AE222" i="2" s="1"/>
  <c r="AI224" i="2"/>
  <c r="AG224" i="2"/>
  <c r="AJ224" i="2"/>
  <c r="AD224" i="2"/>
  <c r="AE224" i="2" s="1"/>
  <c r="AC226" i="2"/>
  <c r="AI228" i="2"/>
  <c r="AG228" i="2"/>
  <c r="AJ228" i="2"/>
  <c r="AM230" i="2"/>
  <c r="AO230" i="2"/>
  <c r="AL230" i="2"/>
  <c r="AB231" i="2"/>
  <c r="AM232" i="2"/>
  <c r="AL232" i="2"/>
  <c r="AO232" i="2"/>
  <c r="AB233" i="2"/>
  <c r="AM236" i="2"/>
  <c r="AL236" i="2"/>
  <c r="AO236" i="2"/>
  <c r="AB237" i="2"/>
  <c r="AM240" i="2"/>
  <c r="AL240" i="2"/>
  <c r="AO240" i="2"/>
  <c r="AB241" i="2"/>
  <c r="AI242" i="2"/>
  <c r="AJ242" i="2"/>
  <c r="AD242" i="2"/>
  <c r="AG242" i="2"/>
  <c r="AL243" i="2"/>
  <c r="AL245" i="2"/>
  <c r="AI248" i="2"/>
  <c r="AG248" i="2"/>
  <c r="AJ248" i="2"/>
  <c r="AM250" i="2"/>
  <c r="AO250" i="2"/>
  <c r="AL250" i="2"/>
  <c r="AB251" i="2"/>
  <c r="AC252" i="2"/>
  <c r="AL257" i="2"/>
  <c r="AI260" i="2"/>
  <c r="AG260" i="2"/>
  <c r="AJ260" i="2"/>
  <c r="AD260" i="2"/>
  <c r="AE260" i="2" s="1"/>
  <c r="AM262" i="2"/>
  <c r="AO262" i="2"/>
  <c r="AL262" i="2"/>
  <c r="AM264" i="2"/>
  <c r="AL264" i="2"/>
  <c r="AO264" i="2"/>
  <c r="AI266" i="2"/>
  <c r="AJ266" i="2"/>
  <c r="AD266" i="2"/>
  <c r="AG266" i="2"/>
  <c r="AL267" i="2"/>
  <c r="AL269" i="2"/>
  <c r="AI272" i="2"/>
  <c r="AG272" i="2"/>
  <c r="AJ272" i="2"/>
  <c r="AD272" i="2"/>
  <c r="AE272" i="2" s="1"/>
  <c r="AC274" i="2"/>
  <c r="AI276" i="2"/>
  <c r="AG276" i="2"/>
  <c r="AJ276" i="2"/>
  <c r="AC278" i="2"/>
  <c r="AI280" i="2"/>
  <c r="AG280" i="2"/>
  <c r="AJ280" i="2"/>
  <c r="AC282" i="2"/>
  <c r="AD282" i="2" s="1"/>
  <c r="AI284" i="2"/>
  <c r="AG284" i="2"/>
  <c r="AJ284" i="2"/>
  <c r="AC286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O77" i="2"/>
  <c r="AH79" i="2"/>
  <c r="AH80" i="2"/>
  <c r="AH81" i="2"/>
  <c r="AH82" i="2"/>
  <c r="X84" i="2"/>
  <c r="AH84" i="2"/>
  <c r="AI84" i="2"/>
  <c r="X85" i="2"/>
  <c r="AH85" i="2"/>
  <c r="AN85" i="2"/>
  <c r="AP85" i="2"/>
  <c r="AL85" i="2"/>
  <c r="AM86" i="2"/>
  <c r="AO87" i="2"/>
  <c r="X89" i="2"/>
  <c r="AH89" i="2"/>
  <c r="AI89" i="2"/>
  <c r="X90" i="2"/>
  <c r="AH90" i="2"/>
  <c r="AN90" i="2"/>
  <c r="AP90" i="2"/>
  <c r="AL90" i="2"/>
  <c r="AM91" i="2"/>
  <c r="AO92" i="2"/>
  <c r="X94" i="2"/>
  <c r="AH94" i="2"/>
  <c r="AN94" i="2"/>
  <c r="AP94" i="2"/>
  <c r="AL94" i="2"/>
  <c r="AM95" i="2"/>
  <c r="AM96" i="2"/>
  <c r="AO97" i="2"/>
  <c r="X100" i="2"/>
  <c r="AH100" i="2"/>
  <c r="AI100" i="2"/>
  <c r="X101" i="2"/>
  <c r="AH101" i="2"/>
  <c r="AN101" i="2"/>
  <c r="AP101" i="2"/>
  <c r="AL101" i="2"/>
  <c r="AN102" i="2"/>
  <c r="AN104" i="2"/>
  <c r="AM106" i="2"/>
  <c r="AO106" i="2"/>
  <c r="AL106" i="2"/>
  <c r="AM108" i="2"/>
  <c r="AL108" i="2"/>
  <c r="AO108" i="2"/>
  <c r="AH110" i="2"/>
  <c r="AM112" i="2"/>
  <c r="AL112" i="2"/>
  <c r="AO112" i="2"/>
  <c r="AH114" i="2"/>
  <c r="AM116" i="2"/>
  <c r="AL116" i="2"/>
  <c r="AO116" i="2"/>
  <c r="AH118" i="2"/>
  <c r="AH120" i="2"/>
  <c r="AL121" i="2"/>
  <c r="AI122" i="2"/>
  <c r="AJ122" i="2"/>
  <c r="AG122" i="2"/>
  <c r="AL123" i="2"/>
  <c r="AH124" i="2"/>
  <c r="AL125" i="2"/>
  <c r="AI126" i="2"/>
  <c r="AJ126" i="2"/>
  <c r="AD126" i="2"/>
  <c r="AE126" i="2" s="1"/>
  <c r="AG126" i="2"/>
  <c r="AL127" i="2"/>
  <c r="AI128" i="2"/>
  <c r="AG128" i="2"/>
  <c r="AJ128" i="2"/>
  <c r="AD128" i="2"/>
  <c r="AM130" i="2"/>
  <c r="AO130" i="2"/>
  <c r="AL130" i="2"/>
  <c r="AM132" i="2"/>
  <c r="AL132" i="2"/>
  <c r="AO132" i="2"/>
  <c r="AI134" i="2"/>
  <c r="AJ134" i="2"/>
  <c r="AD134" i="2"/>
  <c r="AG134" i="2"/>
  <c r="AL135" i="2"/>
  <c r="AH136" i="2"/>
  <c r="AL137" i="2"/>
  <c r="AI138" i="2"/>
  <c r="AJ138" i="2"/>
  <c r="AD138" i="2"/>
  <c r="AE138" i="2" s="1"/>
  <c r="AG138" i="2"/>
  <c r="AL139" i="2"/>
  <c r="AH140" i="2"/>
  <c r="AL141" i="2"/>
  <c r="AN142" i="2"/>
  <c r="AI144" i="2"/>
  <c r="AG144" i="2"/>
  <c r="AJ144" i="2"/>
  <c r="AN146" i="2"/>
  <c r="AI148" i="2"/>
  <c r="AG148" i="2"/>
  <c r="AJ148" i="2"/>
  <c r="AD148" i="2"/>
  <c r="AN150" i="2"/>
  <c r="AN152" i="2"/>
  <c r="AM154" i="2"/>
  <c r="AO154" i="2"/>
  <c r="AL154" i="2"/>
  <c r="AM156" i="2"/>
  <c r="AL156" i="2"/>
  <c r="AO156" i="2"/>
  <c r="AI158" i="2"/>
  <c r="AJ158" i="2"/>
  <c r="AD158" i="2"/>
  <c r="AG158" i="2"/>
  <c r="AL159" i="2"/>
  <c r="AH160" i="2"/>
  <c r="AL161" i="2"/>
  <c r="AI162" i="2"/>
  <c r="AJ162" i="2"/>
  <c r="AG162" i="2"/>
  <c r="AL163" i="2"/>
  <c r="AH164" i="2"/>
  <c r="AL165" i="2"/>
  <c r="AN166" i="2"/>
  <c r="AI168" i="2"/>
  <c r="AG168" i="2"/>
  <c r="AJ168" i="2"/>
  <c r="AD168" i="2"/>
  <c r="AN170" i="2"/>
  <c r="AN172" i="2"/>
  <c r="AM174" i="2"/>
  <c r="AO174" i="2"/>
  <c r="AL174" i="2"/>
  <c r="AN176" i="2"/>
  <c r="AM178" i="2"/>
  <c r="AO178" i="2"/>
  <c r="AL178" i="2"/>
  <c r="AN180" i="2"/>
  <c r="AH182" i="2"/>
  <c r="AH184" i="2"/>
  <c r="AL185" i="2"/>
  <c r="AN186" i="2"/>
  <c r="AN188" i="2"/>
  <c r="AM190" i="2"/>
  <c r="AO190" i="2"/>
  <c r="AL190" i="2"/>
  <c r="AM192" i="2"/>
  <c r="AL192" i="2"/>
  <c r="AO192" i="2"/>
  <c r="AI194" i="2"/>
  <c r="AJ194" i="2"/>
  <c r="AD194" i="2"/>
  <c r="AG194" i="2"/>
  <c r="AL195" i="2"/>
  <c r="AH196" i="2"/>
  <c r="AL197" i="2"/>
  <c r="AI198" i="2"/>
  <c r="AJ198" i="2"/>
  <c r="AG198" i="2"/>
  <c r="AL199" i="2"/>
  <c r="AI200" i="2"/>
  <c r="AG200" i="2"/>
  <c r="AJ200" i="2"/>
  <c r="AD200" i="2"/>
  <c r="AN202" i="2"/>
  <c r="AI204" i="2"/>
  <c r="AG204" i="2"/>
  <c r="AJ204" i="2"/>
  <c r="AN206" i="2"/>
  <c r="AI208" i="2"/>
  <c r="AG208" i="2"/>
  <c r="AJ208" i="2"/>
  <c r="AM210" i="2"/>
  <c r="AO210" i="2"/>
  <c r="AL210" i="2"/>
  <c r="AM212" i="2"/>
  <c r="AL212" i="2"/>
  <c r="AO212" i="2"/>
  <c r="AI214" i="2"/>
  <c r="AJ214" i="2"/>
  <c r="AD214" i="2"/>
  <c r="AG214" i="2"/>
  <c r="AL215" i="2"/>
  <c r="AH216" i="2"/>
  <c r="AL217" i="2"/>
  <c r="AI218" i="2"/>
  <c r="AJ218" i="2"/>
  <c r="AD218" i="2"/>
  <c r="AE218" i="2" s="1"/>
  <c r="AG218" i="2"/>
  <c r="AL219" i="2"/>
  <c r="AH220" i="2"/>
  <c r="AL221" i="2"/>
  <c r="AI222" i="2"/>
  <c r="AJ222" i="2"/>
  <c r="AG222" i="2"/>
  <c r="AL223" i="2"/>
  <c r="AH224" i="2"/>
  <c r="AL225" i="2"/>
  <c r="AI226" i="2"/>
  <c r="AJ226" i="2"/>
  <c r="AD226" i="2"/>
  <c r="AE226" i="2" s="1"/>
  <c r="AG226" i="2"/>
  <c r="AL227" i="2"/>
  <c r="AH228" i="2"/>
  <c r="AL229" i="2"/>
  <c r="AN230" i="2"/>
  <c r="AN232" i="2"/>
  <c r="AM234" i="2"/>
  <c r="AO234" i="2"/>
  <c r="AL234" i="2"/>
  <c r="AN236" i="2"/>
  <c r="AM238" i="2"/>
  <c r="AO238" i="2"/>
  <c r="AL238" i="2"/>
  <c r="AN240" i="2"/>
  <c r="AH242" i="2"/>
  <c r="AM244" i="2"/>
  <c r="AL244" i="2"/>
  <c r="AO244" i="2"/>
  <c r="AI246" i="2"/>
  <c r="AJ246" i="2"/>
  <c r="AD246" i="2"/>
  <c r="AG246" i="2"/>
  <c r="AL247" i="2"/>
  <c r="AH248" i="2"/>
  <c r="AL249" i="2"/>
  <c r="AN250" i="2"/>
  <c r="AI252" i="2"/>
  <c r="AG252" i="2"/>
  <c r="AJ252" i="2"/>
  <c r="AD252" i="2"/>
  <c r="AE252" i="2" s="1"/>
  <c r="AM254" i="2"/>
  <c r="AO254" i="2"/>
  <c r="AL254" i="2"/>
  <c r="AM256" i="2"/>
  <c r="AL256" i="2"/>
  <c r="AO256" i="2"/>
  <c r="AI258" i="2"/>
  <c r="AJ258" i="2"/>
  <c r="AD258" i="2"/>
  <c r="AG258" i="2"/>
  <c r="AL259" i="2"/>
  <c r="AH260" i="2"/>
  <c r="AL261" i="2"/>
  <c r="AN262" i="2"/>
  <c r="AN264" i="2"/>
  <c r="AH266" i="2"/>
  <c r="AM268" i="2"/>
  <c r="AL268" i="2"/>
  <c r="AO268" i="2"/>
  <c r="AI270" i="2"/>
  <c r="AJ270" i="2"/>
  <c r="AD270" i="2"/>
  <c r="AG270" i="2"/>
  <c r="AL271" i="2"/>
  <c r="AH272" i="2"/>
  <c r="AL273" i="2"/>
  <c r="AI274" i="2"/>
  <c r="AJ274" i="2"/>
  <c r="AD274" i="2"/>
  <c r="AG274" i="2"/>
  <c r="AL275" i="2"/>
  <c r="AH276" i="2"/>
  <c r="AL277" i="2"/>
  <c r="AI278" i="2"/>
  <c r="AJ278" i="2"/>
  <c r="AD278" i="2"/>
  <c r="AG278" i="2"/>
  <c r="AL279" i="2"/>
  <c r="AH280" i="2"/>
  <c r="AL281" i="2"/>
  <c r="AI282" i="2"/>
  <c r="AJ282" i="2"/>
  <c r="AG282" i="2"/>
  <c r="AL283" i="2"/>
  <c r="AH284" i="2"/>
  <c r="AL285" i="2"/>
  <c r="AI286" i="2"/>
  <c r="AJ286" i="2"/>
  <c r="AD286" i="2"/>
  <c r="AE286" i="2" s="1"/>
  <c r="AG286" i="2"/>
  <c r="AL287" i="2"/>
  <c r="AI288" i="2"/>
  <c r="AG288" i="2"/>
  <c r="AJ288" i="2"/>
  <c r="AD288" i="2"/>
  <c r="AM290" i="2"/>
  <c r="AO290" i="2"/>
  <c r="AL290" i="2"/>
  <c r="AP294" i="2"/>
  <c r="AC295" i="2"/>
  <c r="AD295" i="2" s="1"/>
  <c r="AE295" i="2" s="1"/>
  <c r="AB295" i="2"/>
  <c r="AM298" i="2"/>
  <c r="AO298" i="2"/>
  <c r="AN298" i="2"/>
  <c r="AL298" i="2"/>
  <c r="AM306" i="2"/>
  <c r="AO306" i="2"/>
  <c r="AN306" i="2"/>
  <c r="AL306" i="2"/>
  <c r="AO312" i="2"/>
  <c r="Z312" i="2"/>
  <c r="AC312" i="2" s="1"/>
  <c r="AD312" i="2" s="1"/>
  <c r="AM314" i="2"/>
  <c r="AO314" i="2"/>
  <c r="AN314" i="2"/>
  <c r="AL314" i="2"/>
  <c r="AP318" i="2"/>
  <c r="AC319" i="2"/>
  <c r="AD319" i="2" s="1"/>
  <c r="AE319" i="2" s="1"/>
  <c r="AB319" i="2"/>
  <c r="AM322" i="2"/>
  <c r="AO322" i="2"/>
  <c r="AN322" i="2"/>
  <c r="AL322" i="2"/>
  <c r="AL325" i="2"/>
  <c r="AI326" i="2"/>
  <c r="AJ326" i="2"/>
  <c r="AD326" i="2"/>
  <c r="AH326" i="2"/>
  <c r="AG326" i="2"/>
  <c r="AP330" i="2"/>
  <c r="AC331" i="2"/>
  <c r="AD331" i="2" s="1"/>
  <c r="AE331" i="2" s="1"/>
  <c r="AB331" i="2"/>
  <c r="AM334" i="2"/>
  <c r="AO334" i="2"/>
  <c r="AN334" i="2"/>
  <c r="AL334" i="2"/>
  <c r="AI342" i="2"/>
  <c r="AJ342" i="2"/>
  <c r="AD342" i="2"/>
  <c r="AH342" i="2"/>
  <c r="AG342" i="2"/>
  <c r="AO344" i="2"/>
  <c r="Z344" i="2"/>
  <c r="AC344" i="2" s="1"/>
  <c r="AD344" i="2" s="1"/>
  <c r="AM346" i="2"/>
  <c r="AO346" i="2"/>
  <c r="AN346" i="2"/>
  <c r="AL346" i="2"/>
  <c r="AJ2" i="2"/>
  <c r="AJ3" i="2"/>
  <c r="AB4" i="2"/>
  <c r="AJ5" i="2"/>
  <c r="AB6" i="2"/>
  <c r="AJ7" i="2"/>
  <c r="AB8" i="2"/>
  <c r="AJ9" i="2"/>
  <c r="AB10" i="2"/>
  <c r="AJ11" i="2"/>
  <c r="AB12" i="2"/>
  <c r="AJ13" i="2"/>
  <c r="AB14" i="2"/>
  <c r="AJ15" i="2"/>
  <c r="AJ16" i="2"/>
  <c r="AB17" i="2"/>
  <c r="AJ18" i="2"/>
  <c r="AB19" i="2"/>
  <c r="AJ20" i="2"/>
  <c r="AB21" i="2"/>
  <c r="AJ22" i="2"/>
  <c r="AB23" i="2"/>
  <c r="AJ24" i="2"/>
  <c r="AB25" i="2"/>
  <c r="AJ25" i="2"/>
  <c r="AJ26" i="2"/>
  <c r="AB27" i="2"/>
  <c r="AJ28" i="2"/>
  <c r="AB29" i="2"/>
  <c r="AJ30" i="2"/>
  <c r="AB31" i="2"/>
  <c r="AJ33" i="2"/>
  <c r="AB34" i="2"/>
  <c r="AJ35" i="2"/>
  <c r="AB36" i="2"/>
  <c r="AJ37" i="2"/>
  <c r="AB38" i="2"/>
  <c r="AJ39" i="2"/>
  <c r="AJ40" i="2"/>
  <c r="AB41" i="2"/>
  <c r="AB42" i="2"/>
  <c r="AJ44" i="2"/>
  <c r="AB47" i="2"/>
  <c r="AJ47" i="2"/>
  <c r="AB48" i="2"/>
  <c r="AJ48" i="2"/>
  <c r="AJ50" i="2"/>
  <c r="AB51" i="2"/>
  <c r="AP346" i="2"/>
  <c r="AC347" i="2"/>
  <c r="AD347" i="2" s="1"/>
  <c r="AE347" i="2" s="1"/>
  <c r="AB347" i="2"/>
  <c r="AB2" i="2"/>
  <c r="AB3" i="2"/>
  <c r="AJ4" i="2"/>
  <c r="AB5" i="2"/>
  <c r="AJ6" i="2"/>
  <c r="AB7" i="2"/>
  <c r="AJ8" i="2"/>
  <c r="AB9" i="2"/>
  <c r="AJ10" i="2"/>
  <c r="AB11" i="2"/>
  <c r="AJ12" i="2"/>
  <c r="AB13" i="2"/>
  <c r="AJ14" i="2"/>
  <c r="AB15" i="2"/>
  <c r="AJ17" i="2"/>
  <c r="AB18" i="2"/>
  <c r="AJ19" i="2"/>
  <c r="AB20" i="2"/>
  <c r="AJ21" i="2"/>
  <c r="AB22" i="2"/>
  <c r="AJ23" i="2"/>
  <c r="AB24" i="2"/>
  <c r="AJ27" i="2"/>
  <c r="AB28" i="2"/>
  <c r="AJ29" i="2"/>
  <c r="AB30" i="2"/>
  <c r="AJ31" i="2"/>
  <c r="AB32" i="2"/>
  <c r="AJ32" i="2"/>
  <c r="AB33" i="2"/>
  <c r="AJ34" i="2"/>
  <c r="AB35" i="2"/>
  <c r="AJ36" i="2"/>
  <c r="AB37" i="2"/>
  <c r="AJ38" i="2"/>
  <c r="AB39" i="2"/>
  <c r="AB40" i="2"/>
  <c r="AJ41" i="2"/>
  <c r="AJ42" i="2"/>
  <c r="AB43" i="2"/>
  <c r="AJ43" i="2"/>
  <c r="AJ45" i="2"/>
  <c r="AJ46" i="2"/>
  <c r="AJ49" i="2"/>
  <c r="AB50" i="2"/>
  <c r="AJ51" i="2"/>
  <c r="AB52" i="2"/>
  <c r="AJ52" i="2"/>
  <c r="AB53" i="2"/>
  <c r="AJ53" i="2"/>
  <c r="AB54" i="2"/>
  <c r="AJ54" i="2"/>
  <c r="AB55" i="2"/>
  <c r="AJ55" i="2"/>
  <c r="AB56" i="2"/>
  <c r="AJ56" i="2"/>
  <c r="AB57" i="2"/>
  <c r="AJ57" i="2"/>
  <c r="AB58" i="2"/>
  <c r="AJ58" i="2"/>
  <c r="AB59" i="2"/>
  <c r="AJ59" i="2"/>
  <c r="AB60" i="2"/>
  <c r="AJ60" i="2"/>
  <c r="AB61" i="2"/>
  <c r="AJ61" i="2"/>
  <c r="AJ62" i="2"/>
  <c r="AJ63" i="2"/>
  <c r="AB64" i="2"/>
  <c r="AJ64" i="2"/>
  <c r="AB65" i="2"/>
  <c r="AJ65" i="2"/>
  <c r="AB66" i="2"/>
  <c r="AJ66" i="2"/>
  <c r="AB67" i="2"/>
  <c r="AJ67" i="2"/>
  <c r="AB68" i="2"/>
  <c r="AJ68" i="2"/>
  <c r="AB69" i="2"/>
  <c r="AJ69" i="2"/>
  <c r="AJ70" i="2"/>
  <c r="AB71" i="2"/>
  <c r="AJ71" i="2"/>
  <c r="AB72" i="2"/>
  <c r="AJ72" i="2"/>
  <c r="AB73" i="2"/>
  <c r="AJ73" i="2"/>
  <c r="AB74" i="2"/>
  <c r="AJ74" i="2"/>
  <c r="AB75" i="2"/>
  <c r="AJ75" i="2"/>
  <c r="AB76" i="2"/>
  <c r="AJ76" i="2"/>
  <c r="AP77" i="2"/>
  <c r="AN83" i="2"/>
  <c r="AP83" i="2"/>
  <c r="AL83" i="2"/>
  <c r="AN84" i="2"/>
  <c r="AP84" i="2"/>
  <c r="AL84" i="2"/>
  <c r="X88" i="2"/>
  <c r="AH88" i="2"/>
  <c r="AN88" i="2"/>
  <c r="AP88" i="2"/>
  <c r="AL88" i="2"/>
  <c r="AN89" i="2"/>
  <c r="AP89" i="2"/>
  <c r="AL89" i="2"/>
  <c r="X93" i="2"/>
  <c r="AH93" i="2"/>
  <c r="AN93" i="2"/>
  <c r="AP93" i="2"/>
  <c r="AL93" i="2"/>
  <c r="X98" i="2"/>
  <c r="AH98" i="2"/>
  <c r="X99" i="2"/>
  <c r="AH99" i="2"/>
  <c r="AN99" i="2"/>
  <c r="AP99" i="2"/>
  <c r="AL99" i="2"/>
  <c r="AN100" i="2"/>
  <c r="J5" i="5" s="1"/>
  <c r="AP100" i="2"/>
  <c r="AL100" i="2"/>
  <c r="AL103" i="2"/>
  <c r="AI104" i="2"/>
  <c r="AG104" i="2"/>
  <c r="AJ104" i="2"/>
  <c r="AD104" i="2"/>
  <c r="AM110" i="2"/>
  <c r="AO110" i="2"/>
  <c r="AL110" i="2"/>
  <c r="AM114" i="2"/>
  <c r="AO114" i="2"/>
  <c r="AL114" i="2"/>
  <c r="AM118" i="2"/>
  <c r="AO118" i="2"/>
  <c r="AL118" i="2"/>
  <c r="AM120" i="2"/>
  <c r="AL120" i="2"/>
  <c r="AO120" i="2"/>
  <c r="AM124" i="2"/>
  <c r="AL124" i="2"/>
  <c r="AO124" i="2"/>
  <c r="AL129" i="2"/>
  <c r="AM136" i="2"/>
  <c r="AL136" i="2"/>
  <c r="AO136" i="2"/>
  <c r="AM140" i="2"/>
  <c r="AL140" i="2"/>
  <c r="AO140" i="2"/>
  <c r="AI142" i="2"/>
  <c r="AJ142" i="2"/>
  <c r="AD142" i="2"/>
  <c r="AG142" i="2"/>
  <c r="AL143" i="2"/>
  <c r="AL145" i="2"/>
  <c r="AI146" i="2"/>
  <c r="AJ146" i="2"/>
  <c r="AD146" i="2"/>
  <c r="AE146" i="2" s="1"/>
  <c r="AG146" i="2"/>
  <c r="AL147" i="2"/>
  <c r="AL149" i="2"/>
  <c r="AI150" i="2"/>
  <c r="AJ150" i="2"/>
  <c r="AD150" i="2"/>
  <c r="AG150" i="2"/>
  <c r="AL151" i="2"/>
  <c r="AI152" i="2"/>
  <c r="AG152" i="2"/>
  <c r="AJ152" i="2"/>
  <c r="AD152" i="2"/>
  <c r="AM160" i="2"/>
  <c r="AL160" i="2"/>
  <c r="AO160" i="2"/>
  <c r="AM164" i="2"/>
  <c r="AL164" i="2"/>
  <c r="AO164" i="2"/>
  <c r="AI166" i="2"/>
  <c r="AJ166" i="2"/>
  <c r="AD166" i="2"/>
  <c r="AG166" i="2"/>
  <c r="AL167" i="2"/>
  <c r="AL169" i="2"/>
  <c r="AI170" i="2"/>
  <c r="AJ170" i="2"/>
  <c r="AD170" i="2"/>
  <c r="AG170" i="2"/>
  <c r="AL171" i="2"/>
  <c r="AI172" i="2"/>
  <c r="AG172" i="2"/>
  <c r="AJ172" i="2"/>
  <c r="AD172" i="2"/>
  <c r="AI176" i="2"/>
  <c r="AG176" i="2"/>
  <c r="AJ176" i="2"/>
  <c r="AD176" i="2"/>
  <c r="AI180" i="2"/>
  <c r="AG180" i="2"/>
  <c r="AJ180" i="2"/>
  <c r="AD180" i="2"/>
  <c r="AM182" i="2"/>
  <c r="AO182" i="2"/>
  <c r="AL182" i="2"/>
  <c r="AM184" i="2"/>
  <c r="AL184" i="2"/>
  <c r="AO184" i="2"/>
  <c r="AI186" i="2"/>
  <c r="AJ186" i="2"/>
  <c r="AD186" i="2"/>
  <c r="AG186" i="2"/>
  <c r="AL187" i="2"/>
  <c r="AI188" i="2"/>
  <c r="AG188" i="2"/>
  <c r="AJ188" i="2"/>
  <c r="AD188" i="2"/>
  <c r="AM196" i="2"/>
  <c r="AL196" i="2"/>
  <c r="AO196" i="2"/>
  <c r="AL201" i="2"/>
  <c r="AI202" i="2"/>
  <c r="AJ202" i="2"/>
  <c r="AD202" i="2"/>
  <c r="AE202" i="2" s="1"/>
  <c r="AG202" i="2"/>
  <c r="AL203" i="2"/>
  <c r="AL205" i="2"/>
  <c r="AI206" i="2"/>
  <c r="AJ206" i="2"/>
  <c r="AD206" i="2"/>
  <c r="AE206" i="2" s="1"/>
  <c r="AG206" i="2"/>
  <c r="AL207" i="2"/>
  <c r="AL209" i="2"/>
  <c r="AM216" i="2"/>
  <c r="AL216" i="2"/>
  <c r="AO216" i="2"/>
  <c r="AM220" i="2"/>
  <c r="AL220" i="2"/>
  <c r="AO220" i="2"/>
  <c r="AM224" i="2"/>
  <c r="AL224" i="2"/>
  <c r="AO224" i="2"/>
  <c r="AM228" i="2"/>
  <c r="AL228" i="2"/>
  <c r="AO228" i="2"/>
  <c r="AI230" i="2"/>
  <c r="AJ230" i="2"/>
  <c r="AD230" i="2"/>
  <c r="AG230" i="2"/>
  <c r="AL231" i="2"/>
  <c r="AI232" i="2"/>
  <c r="AG232" i="2"/>
  <c r="AJ232" i="2"/>
  <c r="AD232" i="2"/>
  <c r="AI236" i="2"/>
  <c r="AG236" i="2"/>
  <c r="AJ236" i="2"/>
  <c r="AD236" i="2"/>
  <c r="AE236" i="2" s="1"/>
  <c r="AI240" i="2"/>
  <c r="AG240" i="2"/>
  <c r="AJ240" i="2"/>
  <c r="AD240" i="2"/>
  <c r="AM242" i="2"/>
  <c r="AO242" i="2"/>
  <c r="AL242" i="2"/>
  <c r="AM248" i="2"/>
  <c r="AL248" i="2"/>
  <c r="AO248" i="2"/>
  <c r="AI250" i="2"/>
  <c r="AJ250" i="2"/>
  <c r="AD250" i="2"/>
  <c r="AG250" i="2"/>
  <c r="AL251" i="2"/>
  <c r="AL253" i="2"/>
  <c r="AM260" i="2"/>
  <c r="AL260" i="2"/>
  <c r="AO260" i="2"/>
  <c r="AI262" i="2"/>
  <c r="AJ262" i="2"/>
  <c r="AD262" i="2"/>
  <c r="AG262" i="2"/>
  <c r="AL263" i="2"/>
  <c r="AI264" i="2"/>
  <c r="AG264" i="2"/>
  <c r="AJ264" i="2"/>
  <c r="AD264" i="2"/>
  <c r="AM266" i="2"/>
  <c r="AO266" i="2"/>
  <c r="AL266" i="2"/>
  <c r="AM272" i="2"/>
  <c r="AL272" i="2"/>
  <c r="AO272" i="2"/>
  <c r="AM276" i="2"/>
  <c r="AL276" i="2"/>
  <c r="AO276" i="2"/>
  <c r="AM280" i="2"/>
  <c r="AL280" i="2"/>
  <c r="AO280" i="2"/>
  <c r="AM284" i="2"/>
  <c r="AL284" i="2"/>
  <c r="AO284" i="2"/>
  <c r="AL289" i="2"/>
  <c r="AO296" i="2"/>
  <c r="Z296" i="2"/>
  <c r="AC299" i="2"/>
  <c r="AD299" i="2" s="1"/>
  <c r="AB299" i="2"/>
  <c r="AL301" i="2"/>
  <c r="AI302" i="2"/>
  <c r="AJ302" i="2"/>
  <c r="AD302" i="2"/>
  <c r="AH302" i="2"/>
  <c r="AG302" i="2"/>
  <c r="AO304" i="2"/>
  <c r="Z304" i="2"/>
  <c r="AL309" i="2"/>
  <c r="AI310" i="2"/>
  <c r="AJ310" i="2"/>
  <c r="AD310" i="2"/>
  <c r="AH310" i="2"/>
  <c r="AG310" i="2"/>
  <c r="AO320" i="2"/>
  <c r="Z320" i="2"/>
  <c r="AC323" i="2"/>
  <c r="AD323" i="2" s="1"/>
  <c r="AE323" i="2" s="1"/>
  <c r="AB323" i="2"/>
  <c r="AM326" i="2"/>
  <c r="AO326" i="2"/>
  <c r="AN326" i="2"/>
  <c r="AL326" i="2"/>
  <c r="AO332" i="2"/>
  <c r="Z332" i="2"/>
  <c r="AL337" i="2"/>
  <c r="AI338" i="2"/>
  <c r="AJ338" i="2"/>
  <c r="AD338" i="2"/>
  <c r="AH338" i="2"/>
  <c r="AG338" i="2"/>
  <c r="AO340" i="2"/>
  <c r="Z340" i="2"/>
  <c r="AC340" i="2" s="1"/>
  <c r="AD340" i="2" s="1"/>
  <c r="AM342" i="2"/>
  <c r="AO342" i="2"/>
  <c r="AN342" i="2"/>
  <c r="AL342" i="2"/>
  <c r="AG2" i="2"/>
  <c r="A359" i="5"/>
  <c r="A358" i="5"/>
  <c r="A354" i="5"/>
  <c r="A350" i="5"/>
  <c r="A346" i="5"/>
  <c r="A342" i="5"/>
  <c r="A338" i="5"/>
  <c r="A334" i="5"/>
  <c r="A357" i="5"/>
  <c r="A353" i="5"/>
  <c r="A349" i="5"/>
  <c r="A345" i="5"/>
  <c r="A341" i="5"/>
  <c r="A337" i="5"/>
  <c r="A333" i="5"/>
  <c r="A331" i="5"/>
  <c r="A330" i="5"/>
  <c r="A329" i="5"/>
  <c r="A328" i="5"/>
  <c r="A327" i="5"/>
  <c r="A326" i="5"/>
  <c r="A325" i="5"/>
  <c r="A356" i="5"/>
  <c r="A352" i="5"/>
  <c r="A348" i="5"/>
  <c r="A344" i="5"/>
  <c r="A340" i="5"/>
  <c r="A355" i="5"/>
  <c r="A335" i="5"/>
  <c r="A351" i="5"/>
  <c r="A336" i="5"/>
  <c r="A319" i="5"/>
  <c r="A315" i="5"/>
  <c r="A311" i="5"/>
  <c r="A307" i="5"/>
  <c r="A332" i="5"/>
  <c r="A323" i="5"/>
  <c r="A322" i="5"/>
  <c r="A318" i="5"/>
  <c r="A314" i="5"/>
  <c r="A310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343" i="5"/>
  <c r="A339" i="5"/>
  <c r="A317" i="5"/>
  <c r="A309" i="5"/>
  <c r="A288" i="5"/>
  <c r="A284" i="5"/>
  <c r="A280" i="5"/>
  <c r="A276" i="5"/>
  <c r="A272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347" i="5"/>
  <c r="A316" i="5"/>
  <c r="A308" i="5"/>
  <c r="A287" i="5"/>
  <c r="A283" i="5"/>
  <c r="A279" i="5"/>
  <c r="A275" i="5"/>
  <c r="A271" i="5"/>
  <c r="A321" i="5"/>
  <c r="A286" i="5"/>
  <c r="A27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312" i="5"/>
  <c r="A285" i="5"/>
  <c r="A277" i="5"/>
  <c r="A282" i="5"/>
  <c r="A249" i="5"/>
  <c r="A190" i="5"/>
  <c r="A186" i="5"/>
  <c r="A182" i="5"/>
  <c r="A178" i="5"/>
  <c r="A174" i="5"/>
  <c r="A170" i="5"/>
  <c r="A166" i="5"/>
  <c r="A289" i="5"/>
  <c r="A273" i="5"/>
  <c r="A248" i="5"/>
  <c r="A189" i="5"/>
  <c r="A185" i="5"/>
  <c r="A181" i="5"/>
  <c r="A177" i="5"/>
  <c r="A173" i="5"/>
  <c r="A169" i="5"/>
  <c r="A165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324" i="5"/>
  <c r="A274" i="5"/>
  <c r="A192" i="5"/>
  <c r="A184" i="5"/>
  <c r="A176" i="5"/>
  <c r="A168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281" i="5"/>
  <c r="A191" i="5"/>
  <c r="A183" i="5"/>
  <c r="A175" i="5"/>
  <c r="A167" i="5"/>
  <c r="A313" i="5"/>
  <c r="A290" i="5"/>
  <c r="A188" i="5"/>
  <c r="A180" i="5"/>
  <c r="A172" i="5"/>
  <c r="A164" i="5"/>
  <c r="A187" i="5"/>
  <c r="A320" i="5"/>
  <c r="A171" i="5"/>
  <c r="A179" i="5"/>
  <c r="D5" i="5"/>
  <c r="A163" i="5"/>
  <c r="AL351" i="2"/>
  <c r="AL348" i="2"/>
  <c r="AL344" i="2"/>
  <c r="AL340" i="2"/>
  <c r="AL336" i="2"/>
  <c r="AL332" i="2"/>
  <c r="AL328" i="2"/>
  <c r="AL324" i="2"/>
  <c r="AL320" i="2"/>
  <c r="AL316" i="2"/>
  <c r="AL312" i="2"/>
  <c r="AL308" i="2"/>
  <c r="AL304" i="2"/>
  <c r="AL300" i="2"/>
  <c r="AL296" i="2"/>
  <c r="AL292" i="2"/>
  <c r="AL349" i="2"/>
  <c r="AO2" i="2"/>
  <c r="AL77" i="2"/>
  <c r="AN78" i="2"/>
  <c r="AP78" i="2"/>
  <c r="AN79" i="2"/>
  <c r="AP79" i="2"/>
  <c r="AN80" i="2"/>
  <c r="AP80" i="2"/>
  <c r="AN81" i="2"/>
  <c r="AP81" i="2"/>
  <c r="AN82" i="2"/>
  <c r="AP82" i="2"/>
  <c r="AM83" i="2"/>
  <c r="G5" i="5" s="1"/>
  <c r="AM84" i="2"/>
  <c r="AO85" i="2"/>
  <c r="AC86" i="2"/>
  <c r="AD86" i="2" s="1"/>
  <c r="AE86" i="2" s="1"/>
  <c r="AI86" i="2"/>
  <c r="X87" i="2"/>
  <c r="AH87" i="2"/>
  <c r="AN87" i="2"/>
  <c r="AP87" i="2"/>
  <c r="AL87" i="2"/>
  <c r="AM88" i="2"/>
  <c r="AM89" i="2"/>
  <c r="AO90" i="2"/>
  <c r="AC91" i="2"/>
  <c r="AD91" i="2" s="1"/>
  <c r="AI91" i="2"/>
  <c r="X92" i="2"/>
  <c r="AH92" i="2"/>
  <c r="AN92" i="2"/>
  <c r="AP92" i="2"/>
  <c r="AL92" i="2"/>
  <c r="AM93" i="2"/>
  <c r="AO94" i="2"/>
  <c r="AC95" i="2"/>
  <c r="AD95" i="2" s="1"/>
  <c r="AE95" i="2" s="1"/>
  <c r="AI95" i="2"/>
  <c r="X96" i="2"/>
  <c r="AH96" i="2"/>
  <c r="AI96" i="2"/>
  <c r="X97" i="2"/>
  <c r="AH97" i="2"/>
  <c r="AN97" i="2"/>
  <c r="AP97" i="2"/>
  <c r="AL97" i="2"/>
  <c r="AN98" i="2"/>
  <c r="AP98" i="2"/>
  <c r="AL98" i="2"/>
  <c r="AM99" i="2"/>
  <c r="AM100" i="2"/>
  <c r="AO101" i="2"/>
  <c r="AC102" i="2"/>
  <c r="AD102" i="2" s="1"/>
  <c r="AE102" i="2" s="1"/>
  <c r="AI102" i="2"/>
  <c r="AH104" i="2"/>
  <c r="AL105" i="2"/>
  <c r="AI106" i="2"/>
  <c r="AJ106" i="2"/>
  <c r="AD106" i="2"/>
  <c r="AG106" i="2"/>
  <c r="AP106" i="2"/>
  <c r="AL107" i="2"/>
  <c r="AI108" i="2"/>
  <c r="AG108" i="2"/>
  <c r="AJ108" i="2"/>
  <c r="AD108" i="2"/>
  <c r="AP108" i="2"/>
  <c r="AC110" i="2"/>
  <c r="AN110" i="2"/>
  <c r="AI112" i="2"/>
  <c r="AG112" i="2"/>
  <c r="AJ112" i="2"/>
  <c r="AD112" i="2"/>
  <c r="AP112" i="2"/>
  <c r="AC114" i="2"/>
  <c r="AD114" i="2" s="1"/>
  <c r="AE114" i="2" s="1"/>
  <c r="AN114" i="2"/>
  <c r="AI116" i="2"/>
  <c r="AG116" i="2"/>
  <c r="AJ116" i="2"/>
  <c r="AD116" i="2"/>
  <c r="AE116" i="2" s="1"/>
  <c r="AP116" i="2"/>
  <c r="AC118" i="2"/>
  <c r="AN118" i="2"/>
  <c r="AN120" i="2"/>
  <c r="AM122" i="2"/>
  <c r="AO122" i="2"/>
  <c r="AL122" i="2"/>
  <c r="AC124" i="2"/>
  <c r="AN124" i="2"/>
  <c r="AM126" i="2"/>
  <c r="AO126" i="2"/>
  <c r="AL126" i="2"/>
  <c r="AM128" i="2"/>
  <c r="AL128" i="2"/>
  <c r="AO128" i="2"/>
  <c r="AB129" i="2"/>
  <c r="AI130" i="2"/>
  <c r="AJ130" i="2"/>
  <c r="AD130" i="2"/>
  <c r="AG130" i="2"/>
  <c r="AP130" i="2"/>
  <c r="AL131" i="2"/>
  <c r="AI132" i="2"/>
  <c r="AG132" i="2"/>
  <c r="AJ132" i="2"/>
  <c r="AD132" i="2"/>
  <c r="AP132" i="2"/>
  <c r="AM134" i="2"/>
  <c r="AO134" i="2"/>
  <c r="AL134" i="2"/>
  <c r="AC136" i="2"/>
  <c r="AD136" i="2" s="1"/>
  <c r="AN136" i="2"/>
  <c r="AM138" i="2"/>
  <c r="AO138" i="2"/>
  <c r="AL138" i="2"/>
  <c r="AB139" i="2"/>
  <c r="AC140" i="2"/>
  <c r="AN140" i="2"/>
  <c r="AH142" i="2"/>
  <c r="AM144" i="2"/>
  <c r="AL144" i="2"/>
  <c r="AO144" i="2"/>
  <c r="AB145" i="2"/>
  <c r="AH146" i="2"/>
  <c r="AM148" i="2"/>
  <c r="AL148" i="2"/>
  <c r="AO148" i="2"/>
  <c r="AB149" i="2"/>
  <c r="AH150" i="2"/>
  <c r="AH152" i="2"/>
  <c r="AL153" i="2"/>
  <c r="AI154" i="2"/>
  <c r="AJ154" i="2"/>
  <c r="AD154" i="2"/>
  <c r="AE154" i="2" s="1"/>
  <c r="AG154" i="2"/>
  <c r="AP154" i="2"/>
  <c r="AL155" i="2"/>
  <c r="AI156" i="2"/>
  <c r="AG156" i="2"/>
  <c r="AJ156" i="2"/>
  <c r="AD156" i="2"/>
  <c r="AP156" i="2"/>
  <c r="AM158" i="2"/>
  <c r="AO158" i="2"/>
  <c r="AL158" i="2"/>
  <c r="AB159" i="2"/>
  <c r="AC160" i="2"/>
  <c r="AD160" i="2" s="1"/>
  <c r="AE160" i="2" s="1"/>
  <c r="AN160" i="2"/>
  <c r="AM162" i="2"/>
  <c r="AO162" i="2"/>
  <c r="AL162" i="2"/>
  <c r="AB163" i="2"/>
  <c r="AC164" i="2"/>
  <c r="AN164" i="2"/>
  <c r="AH166" i="2"/>
  <c r="AM168" i="2"/>
  <c r="AL168" i="2"/>
  <c r="AO168" i="2"/>
  <c r="AB169" i="2"/>
  <c r="AH170" i="2"/>
  <c r="AH172" i="2"/>
  <c r="AL173" i="2"/>
  <c r="AI174" i="2"/>
  <c r="AJ174" i="2"/>
  <c r="AD174" i="2"/>
  <c r="AE174" i="2" s="1"/>
  <c r="AG174" i="2"/>
  <c r="AP174" i="2"/>
  <c r="AL175" i="2"/>
  <c r="AH176" i="2"/>
  <c r="AL177" i="2"/>
  <c r="AI178" i="2"/>
  <c r="AJ178" i="2"/>
  <c r="AD178" i="2"/>
  <c r="AE178" i="2" s="1"/>
  <c r="AG178" i="2"/>
  <c r="AP178" i="2"/>
  <c r="AL179" i="2"/>
  <c r="AH180" i="2"/>
  <c r="AL181" i="2"/>
  <c r="AN182" i="2"/>
  <c r="AN184" i="2"/>
  <c r="AH186" i="2"/>
  <c r="AH188" i="2"/>
  <c r="AL189" i="2"/>
  <c r="AI190" i="2"/>
  <c r="AJ190" i="2"/>
  <c r="AD190" i="2"/>
  <c r="AE190" i="2" s="1"/>
  <c r="AG190" i="2"/>
  <c r="AP190" i="2"/>
  <c r="AL191" i="2"/>
  <c r="AI192" i="2"/>
  <c r="AG192" i="2"/>
  <c r="AJ192" i="2"/>
  <c r="AD192" i="2"/>
  <c r="AP192" i="2"/>
  <c r="AM194" i="2"/>
  <c r="AO194" i="2"/>
  <c r="AL194" i="2"/>
  <c r="AB195" i="2"/>
  <c r="AC196" i="2"/>
  <c r="AD196" i="2" s="1"/>
  <c r="AE196" i="2" s="1"/>
  <c r="AN196" i="2"/>
  <c r="AM198" i="2"/>
  <c r="AO198" i="2"/>
  <c r="AL198" i="2"/>
  <c r="AM200" i="2"/>
  <c r="AL200" i="2"/>
  <c r="AO200" i="2"/>
  <c r="AB201" i="2"/>
  <c r="AH202" i="2"/>
  <c r="AM204" i="2"/>
  <c r="AL204" i="2"/>
  <c r="AO204" i="2"/>
  <c r="AH206" i="2"/>
  <c r="AM208" i="2"/>
  <c r="AL208" i="2"/>
  <c r="AO208" i="2"/>
  <c r="AB209" i="2"/>
  <c r="AI210" i="2"/>
  <c r="AJ210" i="2"/>
  <c r="AD210" i="2"/>
  <c r="AG210" i="2"/>
  <c r="AP210" i="2"/>
  <c r="AL211" i="2"/>
  <c r="AI212" i="2"/>
  <c r="AG212" i="2"/>
  <c r="AJ212" i="2"/>
  <c r="AD212" i="2"/>
  <c r="AP212" i="2"/>
  <c r="AM214" i="2"/>
  <c r="AO214" i="2"/>
  <c r="AL214" i="2"/>
  <c r="AB215" i="2"/>
  <c r="AC216" i="2"/>
  <c r="AD216" i="2" s="1"/>
  <c r="AN216" i="2"/>
  <c r="AM218" i="2"/>
  <c r="AO218" i="2"/>
  <c r="AL218" i="2"/>
  <c r="AB219" i="2"/>
  <c r="AC220" i="2"/>
  <c r="AD220" i="2" s="1"/>
  <c r="AE220" i="2" s="1"/>
  <c r="AN220" i="2"/>
  <c r="AM222" i="2"/>
  <c r="AO222" i="2"/>
  <c r="AL222" i="2"/>
  <c r="AC224" i="2"/>
  <c r="AN224" i="2"/>
  <c r="AM226" i="2"/>
  <c r="AO226" i="2"/>
  <c r="AL226" i="2"/>
  <c r="AC228" i="2"/>
  <c r="AD228" i="2" s="1"/>
  <c r="AE228" i="2" s="1"/>
  <c r="AN228" i="2"/>
  <c r="AH230" i="2"/>
  <c r="AH232" i="2"/>
  <c r="AL233" i="2"/>
  <c r="AI234" i="2"/>
  <c r="AJ234" i="2"/>
  <c r="AD234" i="2"/>
  <c r="AE234" i="2" s="1"/>
  <c r="AG234" i="2"/>
  <c r="AP234" i="2"/>
  <c r="AL235" i="2"/>
  <c r="AH236" i="2"/>
  <c r="AL237" i="2"/>
  <c r="AI238" i="2"/>
  <c r="AJ238" i="2"/>
  <c r="AD238" i="2"/>
  <c r="AE238" i="2" s="1"/>
  <c r="AG238" i="2"/>
  <c r="AP238" i="2"/>
  <c r="AL239" i="2"/>
  <c r="AH240" i="2"/>
  <c r="AL241" i="2"/>
  <c r="AN242" i="2"/>
  <c r="AI244" i="2"/>
  <c r="AG244" i="2"/>
  <c r="AJ244" i="2"/>
  <c r="AD244" i="2"/>
  <c r="AP244" i="2"/>
  <c r="AM246" i="2"/>
  <c r="AO246" i="2"/>
  <c r="AL246" i="2"/>
  <c r="AB247" i="2"/>
  <c r="AC248" i="2"/>
  <c r="AD248" i="2" s="1"/>
  <c r="AE248" i="2" s="1"/>
  <c r="AN248" i="2"/>
  <c r="AH250" i="2"/>
  <c r="AM252" i="2"/>
  <c r="AL252" i="2"/>
  <c r="AO252" i="2"/>
  <c r="AB253" i="2"/>
  <c r="AI254" i="2"/>
  <c r="AJ254" i="2"/>
  <c r="AD254" i="2"/>
  <c r="AG254" i="2"/>
  <c r="AP254" i="2"/>
  <c r="AL255" i="2"/>
  <c r="AI256" i="2"/>
  <c r="AG256" i="2"/>
  <c r="AJ256" i="2"/>
  <c r="AD256" i="2"/>
  <c r="AP256" i="2"/>
  <c r="AM258" i="2"/>
  <c r="AO258" i="2"/>
  <c r="AL258" i="2"/>
  <c r="AB259" i="2"/>
  <c r="AC260" i="2"/>
  <c r="AN260" i="2"/>
  <c r="AH262" i="2"/>
  <c r="AH264" i="2"/>
  <c r="AL265" i="2"/>
  <c r="AN266" i="2"/>
  <c r="AI268" i="2"/>
  <c r="AG268" i="2"/>
  <c r="AJ268" i="2"/>
  <c r="AD268" i="2"/>
  <c r="AP268" i="2"/>
  <c r="AM270" i="2"/>
  <c r="AO270" i="2"/>
  <c r="AL270" i="2"/>
  <c r="AB271" i="2"/>
  <c r="AC272" i="2"/>
  <c r="AN272" i="2"/>
  <c r="AM274" i="2"/>
  <c r="AO274" i="2"/>
  <c r="AL274" i="2"/>
  <c r="AB275" i="2"/>
  <c r="AC276" i="2"/>
  <c r="AD276" i="2" s="1"/>
  <c r="AN276" i="2"/>
  <c r="AM278" i="2"/>
  <c r="AO278" i="2"/>
  <c r="AL278" i="2"/>
  <c r="AC280" i="2"/>
  <c r="AD280" i="2" s="1"/>
  <c r="AE280" i="2" s="1"/>
  <c r="AN280" i="2"/>
  <c r="AM282" i="2"/>
  <c r="AO282" i="2"/>
  <c r="AL282" i="2"/>
  <c r="AC284" i="2"/>
  <c r="AD284" i="2" s="1"/>
  <c r="AN284" i="2"/>
  <c r="AM286" i="2"/>
  <c r="AO286" i="2"/>
  <c r="AL286" i="2"/>
  <c r="AB287" i="2"/>
  <c r="AM288" i="2"/>
  <c r="AL288" i="2"/>
  <c r="AO288" i="2"/>
  <c r="AI290" i="2"/>
  <c r="AJ290" i="2"/>
  <c r="AD290" i="2"/>
  <c r="AG290" i="2"/>
  <c r="AP290" i="2"/>
  <c r="AL291" i="2"/>
  <c r="AO292" i="2"/>
  <c r="Z292" i="2"/>
  <c r="AL293" i="2"/>
  <c r="AI294" i="2"/>
  <c r="AJ294" i="2"/>
  <c r="AD294" i="2"/>
  <c r="AE294" i="2" s="1"/>
  <c r="AH294" i="2"/>
  <c r="AG294" i="2"/>
  <c r="AB297" i="2"/>
  <c r="AO300" i="2"/>
  <c r="Z300" i="2"/>
  <c r="AC300" i="2" s="1"/>
  <c r="AD300" i="2" s="1"/>
  <c r="AM302" i="2"/>
  <c r="AO302" i="2"/>
  <c r="AN302" i="2"/>
  <c r="AL302" i="2"/>
  <c r="AB305" i="2"/>
  <c r="AM310" i="2"/>
  <c r="AO310" i="2"/>
  <c r="AN310" i="2"/>
  <c r="AL310" i="2"/>
  <c r="AL317" i="2"/>
  <c r="AI318" i="2"/>
  <c r="AJ318" i="2"/>
  <c r="AD318" i="2"/>
  <c r="AE318" i="2" s="1"/>
  <c r="AH318" i="2"/>
  <c r="AG318" i="2"/>
  <c r="AB321" i="2"/>
  <c r="AO324" i="2"/>
  <c r="Z324" i="2"/>
  <c r="AP326" i="2"/>
  <c r="AC327" i="2"/>
  <c r="AD327" i="2" s="1"/>
  <c r="AE327" i="2" s="1"/>
  <c r="AB327" i="2"/>
  <c r="AL329" i="2"/>
  <c r="AI330" i="2"/>
  <c r="AJ330" i="2"/>
  <c r="AD330" i="2"/>
  <c r="AE330" i="2" s="1"/>
  <c r="AH330" i="2"/>
  <c r="AG330" i="2"/>
  <c r="AM338" i="2"/>
  <c r="AO338" i="2"/>
  <c r="AN338" i="2"/>
  <c r="AL338" i="2"/>
  <c r="AP342" i="2"/>
  <c r="AB345" i="2"/>
  <c r="AO348" i="2"/>
  <c r="Z348" i="2"/>
  <c r="AC348" i="2" s="1"/>
  <c r="AD348" i="2" s="1"/>
  <c r="AP350" i="2"/>
  <c r="AP103" i="2"/>
  <c r="AP107" i="2"/>
  <c r="AP111" i="2"/>
  <c r="AP115" i="2"/>
  <c r="AP119" i="2"/>
  <c r="AP123" i="2"/>
  <c r="AP127" i="2"/>
  <c r="AP131" i="2"/>
  <c r="AP135" i="2"/>
  <c r="AP139" i="2"/>
  <c r="AP143" i="2"/>
  <c r="AP147" i="2"/>
  <c r="AP151" i="2"/>
  <c r="AP155" i="2"/>
  <c r="AP159" i="2"/>
  <c r="AP163" i="2"/>
  <c r="AP167" i="2"/>
  <c r="AP171" i="2"/>
  <c r="AP175" i="2"/>
  <c r="AP179" i="2"/>
  <c r="AP183" i="2"/>
  <c r="AP187" i="2"/>
  <c r="AP191" i="2"/>
  <c r="AP195" i="2"/>
  <c r="AP199" i="2"/>
  <c r="AP203" i="2"/>
  <c r="AP207" i="2"/>
  <c r="AP211" i="2"/>
  <c r="AP215" i="2"/>
  <c r="AP219" i="2"/>
  <c r="AP223" i="2"/>
  <c r="AP227" i="2"/>
  <c r="AP231" i="2"/>
  <c r="AP235" i="2"/>
  <c r="AP239" i="2"/>
  <c r="AP243" i="2"/>
  <c r="AP247" i="2"/>
  <c r="AP251" i="2"/>
  <c r="AP255" i="2"/>
  <c r="AP259" i="2"/>
  <c r="AP263" i="2"/>
  <c r="AP267" i="2"/>
  <c r="AP271" i="2"/>
  <c r="AP275" i="2"/>
  <c r="AP279" i="2"/>
  <c r="AP283" i="2"/>
  <c r="AP287" i="2"/>
  <c r="AP291" i="2"/>
  <c r="AJ292" i="2"/>
  <c r="AP295" i="2"/>
  <c r="AP299" i="2"/>
  <c r="AP303" i="2"/>
  <c r="AP307" i="2"/>
  <c r="AP311" i="2"/>
  <c r="AP315" i="2"/>
  <c r="AP319" i="2"/>
  <c r="AP323" i="2"/>
  <c r="AP327" i="2"/>
  <c r="AP331" i="2"/>
  <c r="AP335" i="2"/>
  <c r="AP339" i="2"/>
  <c r="AP343" i="2"/>
  <c r="AP347" i="2"/>
  <c r="AG350" i="2"/>
  <c r="AL350" i="2"/>
  <c r="AP292" i="2"/>
  <c r="AD293" i="2"/>
  <c r="AE293" i="2" s="1"/>
  <c r="AO293" i="2"/>
  <c r="AG295" i="2"/>
  <c r="AL295" i="2"/>
  <c r="AI296" i="2"/>
  <c r="AP296" i="2"/>
  <c r="AD297" i="2"/>
  <c r="AO297" i="2"/>
  <c r="AG299" i="2"/>
  <c r="AL299" i="2"/>
  <c r="AI300" i="2"/>
  <c r="AP300" i="2"/>
  <c r="AD301" i="2"/>
  <c r="AO301" i="2"/>
  <c r="AG303" i="2"/>
  <c r="AL303" i="2"/>
  <c r="AI304" i="2"/>
  <c r="AP304" i="2"/>
  <c r="AD305" i="2"/>
  <c r="AE305" i="2" s="1"/>
  <c r="AO305" i="2"/>
  <c r="AG307" i="2"/>
  <c r="AL307" i="2"/>
  <c r="AI308" i="2"/>
  <c r="AP308" i="2"/>
  <c r="AD309" i="2"/>
  <c r="AO309" i="2"/>
  <c r="AG311" i="2"/>
  <c r="AL311" i="2"/>
  <c r="AI312" i="2"/>
  <c r="AP312" i="2"/>
  <c r="AD313" i="2"/>
  <c r="AO313" i="2"/>
  <c r="AG315" i="2"/>
  <c r="AL315" i="2"/>
  <c r="AI316" i="2"/>
  <c r="AP316" i="2"/>
  <c r="AD317" i="2"/>
  <c r="AE317" i="2" s="1"/>
  <c r="AO317" i="2"/>
  <c r="AG319" i="2"/>
  <c r="AL319" i="2"/>
  <c r="AI320" i="2"/>
  <c r="AP320" i="2"/>
  <c r="AD321" i="2"/>
  <c r="AE321" i="2" s="1"/>
  <c r="AO321" i="2"/>
  <c r="AG323" i="2"/>
  <c r="AL323" i="2"/>
  <c r="AI324" i="2"/>
  <c r="AP324" i="2"/>
  <c r="AD325" i="2"/>
  <c r="AO325" i="2"/>
  <c r="AG327" i="2"/>
  <c r="AL327" i="2"/>
  <c r="AI328" i="2"/>
  <c r="AP328" i="2"/>
  <c r="AD329" i="2"/>
  <c r="AO329" i="2"/>
  <c r="AG331" i="2"/>
  <c r="AL331" i="2"/>
  <c r="AI332" i="2"/>
  <c r="AP332" i="2"/>
  <c r="AD333" i="2"/>
  <c r="AO333" i="2"/>
  <c r="AG335" i="2"/>
  <c r="AL335" i="2"/>
  <c r="AI336" i="2"/>
  <c r="AP336" i="2"/>
  <c r="AD337" i="2"/>
  <c r="AO337" i="2"/>
  <c r="AG339" i="2"/>
  <c r="AL339" i="2"/>
  <c r="AI340" i="2"/>
  <c r="AP340" i="2"/>
  <c r="AD341" i="2"/>
  <c r="AO341" i="2"/>
  <c r="AG343" i="2"/>
  <c r="AL343" i="2"/>
  <c r="AI344" i="2"/>
  <c r="AP344" i="2"/>
  <c r="AD345" i="2"/>
  <c r="AE345" i="2" s="1"/>
  <c r="AO345" i="2"/>
  <c r="AG347" i="2"/>
  <c r="AL347" i="2"/>
  <c r="AI348" i="2"/>
  <c r="AP348" i="2"/>
  <c r="AD349" i="2"/>
  <c r="AO349" i="2"/>
  <c r="AH350" i="2"/>
  <c r="AN350" i="2"/>
  <c r="AB351" i="2"/>
  <c r="AO351" i="2"/>
  <c r="AH103" i="2"/>
  <c r="AN103" i="2"/>
  <c r="AI105" i="2"/>
  <c r="AP105" i="2"/>
  <c r="AH107" i="2"/>
  <c r="AN107" i="2"/>
  <c r="AI109" i="2"/>
  <c r="AP109" i="2"/>
  <c r="AH111" i="2"/>
  <c r="AN111" i="2"/>
  <c r="AI113" i="2"/>
  <c r="AP113" i="2"/>
  <c r="AH115" i="2"/>
  <c r="AN115" i="2"/>
  <c r="AI117" i="2"/>
  <c r="AP117" i="2"/>
  <c r="AH119" i="2"/>
  <c r="AN119" i="2"/>
  <c r="AI121" i="2"/>
  <c r="AP121" i="2"/>
  <c r="AH123" i="2"/>
  <c r="AN123" i="2"/>
  <c r="AI125" i="2"/>
  <c r="AP125" i="2"/>
  <c r="AH127" i="2"/>
  <c r="AN127" i="2"/>
  <c r="AI129" i="2"/>
  <c r="AP129" i="2"/>
  <c r="AH131" i="2"/>
  <c r="AN131" i="2"/>
  <c r="AI133" i="2"/>
  <c r="AP133" i="2"/>
  <c r="AH135" i="2"/>
  <c r="AN135" i="2"/>
  <c r="AI137" i="2"/>
  <c r="AP137" i="2"/>
  <c r="AH139" i="2"/>
  <c r="AN139" i="2"/>
  <c r="AI141" i="2"/>
  <c r="AP141" i="2"/>
  <c r="AH143" i="2"/>
  <c r="AN143" i="2"/>
  <c r="AI145" i="2"/>
  <c r="AP145" i="2"/>
  <c r="AH147" i="2"/>
  <c r="AN147" i="2"/>
  <c r="AI149" i="2"/>
  <c r="AP149" i="2"/>
  <c r="AH151" i="2"/>
  <c r="AN151" i="2"/>
  <c r="AI153" i="2"/>
  <c r="AP153" i="2"/>
  <c r="AH155" i="2"/>
  <c r="AN155" i="2"/>
  <c r="AI157" i="2"/>
  <c r="AP157" i="2"/>
  <c r="AH159" i="2"/>
  <c r="AN159" i="2"/>
  <c r="AI161" i="2"/>
  <c r="AP161" i="2"/>
  <c r="AH163" i="2"/>
  <c r="AN163" i="2"/>
  <c r="AI165" i="2"/>
  <c r="AP165" i="2"/>
  <c r="AH167" i="2"/>
  <c r="AN167" i="2"/>
  <c r="AI169" i="2"/>
  <c r="AP169" i="2"/>
  <c r="AH171" i="2"/>
  <c r="AN171" i="2"/>
  <c r="AI173" i="2"/>
  <c r="AP173" i="2"/>
  <c r="AH175" i="2"/>
  <c r="AN175" i="2"/>
  <c r="AI177" i="2"/>
  <c r="AP177" i="2"/>
  <c r="AH179" i="2"/>
  <c r="AN179" i="2"/>
  <c r="AI181" i="2"/>
  <c r="AP181" i="2"/>
  <c r="AH183" i="2"/>
  <c r="AN183" i="2"/>
  <c r="AI185" i="2"/>
  <c r="AP185" i="2"/>
  <c r="AH187" i="2"/>
  <c r="AN187" i="2"/>
  <c r="AI189" i="2"/>
  <c r="AP189" i="2"/>
  <c r="AH191" i="2"/>
  <c r="AN191" i="2"/>
  <c r="AI193" i="2"/>
  <c r="AP193" i="2"/>
  <c r="AH195" i="2"/>
  <c r="AN195" i="2"/>
  <c r="AI197" i="2"/>
  <c r="AP197" i="2"/>
  <c r="AH199" i="2"/>
  <c r="AN199" i="2"/>
  <c r="AI201" i="2"/>
  <c r="AP201" i="2"/>
  <c r="AH203" i="2"/>
  <c r="AN203" i="2"/>
  <c r="AI205" i="2"/>
  <c r="AP205" i="2"/>
  <c r="AH207" i="2"/>
  <c r="AN207" i="2"/>
  <c r="AI209" i="2"/>
  <c r="AP209" i="2"/>
  <c r="AH211" i="2"/>
  <c r="AN211" i="2"/>
  <c r="AI213" i="2"/>
  <c r="AP213" i="2"/>
  <c r="AH215" i="2"/>
  <c r="AN215" i="2"/>
  <c r="AI217" i="2"/>
  <c r="AP217" i="2"/>
  <c r="AH219" i="2"/>
  <c r="AN219" i="2"/>
  <c r="AI221" i="2"/>
  <c r="AP221" i="2"/>
  <c r="AH223" i="2"/>
  <c r="AN223" i="2"/>
  <c r="AI225" i="2"/>
  <c r="AP225" i="2"/>
  <c r="AH227" i="2"/>
  <c r="AN227" i="2"/>
  <c r="AI229" i="2"/>
  <c r="AP229" i="2"/>
  <c r="AH231" i="2"/>
  <c r="AN231" i="2"/>
  <c r="AI233" i="2"/>
  <c r="AP233" i="2"/>
  <c r="AH235" i="2"/>
  <c r="AN235" i="2"/>
  <c r="AI237" i="2"/>
  <c r="AP237" i="2"/>
  <c r="AH239" i="2"/>
  <c r="AN239" i="2"/>
  <c r="AI241" i="2"/>
  <c r="AP241" i="2"/>
  <c r="AH243" i="2"/>
  <c r="AN243" i="2"/>
  <c r="AI245" i="2"/>
  <c r="AP245" i="2"/>
  <c r="AH247" i="2"/>
  <c r="AN247" i="2"/>
  <c r="AI249" i="2"/>
  <c r="AP249" i="2"/>
  <c r="AH251" i="2"/>
  <c r="AN251" i="2"/>
  <c r="AI253" i="2"/>
  <c r="AP253" i="2"/>
  <c r="AH255" i="2"/>
  <c r="AN255" i="2"/>
  <c r="AI257" i="2"/>
  <c r="AP257" i="2"/>
  <c r="AH259" i="2"/>
  <c r="AN259" i="2"/>
  <c r="AI261" i="2"/>
  <c r="AP261" i="2"/>
  <c r="AH263" i="2"/>
  <c r="AN263" i="2"/>
  <c r="AI265" i="2"/>
  <c r="AP265" i="2"/>
  <c r="AH267" i="2"/>
  <c r="AN267" i="2"/>
  <c r="AI269" i="2"/>
  <c r="AP269" i="2"/>
  <c r="AH271" i="2"/>
  <c r="AN271" i="2"/>
  <c r="AI273" i="2"/>
  <c r="AP273" i="2"/>
  <c r="AH275" i="2"/>
  <c r="AN275" i="2"/>
  <c r="AI277" i="2"/>
  <c r="AP277" i="2"/>
  <c r="AH279" i="2"/>
  <c r="AN279" i="2"/>
  <c r="AI281" i="2"/>
  <c r="AP281" i="2"/>
  <c r="AH283" i="2"/>
  <c r="AN283" i="2"/>
  <c r="AI285" i="2"/>
  <c r="AP285" i="2"/>
  <c r="AH287" i="2"/>
  <c r="AN287" i="2"/>
  <c r="AI289" i="2"/>
  <c r="AP289" i="2"/>
  <c r="AH291" i="2"/>
  <c r="AN291" i="2"/>
  <c r="AG292" i="2"/>
  <c r="AI293" i="2"/>
  <c r="AP293" i="2"/>
  <c r="AH295" i="2"/>
  <c r="AN295" i="2"/>
  <c r="AI297" i="2"/>
  <c r="AP297" i="2"/>
  <c r="AH299" i="2"/>
  <c r="AN299" i="2"/>
  <c r="AI301" i="2"/>
  <c r="AP301" i="2"/>
  <c r="AH303" i="2"/>
  <c r="AN303" i="2"/>
  <c r="AI305" i="2"/>
  <c r="AP305" i="2"/>
  <c r="AH307" i="2"/>
  <c r="AN307" i="2"/>
  <c r="AI309" i="2"/>
  <c r="AP309" i="2"/>
  <c r="AH311" i="2"/>
  <c r="AN311" i="2"/>
  <c r="AI313" i="2"/>
  <c r="AP313" i="2"/>
  <c r="AH315" i="2"/>
  <c r="AN315" i="2"/>
  <c r="AI317" i="2"/>
  <c r="AP317" i="2"/>
  <c r="AH319" i="2"/>
  <c r="AN319" i="2"/>
  <c r="AI321" i="2"/>
  <c r="AP321" i="2"/>
  <c r="AH323" i="2"/>
  <c r="AN323" i="2"/>
  <c r="AI325" i="2"/>
  <c r="AP325" i="2"/>
  <c r="AH327" i="2"/>
  <c r="AN327" i="2"/>
  <c r="AI329" i="2"/>
  <c r="AP329" i="2"/>
  <c r="AH331" i="2"/>
  <c r="AN331" i="2"/>
  <c r="AI333" i="2"/>
  <c r="AP333" i="2"/>
  <c r="AH335" i="2"/>
  <c r="AN335" i="2"/>
  <c r="AI337" i="2"/>
  <c r="AP337" i="2"/>
  <c r="AH339" i="2"/>
  <c r="AN339" i="2"/>
  <c r="AI341" i="2"/>
  <c r="AP341" i="2"/>
  <c r="AH343" i="2"/>
  <c r="AN343" i="2"/>
  <c r="AI345" i="2"/>
  <c r="AP345" i="2"/>
  <c r="AH347" i="2"/>
  <c r="AN347" i="2"/>
  <c r="AI349" i="2"/>
  <c r="AP349" i="2"/>
  <c r="AD350" i="2"/>
  <c r="AE350" i="2" s="1"/>
  <c r="AJ350" i="2"/>
  <c r="AO350" i="2"/>
  <c r="AN351" i="2"/>
  <c r="AB324" i="2" l="1"/>
  <c r="AC324" i="2"/>
  <c r="AD324" i="2" s="1"/>
  <c r="AE324" i="2" s="1"/>
  <c r="L179" i="5"/>
  <c r="H179" i="5"/>
  <c r="D179" i="5"/>
  <c r="J179" i="5"/>
  <c r="E179" i="5"/>
  <c r="I179" i="5"/>
  <c r="C179" i="5"/>
  <c r="G179" i="5"/>
  <c r="F179" i="5"/>
  <c r="B179" i="5"/>
  <c r="K179" i="5"/>
  <c r="L164" i="5"/>
  <c r="H164" i="5"/>
  <c r="D164" i="5"/>
  <c r="I164" i="5"/>
  <c r="C164" i="5"/>
  <c r="G164" i="5"/>
  <c r="B164" i="5"/>
  <c r="F164" i="5"/>
  <c r="E164" i="5"/>
  <c r="K164" i="5"/>
  <c r="J164" i="5"/>
  <c r="J290" i="5"/>
  <c r="F290" i="5"/>
  <c r="B290" i="5"/>
  <c r="I290" i="5"/>
  <c r="E290" i="5"/>
  <c r="L290" i="5"/>
  <c r="D290" i="5"/>
  <c r="K290" i="5"/>
  <c r="C290" i="5"/>
  <c r="H290" i="5"/>
  <c r="G290" i="5"/>
  <c r="L183" i="5"/>
  <c r="H183" i="5"/>
  <c r="D183" i="5"/>
  <c r="J183" i="5"/>
  <c r="E183" i="5"/>
  <c r="I183" i="5"/>
  <c r="C183" i="5"/>
  <c r="B183" i="5"/>
  <c r="K183" i="5"/>
  <c r="G183" i="5"/>
  <c r="F183" i="5"/>
  <c r="I11" i="5"/>
  <c r="E11" i="5"/>
  <c r="L11" i="5"/>
  <c r="H11" i="5"/>
  <c r="D11" i="5"/>
  <c r="K11" i="5"/>
  <c r="C11" i="5"/>
  <c r="J11" i="5"/>
  <c r="G11" i="5"/>
  <c r="F11" i="5"/>
  <c r="B11" i="5"/>
  <c r="I15" i="5"/>
  <c r="E15" i="5"/>
  <c r="L15" i="5"/>
  <c r="H15" i="5"/>
  <c r="D15" i="5"/>
  <c r="K15" i="5"/>
  <c r="C15" i="5"/>
  <c r="F15" i="5"/>
  <c r="B15" i="5"/>
  <c r="J15" i="5"/>
  <c r="G15" i="5"/>
  <c r="I19" i="5"/>
  <c r="E19" i="5"/>
  <c r="L19" i="5"/>
  <c r="H19" i="5"/>
  <c r="D19" i="5"/>
  <c r="K19" i="5"/>
  <c r="C19" i="5"/>
  <c r="J19" i="5"/>
  <c r="G19" i="5"/>
  <c r="F19" i="5"/>
  <c r="B19" i="5"/>
  <c r="I23" i="5"/>
  <c r="E23" i="5"/>
  <c r="L23" i="5"/>
  <c r="H23" i="5"/>
  <c r="D23" i="5"/>
  <c r="K23" i="5"/>
  <c r="C23" i="5"/>
  <c r="F23" i="5"/>
  <c r="B23" i="5"/>
  <c r="J23" i="5"/>
  <c r="G23" i="5"/>
  <c r="I27" i="5"/>
  <c r="E27" i="5"/>
  <c r="L27" i="5"/>
  <c r="H27" i="5"/>
  <c r="D27" i="5"/>
  <c r="K27" i="5"/>
  <c r="C27" i="5"/>
  <c r="J27" i="5"/>
  <c r="G27" i="5"/>
  <c r="F27" i="5"/>
  <c r="B27" i="5"/>
  <c r="I31" i="5"/>
  <c r="E31" i="5"/>
  <c r="L31" i="5"/>
  <c r="H31" i="5"/>
  <c r="D31" i="5"/>
  <c r="K31" i="5"/>
  <c r="C31" i="5"/>
  <c r="F31" i="5"/>
  <c r="B31" i="5"/>
  <c r="J31" i="5"/>
  <c r="G31" i="5"/>
  <c r="I35" i="5"/>
  <c r="E35" i="5"/>
  <c r="L35" i="5"/>
  <c r="H35" i="5"/>
  <c r="D35" i="5"/>
  <c r="K35" i="5"/>
  <c r="C35" i="5"/>
  <c r="J35" i="5"/>
  <c r="G35" i="5"/>
  <c r="F35" i="5"/>
  <c r="B35" i="5"/>
  <c r="I39" i="5"/>
  <c r="E39" i="5"/>
  <c r="L39" i="5"/>
  <c r="H39" i="5"/>
  <c r="D39" i="5"/>
  <c r="K39" i="5"/>
  <c r="C39" i="5"/>
  <c r="F39" i="5"/>
  <c r="B39" i="5"/>
  <c r="J39" i="5"/>
  <c r="G39" i="5"/>
  <c r="I43" i="5"/>
  <c r="E43" i="5"/>
  <c r="L43" i="5"/>
  <c r="H43" i="5"/>
  <c r="D43" i="5"/>
  <c r="K43" i="5"/>
  <c r="C43" i="5"/>
  <c r="J43" i="5"/>
  <c r="G43" i="5"/>
  <c r="F43" i="5"/>
  <c r="B43" i="5"/>
  <c r="I47" i="5"/>
  <c r="E47" i="5"/>
  <c r="L47" i="5"/>
  <c r="H47" i="5"/>
  <c r="D47" i="5"/>
  <c r="K47" i="5"/>
  <c r="C47" i="5"/>
  <c r="F47" i="5"/>
  <c r="B47" i="5"/>
  <c r="J47" i="5"/>
  <c r="G47" i="5"/>
  <c r="I51" i="5"/>
  <c r="E51" i="5"/>
  <c r="L51" i="5"/>
  <c r="H51" i="5"/>
  <c r="D51" i="5"/>
  <c r="K51" i="5"/>
  <c r="C51" i="5"/>
  <c r="J51" i="5"/>
  <c r="G51" i="5"/>
  <c r="F51" i="5"/>
  <c r="B51" i="5"/>
  <c r="I55" i="5"/>
  <c r="E55" i="5"/>
  <c r="L55" i="5"/>
  <c r="H55" i="5"/>
  <c r="D55" i="5"/>
  <c r="K55" i="5"/>
  <c r="C55" i="5"/>
  <c r="F55" i="5"/>
  <c r="B55" i="5"/>
  <c r="J55" i="5"/>
  <c r="G55" i="5"/>
  <c r="I59" i="5"/>
  <c r="E59" i="5"/>
  <c r="L59" i="5"/>
  <c r="H59" i="5"/>
  <c r="D59" i="5"/>
  <c r="K59" i="5"/>
  <c r="C59" i="5"/>
  <c r="J59" i="5"/>
  <c r="G59" i="5"/>
  <c r="F59" i="5"/>
  <c r="B59" i="5"/>
  <c r="I63" i="5"/>
  <c r="E63" i="5"/>
  <c r="L63" i="5"/>
  <c r="H63" i="5"/>
  <c r="D63" i="5"/>
  <c r="K63" i="5"/>
  <c r="C63" i="5"/>
  <c r="F63" i="5"/>
  <c r="B63" i="5"/>
  <c r="J63" i="5"/>
  <c r="G63" i="5"/>
  <c r="I67" i="5"/>
  <c r="E67" i="5"/>
  <c r="L67" i="5"/>
  <c r="H67" i="5"/>
  <c r="D67" i="5"/>
  <c r="K67" i="5"/>
  <c r="C67" i="5"/>
  <c r="J67" i="5"/>
  <c r="G67" i="5"/>
  <c r="F67" i="5"/>
  <c r="B67" i="5"/>
  <c r="I71" i="5"/>
  <c r="E71" i="5"/>
  <c r="L71" i="5"/>
  <c r="H71" i="5"/>
  <c r="D71" i="5"/>
  <c r="K71" i="5"/>
  <c r="C71" i="5"/>
  <c r="F71" i="5"/>
  <c r="B71" i="5"/>
  <c r="J71" i="5"/>
  <c r="G71" i="5"/>
  <c r="I75" i="5"/>
  <c r="E75" i="5"/>
  <c r="L75" i="5"/>
  <c r="H75" i="5"/>
  <c r="D75" i="5"/>
  <c r="K75" i="5"/>
  <c r="C75" i="5"/>
  <c r="J75" i="5"/>
  <c r="G75" i="5"/>
  <c r="F75" i="5"/>
  <c r="B75" i="5"/>
  <c r="I79" i="5"/>
  <c r="E79" i="5"/>
  <c r="L79" i="5"/>
  <c r="H79" i="5"/>
  <c r="D79" i="5"/>
  <c r="K79" i="5"/>
  <c r="C79" i="5"/>
  <c r="F79" i="5"/>
  <c r="B79" i="5"/>
  <c r="J79" i="5"/>
  <c r="G79" i="5"/>
  <c r="I83" i="5"/>
  <c r="E83" i="5"/>
  <c r="L83" i="5"/>
  <c r="H83" i="5"/>
  <c r="D83" i="5"/>
  <c r="K83" i="5"/>
  <c r="C83" i="5"/>
  <c r="J83" i="5"/>
  <c r="G83" i="5"/>
  <c r="F83" i="5"/>
  <c r="B83" i="5"/>
  <c r="I87" i="5"/>
  <c r="E87" i="5"/>
  <c r="L87" i="5"/>
  <c r="H87" i="5"/>
  <c r="D87" i="5"/>
  <c r="K87" i="5"/>
  <c r="C87" i="5"/>
  <c r="F87" i="5"/>
  <c r="B87" i="5"/>
  <c r="J87" i="5"/>
  <c r="G87" i="5"/>
  <c r="I91" i="5"/>
  <c r="E91" i="5"/>
  <c r="L91" i="5"/>
  <c r="H91" i="5"/>
  <c r="D91" i="5"/>
  <c r="K91" i="5"/>
  <c r="C91" i="5"/>
  <c r="J91" i="5"/>
  <c r="G91" i="5"/>
  <c r="F91" i="5"/>
  <c r="B91" i="5"/>
  <c r="I95" i="5"/>
  <c r="E95" i="5"/>
  <c r="L95" i="5"/>
  <c r="H95" i="5"/>
  <c r="D95" i="5"/>
  <c r="K95" i="5"/>
  <c r="C95" i="5"/>
  <c r="F95" i="5"/>
  <c r="B95" i="5"/>
  <c r="J95" i="5"/>
  <c r="G95" i="5"/>
  <c r="L184" i="5"/>
  <c r="H184" i="5"/>
  <c r="D184" i="5"/>
  <c r="I184" i="5"/>
  <c r="C184" i="5"/>
  <c r="G184" i="5"/>
  <c r="B184" i="5"/>
  <c r="K184" i="5"/>
  <c r="J184" i="5"/>
  <c r="F184" i="5"/>
  <c r="E184" i="5"/>
  <c r="I97" i="5"/>
  <c r="E97" i="5"/>
  <c r="J97" i="5"/>
  <c r="D97" i="5"/>
  <c r="H97" i="5"/>
  <c r="C97" i="5"/>
  <c r="G97" i="5"/>
  <c r="F97" i="5"/>
  <c r="B97" i="5"/>
  <c r="L97" i="5"/>
  <c r="K97" i="5"/>
  <c r="I101" i="5"/>
  <c r="E101" i="5"/>
  <c r="J101" i="5"/>
  <c r="D101" i="5"/>
  <c r="H101" i="5"/>
  <c r="C101" i="5"/>
  <c r="L101" i="5"/>
  <c r="B101" i="5"/>
  <c r="K101" i="5"/>
  <c r="G101" i="5"/>
  <c r="F101" i="5"/>
  <c r="I105" i="5"/>
  <c r="E105" i="5"/>
  <c r="J105" i="5"/>
  <c r="D105" i="5"/>
  <c r="H105" i="5"/>
  <c r="C105" i="5"/>
  <c r="G105" i="5"/>
  <c r="K105" i="5"/>
  <c r="F105" i="5"/>
  <c r="B105" i="5"/>
  <c r="L105" i="5"/>
  <c r="I109" i="5"/>
  <c r="E109" i="5"/>
  <c r="J109" i="5"/>
  <c r="D109" i="5"/>
  <c r="H109" i="5"/>
  <c r="C109" i="5"/>
  <c r="L109" i="5"/>
  <c r="B109" i="5"/>
  <c r="F109" i="5"/>
  <c r="K109" i="5"/>
  <c r="G109" i="5"/>
  <c r="J113" i="5"/>
  <c r="F113" i="5"/>
  <c r="I113" i="5"/>
  <c r="E113" i="5"/>
  <c r="L113" i="5"/>
  <c r="D113" i="5"/>
  <c r="K113" i="5"/>
  <c r="C113" i="5"/>
  <c r="H113" i="5"/>
  <c r="G113" i="5"/>
  <c r="B113" i="5"/>
  <c r="J117" i="5"/>
  <c r="F117" i="5"/>
  <c r="B117" i="5"/>
  <c r="I117" i="5"/>
  <c r="E117" i="5"/>
  <c r="L117" i="5"/>
  <c r="D117" i="5"/>
  <c r="K117" i="5"/>
  <c r="C117" i="5"/>
  <c r="H117" i="5"/>
  <c r="G117" i="5"/>
  <c r="J121" i="5"/>
  <c r="F121" i="5"/>
  <c r="B121" i="5"/>
  <c r="I121" i="5"/>
  <c r="E121" i="5"/>
  <c r="L121" i="5"/>
  <c r="D121" i="5"/>
  <c r="K121" i="5"/>
  <c r="C121" i="5"/>
  <c r="H121" i="5"/>
  <c r="G121" i="5"/>
  <c r="J125" i="5"/>
  <c r="F125" i="5"/>
  <c r="B125" i="5"/>
  <c r="I125" i="5"/>
  <c r="E125" i="5"/>
  <c r="L125" i="5"/>
  <c r="D125" i="5"/>
  <c r="K125" i="5"/>
  <c r="C125" i="5"/>
  <c r="H125" i="5"/>
  <c r="G125" i="5"/>
  <c r="J129" i="5"/>
  <c r="F129" i="5"/>
  <c r="B129" i="5"/>
  <c r="I129" i="5"/>
  <c r="E129" i="5"/>
  <c r="L129" i="5"/>
  <c r="D129" i="5"/>
  <c r="K129" i="5"/>
  <c r="C129" i="5"/>
  <c r="H129" i="5"/>
  <c r="G129" i="5"/>
  <c r="J133" i="5"/>
  <c r="F133" i="5"/>
  <c r="B133" i="5"/>
  <c r="I133" i="5"/>
  <c r="E133" i="5"/>
  <c r="L133" i="5"/>
  <c r="D133" i="5"/>
  <c r="K133" i="5"/>
  <c r="C133" i="5"/>
  <c r="H133" i="5"/>
  <c r="G133" i="5"/>
  <c r="J137" i="5"/>
  <c r="F137" i="5"/>
  <c r="B137" i="5"/>
  <c r="I137" i="5"/>
  <c r="E137" i="5"/>
  <c r="L137" i="5"/>
  <c r="D137" i="5"/>
  <c r="K137" i="5"/>
  <c r="C137" i="5"/>
  <c r="H137" i="5"/>
  <c r="G137" i="5"/>
  <c r="J141" i="5"/>
  <c r="F141" i="5"/>
  <c r="B141" i="5"/>
  <c r="I141" i="5"/>
  <c r="E141" i="5"/>
  <c r="L141" i="5"/>
  <c r="D141" i="5"/>
  <c r="K141" i="5"/>
  <c r="C141" i="5"/>
  <c r="H141" i="5"/>
  <c r="G141" i="5"/>
  <c r="J145" i="5"/>
  <c r="F145" i="5"/>
  <c r="B145" i="5"/>
  <c r="I145" i="5"/>
  <c r="E145" i="5"/>
  <c r="L145" i="5"/>
  <c r="D145" i="5"/>
  <c r="K145" i="5"/>
  <c r="C145" i="5"/>
  <c r="H145" i="5"/>
  <c r="G145" i="5"/>
  <c r="J149" i="5"/>
  <c r="F149" i="5"/>
  <c r="B149" i="5"/>
  <c r="I149" i="5"/>
  <c r="E149" i="5"/>
  <c r="L149" i="5"/>
  <c r="D149" i="5"/>
  <c r="K149" i="5"/>
  <c r="C149" i="5"/>
  <c r="H149" i="5"/>
  <c r="G149" i="5"/>
  <c r="J153" i="5"/>
  <c r="F153" i="5"/>
  <c r="B153" i="5"/>
  <c r="I153" i="5"/>
  <c r="E153" i="5"/>
  <c r="L153" i="5"/>
  <c r="D153" i="5"/>
  <c r="K153" i="5"/>
  <c r="C153" i="5"/>
  <c r="H153" i="5"/>
  <c r="G153" i="5"/>
  <c r="J157" i="5"/>
  <c r="F157" i="5"/>
  <c r="B157" i="5"/>
  <c r="I157" i="5"/>
  <c r="E157" i="5"/>
  <c r="L157" i="5"/>
  <c r="D157" i="5"/>
  <c r="K157" i="5"/>
  <c r="C157" i="5"/>
  <c r="H157" i="5"/>
  <c r="G157" i="5"/>
  <c r="J161" i="5"/>
  <c r="F161" i="5"/>
  <c r="B161" i="5"/>
  <c r="I161" i="5"/>
  <c r="E161" i="5"/>
  <c r="L161" i="5"/>
  <c r="D161" i="5"/>
  <c r="K161" i="5"/>
  <c r="C161" i="5"/>
  <c r="H161" i="5"/>
  <c r="G161" i="5"/>
  <c r="L173" i="5"/>
  <c r="H173" i="5"/>
  <c r="D173" i="5"/>
  <c r="G173" i="5"/>
  <c r="B173" i="5"/>
  <c r="K173" i="5"/>
  <c r="F173" i="5"/>
  <c r="E173" i="5"/>
  <c r="C173" i="5"/>
  <c r="J173" i="5"/>
  <c r="I173" i="5"/>
  <c r="L189" i="5"/>
  <c r="H189" i="5"/>
  <c r="D189" i="5"/>
  <c r="G189" i="5"/>
  <c r="B189" i="5"/>
  <c r="K189" i="5"/>
  <c r="F189" i="5"/>
  <c r="E189" i="5"/>
  <c r="C189" i="5"/>
  <c r="J189" i="5"/>
  <c r="I189" i="5"/>
  <c r="L166" i="5"/>
  <c r="H166" i="5"/>
  <c r="D166" i="5"/>
  <c r="K166" i="5"/>
  <c r="F166" i="5"/>
  <c r="J166" i="5"/>
  <c r="E166" i="5"/>
  <c r="C166" i="5"/>
  <c r="B166" i="5"/>
  <c r="I166" i="5"/>
  <c r="G166" i="5"/>
  <c r="L182" i="5"/>
  <c r="H182" i="5"/>
  <c r="D182" i="5"/>
  <c r="K182" i="5"/>
  <c r="F182" i="5"/>
  <c r="J182" i="5"/>
  <c r="E182" i="5"/>
  <c r="C182" i="5"/>
  <c r="B182" i="5"/>
  <c r="I182" i="5"/>
  <c r="G182" i="5"/>
  <c r="J282" i="5"/>
  <c r="F282" i="5"/>
  <c r="B282" i="5"/>
  <c r="I282" i="5"/>
  <c r="D282" i="5"/>
  <c r="H282" i="5"/>
  <c r="C282" i="5"/>
  <c r="G282" i="5"/>
  <c r="E282" i="5"/>
  <c r="L282" i="5"/>
  <c r="K282" i="5"/>
  <c r="I193" i="5"/>
  <c r="E193" i="5"/>
  <c r="L193" i="5"/>
  <c r="H193" i="5"/>
  <c r="D193" i="5"/>
  <c r="K193" i="5"/>
  <c r="C193" i="5"/>
  <c r="J193" i="5"/>
  <c r="B193" i="5"/>
  <c r="G193" i="5"/>
  <c r="F193" i="5"/>
  <c r="I197" i="5"/>
  <c r="E197" i="5"/>
  <c r="L197" i="5"/>
  <c r="H197" i="5"/>
  <c r="D197" i="5"/>
  <c r="K197" i="5"/>
  <c r="C197" i="5"/>
  <c r="J197" i="5"/>
  <c r="B197" i="5"/>
  <c r="G197" i="5"/>
  <c r="F197" i="5"/>
  <c r="I201" i="5"/>
  <c r="E201" i="5"/>
  <c r="L201" i="5"/>
  <c r="H201" i="5"/>
  <c r="D201" i="5"/>
  <c r="K201" i="5"/>
  <c r="C201" i="5"/>
  <c r="J201" i="5"/>
  <c r="B201" i="5"/>
  <c r="G201" i="5"/>
  <c r="F201" i="5"/>
  <c r="I205" i="5"/>
  <c r="E205" i="5"/>
  <c r="L205" i="5"/>
  <c r="H205" i="5"/>
  <c r="D205" i="5"/>
  <c r="K205" i="5"/>
  <c r="C205" i="5"/>
  <c r="J205" i="5"/>
  <c r="B205" i="5"/>
  <c r="G205" i="5"/>
  <c r="F205" i="5"/>
  <c r="I209" i="5"/>
  <c r="E209" i="5"/>
  <c r="L209" i="5"/>
  <c r="H209" i="5"/>
  <c r="D209" i="5"/>
  <c r="K209" i="5"/>
  <c r="C209" i="5"/>
  <c r="J209" i="5"/>
  <c r="B209" i="5"/>
  <c r="G209" i="5"/>
  <c r="F209" i="5"/>
  <c r="I213" i="5"/>
  <c r="E213" i="5"/>
  <c r="L213" i="5"/>
  <c r="H213" i="5"/>
  <c r="D213" i="5"/>
  <c r="K213" i="5"/>
  <c r="C213" i="5"/>
  <c r="J213" i="5"/>
  <c r="B213" i="5"/>
  <c r="G213" i="5"/>
  <c r="F213" i="5"/>
  <c r="I217" i="5"/>
  <c r="E217" i="5"/>
  <c r="L217" i="5"/>
  <c r="H217" i="5"/>
  <c r="D217" i="5"/>
  <c r="K217" i="5"/>
  <c r="C217" i="5"/>
  <c r="J217" i="5"/>
  <c r="B217" i="5"/>
  <c r="G217" i="5"/>
  <c r="F217" i="5"/>
  <c r="I221" i="5"/>
  <c r="E221" i="5"/>
  <c r="L221" i="5"/>
  <c r="H221" i="5"/>
  <c r="D221" i="5"/>
  <c r="K221" i="5"/>
  <c r="C221" i="5"/>
  <c r="J221" i="5"/>
  <c r="B221" i="5"/>
  <c r="G221" i="5"/>
  <c r="F221" i="5"/>
  <c r="I225" i="5"/>
  <c r="E225" i="5"/>
  <c r="L225" i="5"/>
  <c r="H225" i="5"/>
  <c r="D225" i="5"/>
  <c r="K225" i="5"/>
  <c r="C225" i="5"/>
  <c r="J225" i="5"/>
  <c r="B225" i="5"/>
  <c r="G225" i="5"/>
  <c r="F225" i="5"/>
  <c r="I229" i="5"/>
  <c r="E229" i="5"/>
  <c r="L229" i="5"/>
  <c r="H229" i="5"/>
  <c r="D229" i="5"/>
  <c r="K229" i="5"/>
  <c r="C229" i="5"/>
  <c r="J229" i="5"/>
  <c r="B229" i="5"/>
  <c r="G229" i="5"/>
  <c r="F229" i="5"/>
  <c r="I233" i="5"/>
  <c r="E233" i="5"/>
  <c r="L233" i="5"/>
  <c r="H233" i="5"/>
  <c r="D233" i="5"/>
  <c r="K233" i="5"/>
  <c r="C233" i="5"/>
  <c r="J233" i="5"/>
  <c r="B233" i="5"/>
  <c r="G233" i="5"/>
  <c r="F233" i="5"/>
  <c r="I237" i="5"/>
  <c r="E237" i="5"/>
  <c r="L237" i="5"/>
  <c r="H237" i="5"/>
  <c r="D237" i="5"/>
  <c r="K237" i="5"/>
  <c r="C237" i="5"/>
  <c r="J237" i="5"/>
  <c r="B237" i="5"/>
  <c r="G237" i="5"/>
  <c r="F237" i="5"/>
  <c r="I241" i="5"/>
  <c r="E241" i="5"/>
  <c r="L241" i="5"/>
  <c r="H241" i="5"/>
  <c r="D241" i="5"/>
  <c r="K241" i="5"/>
  <c r="C241" i="5"/>
  <c r="J241" i="5"/>
  <c r="B241" i="5"/>
  <c r="G241" i="5"/>
  <c r="F241" i="5"/>
  <c r="I245" i="5"/>
  <c r="E245" i="5"/>
  <c r="L245" i="5"/>
  <c r="H245" i="5"/>
  <c r="D245" i="5"/>
  <c r="K245" i="5"/>
  <c r="C245" i="5"/>
  <c r="J245" i="5"/>
  <c r="B245" i="5"/>
  <c r="G245" i="5"/>
  <c r="F245" i="5"/>
  <c r="J286" i="5"/>
  <c r="F286" i="5"/>
  <c r="B286" i="5"/>
  <c r="I286" i="5"/>
  <c r="D286" i="5"/>
  <c r="H286" i="5"/>
  <c r="C286" i="5"/>
  <c r="L286" i="5"/>
  <c r="K286" i="5"/>
  <c r="G286" i="5"/>
  <c r="E286" i="5"/>
  <c r="J279" i="5"/>
  <c r="F279" i="5"/>
  <c r="B279" i="5"/>
  <c r="H279" i="5"/>
  <c r="C279" i="5"/>
  <c r="L279" i="5"/>
  <c r="G279" i="5"/>
  <c r="K279" i="5"/>
  <c r="I279" i="5"/>
  <c r="E279" i="5"/>
  <c r="D279" i="5"/>
  <c r="K316" i="5"/>
  <c r="G316" i="5"/>
  <c r="C316" i="5"/>
  <c r="J316" i="5"/>
  <c r="E316" i="5"/>
  <c r="I316" i="5"/>
  <c r="D316" i="5"/>
  <c r="B316" i="5"/>
  <c r="H316" i="5"/>
  <c r="F316" i="5"/>
  <c r="I252" i="5"/>
  <c r="E252" i="5"/>
  <c r="L252" i="5"/>
  <c r="H252" i="5"/>
  <c r="D252" i="5"/>
  <c r="K252" i="5"/>
  <c r="C252" i="5"/>
  <c r="J252" i="5"/>
  <c r="B252" i="5"/>
  <c r="G252" i="5"/>
  <c r="F252" i="5"/>
  <c r="I256" i="5"/>
  <c r="E256" i="5"/>
  <c r="L256" i="5"/>
  <c r="H256" i="5"/>
  <c r="D256" i="5"/>
  <c r="K256" i="5"/>
  <c r="C256" i="5"/>
  <c r="J256" i="5"/>
  <c r="B256" i="5"/>
  <c r="G256" i="5"/>
  <c r="F256" i="5"/>
  <c r="I260" i="5"/>
  <c r="E260" i="5"/>
  <c r="L260" i="5"/>
  <c r="H260" i="5"/>
  <c r="D260" i="5"/>
  <c r="K260" i="5"/>
  <c r="C260" i="5"/>
  <c r="J260" i="5"/>
  <c r="B260" i="5"/>
  <c r="G260" i="5"/>
  <c r="F260" i="5"/>
  <c r="I264" i="5"/>
  <c r="E264" i="5"/>
  <c r="L264" i="5"/>
  <c r="H264" i="5"/>
  <c r="D264" i="5"/>
  <c r="K264" i="5"/>
  <c r="C264" i="5"/>
  <c r="J264" i="5"/>
  <c r="B264" i="5"/>
  <c r="G264" i="5"/>
  <c r="F264" i="5"/>
  <c r="I268" i="5"/>
  <c r="E268" i="5"/>
  <c r="L268" i="5"/>
  <c r="H268" i="5"/>
  <c r="D268" i="5"/>
  <c r="K268" i="5"/>
  <c r="C268" i="5"/>
  <c r="J268" i="5"/>
  <c r="B268" i="5"/>
  <c r="G268" i="5"/>
  <c r="F268" i="5"/>
  <c r="J276" i="5"/>
  <c r="F276" i="5"/>
  <c r="B276" i="5"/>
  <c r="L276" i="5"/>
  <c r="G276" i="5"/>
  <c r="K276" i="5"/>
  <c r="E276" i="5"/>
  <c r="D276" i="5"/>
  <c r="C276" i="5"/>
  <c r="I276" i="5"/>
  <c r="H276" i="5"/>
  <c r="K309" i="5"/>
  <c r="G309" i="5"/>
  <c r="C309" i="5"/>
  <c r="I309" i="5"/>
  <c r="D309" i="5"/>
  <c r="H309" i="5"/>
  <c r="B309" i="5"/>
  <c r="L309" i="5"/>
  <c r="J309" i="5"/>
  <c r="F309" i="5"/>
  <c r="E309" i="5"/>
  <c r="J291" i="5"/>
  <c r="F291" i="5"/>
  <c r="B291" i="5"/>
  <c r="I291" i="5"/>
  <c r="E291" i="5"/>
  <c r="H291" i="5"/>
  <c r="G291" i="5"/>
  <c r="L291" i="5"/>
  <c r="K291" i="5"/>
  <c r="D291" i="5"/>
  <c r="C291" i="5"/>
  <c r="J295" i="5"/>
  <c r="F295" i="5"/>
  <c r="B295" i="5"/>
  <c r="I295" i="5"/>
  <c r="E295" i="5"/>
  <c r="H295" i="5"/>
  <c r="G295" i="5"/>
  <c r="L295" i="5"/>
  <c r="K295" i="5"/>
  <c r="D295" i="5"/>
  <c r="C295" i="5"/>
  <c r="J299" i="5"/>
  <c r="F299" i="5"/>
  <c r="B299" i="5"/>
  <c r="I299" i="5"/>
  <c r="E299" i="5"/>
  <c r="H299" i="5"/>
  <c r="G299" i="5"/>
  <c r="L299" i="5"/>
  <c r="K299" i="5"/>
  <c r="D299" i="5"/>
  <c r="C299" i="5"/>
  <c r="J303" i="5"/>
  <c r="F303" i="5"/>
  <c r="B303" i="5"/>
  <c r="I303" i="5"/>
  <c r="E303" i="5"/>
  <c r="H303" i="5"/>
  <c r="G303" i="5"/>
  <c r="L303" i="5"/>
  <c r="K303" i="5"/>
  <c r="D303" i="5"/>
  <c r="C303" i="5"/>
  <c r="K310" i="5"/>
  <c r="G310" i="5"/>
  <c r="C310" i="5"/>
  <c r="H310" i="5"/>
  <c r="B310" i="5"/>
  <c r="L310" i="5"/>
  <c r="F310" i="5"/>
  <c r="J310" i="5"/>
  <c r="I310" i="5"/>
  <c r="E310" i="5"/>
  <c r="D310" i="5"/>
  <c r="J323" i="5"/>
  <c r="F323" i="5"/>
  <c r="B323" i="5"/>
  <c r="K323" i="5"/>
  <c r="E323" i="5"/>
  <c r="I323" i="5"/>
  <c r="C323" i="5"/>
  <c r="H323" i="5"/>
  <c r="G323" i="5"/>
  <c r="D323" i="5"/>
  <c r="L323" i="5"/>
  <c r="K315" i="5"/>
  <c r="G315" i="5"/>
  <c r="C315" i="5"/>
  <c r="L315" i="5"/>
  <c r="F315" i="5"/>
  <c r="J315" i="5"/>
  <c r="E315" i="5"/>
  <c r="D315" i="5"/>
  <c r="B315" i="5"/>
  <c r="I315" i="5"/>
  <c r="H315" i="5"/>
  <c r="K335" i="5"/>
  <c r="G335" i="5"/>
  <c r="C335" i="5"/>
  <c r="J335" i="5"/>
  <c r="E335" i="5"/>
  <c r="I335" i="5"/>
  <c r="D335" i="5"/>
  <c r="L335" i="5"/>
  <c r="H335" i="5"/>
  <c r="F335" i="5"/>
  <c r="B335" i="5"/>
  <c r="K348" i="5"/>
  <c r="G348" i="5"/>
  <c r="C348" i="5"/>
  <c r="I348" i="5"/>
  <c r="D348" i="5"/>
  <c r="H348" i="5"/>
  <c r="B348" i="5"/>
  <c r="L348" i="5"/>
  <c r="F348" i="5"/>
  <c r="J348" i="5"/>
  <c r="E348" i="5"/>
  <c r="J326" i="5"/>
  <c r="F326" i="5"/>
  <c r="B326" i="5"/>
  <c r="I326" i="5"/>
  <c r="E326" i="5"/>
  <c r="K326" i="5"/>
  <c r="C326" i="5"/>
  <c r="L326" i="5"/>
  <c r="H326" i="5"/>
  <c r="G326" i="5"/>
  <c r="D326" i="5"/>
  <c r="J330" i="5"/>
  <c r="F330" i="5"/>
  <c r="B330" i="5"/>
  <c r="I330" i="5"/>
  <c r="E330" i="5"/>
  <c r="K330" i="5"/>
  <c r="C330" i="5"/>
  <c r="G330" i="5"/>
  <c r="D330" i="5"/>
  <c r="L330" i="5"/>
  <c r="H330" i="5"/>
  <c r="K341" i="5"/>
  <c r="G341" i="5"/>
  <c r="C341" i="5"/>
  <c r="H341" i="5"/>
  <c r="B341" i="5"/>
  <c r="L341" i="5"/>
  <c r="F341" i="5"/>
  <c r="J341" i="5"/>
  <c r="E341" i="5"/>
  <c r="I341" i="5"/>
  <c r="D341" i="5"/>
  <c r="K357" i="5"/>
  <c r="G357" i="5"/>
  <c r="C357" i="5"/>
  <c r="H357" i="5"/>
  <c r="B357" i="5"/>
  <c r="L357" i="5"/>
  <c r="F357" i="5"/>
  <c r="J357" i="5"/>
  <c r="E357" i="5"/>
  <c r="I357" i="5"/>
  <c r="D357" i="5"/>
  <c r="K346" i="5"/>
  <c r="G346" i="5"/>
  <c r="C346" i="5"/>
  <c r="L346" i="5"/>
  <c r="F346" i="5"/>
  <c r="J346" i="5"/>
  <c r="E346" i="5"/>
  <c r="I346" i="5"/>
  <c r="D346" i="5"/>
  <c r="B346" i="5"/>
  <c r="H346" i="5"/>
  <c r="K359" i="5"/>
  <c r="G359" i="5"/>
  <c r="C359" i="5"/>
  <c r="L359" i="5"/>
  <c r="F359" i="5"/>
  <c r="J359" i="5"/>
  <c r="E359" i="5"/>
  <c r="I359" i="5"/>
  <c r="D359" i="5"/>
  <c r="H359" i="5"/>
  <c r="B359" i="5"/>
  <c r="AB296" i="2"/>
  <c r="AC296" i="2"/>
  <c r="AD296" i="2" s="1"/>
  <c r="D9" i="3"/>
  <c r="L171" i="5"/>
  <c r="H171" i="5"/>
  <c r="D171" i="5"/>
  <c r="J171" i="5"/>
  <c r="E171" i="5"/>
  <c r="I171" i="5"/>
  <c r="C171" i="5"/>
  <c r="G171" i="5"/>
  <c r="F171" i="5"/>
  <c r="B171" i="5"/>
  <c r="K171" i="5"/>
  <c r="L172" i="5"/>
  <c r="H172" i="5"/>
  <c r="D172" i="5"/>
  <c r="I172" i="5"/>
  <c r="C172" i="5"/>
  <c r="G172" i="5"/>
  <c r="B172" i="5"/>
  <c r="F172" i="5"/>
  <c r="E172" i="5"/>
  <c r="K172" i="5"/>
  <c r="J172" i="5"/>
  <c r="K313" i="5"/>
  <c r="G313" i="5"/>
  <c r="C313" i="5"/>
  <c r="I313" i="5"/>
  <c r="D313" i="5"/>
  <c r="H313" i="5"/>
  <c r="B313" i="5"/>
  <c r="F313" i="5"/>
  <c r="E313" i="5"/>
  <c r="L313" i="5"/>
  <c r="J313" i="5"/>
  <c r="L191" i="5"/>
  <c r="H191" i="5"/>
  <c r="D191" i="5"/>
  <c r="J191" i="5"/>
  <c r="E191" i="5"/>
  <c r="I191" i="5"/>
  <c r="C191" i="5"/>
  <c r="B191" i="5"/>
  <c r="K191" i="5"/>
  <c r="G191" i="5"/>
  <c r="F191" i="5"/>
  <c r="I12" i="5"/>
  <c r="E12" i="5"/>
  <c r="L12" i="5"/>
  <c r="H12" i="5"/>
  <c r="D12" i="5"/>
  <c r="G12" i="5"/>
  <c r="J12" i="5"/>
  <c r="F12" i="5"/>
  <c r="C12" i="5"/>
  <c r="B12" i="5"/>
  <c r="K12" i="5"/>
  <c r="I16" i="5"/>
  <c r="E16" i="5"/>
  <c r="L16" i="5"/>
  <c r="H16" i="5"/>
  <c r="D16" i="5"/>
  <c r="G16" i="5"/>
  <c r="C16" i="5"/>
  <c r="K16" i="5"/>
  <c r="B16" i="5"/>
  <c r="J16" i="5"/>
  <c r="F16" i="5"/>
  <c r="I20" i="5"/>
  <c r="E20" i="5"/>
  <c r="L20" i="5"/>
  <c r="H20" i="5"/>
  <c r="D20" i="5"/>
  <c r="G20" i="5"/>
  <c r="J20" i="5"/>
  <c r="F20" i="5"/>
  <c r="C20" i="5"/>
  <c r="K20" i="5"/>
  <c r="B20" i="5"/>
  <c r="I24" i="5"/>
  <c r="E24" i="5"/>
  <c r="L24" i="5"/>
  <c r="H24" i="5"/>
  <c r="D24" i="5"/>
  <c r="G24" i="5"/>
  <c r="C24" i="5"/>
  <c r="K24" i="5"/>
  <c r="B24" i="5"/>
  <c r="J24" i="5"/>
  <c r="F24" i="5"/>
  <c r="I28" i="5"/>
  <c r="E28" i="5"/>
  <c r="L28" i="5"/>
  <c r="H28" i="5"/>
  <c r="D28" i="5"/>
  <c r="G28" i="5"/>
  <c r="J28" i="5"/>
  <c r="F28" i="5"/>
  <c r="C28" i="5"/>
  <c r="K28" i="5"/>
  <c r="B28" i="5"/>
  <c r="I32" i="5"/>
  <c r="E32" i="5"/>
  <c r="L32" i="5"/>
  <c r="H32" i="5"/>
  <c r="D32" i="5"/>
  <c r="G32" i="5"/>
  <c r="C32" i="5"/>
  <c r="K32" i="5"/>
  <c r="B32" i="5"/>
  <c r="J32" i="5"/>
  <c r="F32" i="5"/>
  <c r="I36" i="5"/>
  <c r="E36" i="5"/>
  <c r="L36" i="5"/>
  <c r="H36" i="5"/>
  <c r="D36" i="5"/>
  <c r="G36" i="5"/>
  <c r="J36" i="5"/>
  <c r="F36" i="5"/>
  <c r="C36" i="5"/>
  <c r="K36" i="5"/>
  <c r="B36" i="5"/>
  <c r="I40" i="5"/>
  <c r="E40" i="5"/>
  <c r="L40" i="5"/>
  <c r="H40" i="5"/>
  <c r="D40" i="5"/>
  <c r="G40" i="5"/>
  <c r="C40" i="5"/>
  <c r="K40" i="5"/>
  <c r="B40" i="5"/>
  <c r="J40" i="5"/>
  <c r="F40" i="5"/>
  <c r="I44" i="5"/>
  <c r="E44" i="5"/>
  <c r="L44" i="5"/>
  <c r="H44" i="5"/>
  <c r="D44" i="5"/>
  <c r="G44" i="5"/>
  <c r="J44" i="5"/>
  <c r="F44" i="5"/>
  <c r="C44" i="5"/>
  <c r="B44" i="5"/>
  <c r="K44" i="5"/>
  <c r="I48" i="5"/>
  <c r="E48" i="5"/>
  <c r="L48" i="5"/>
  <c r="H48" i="5"/>
  <c r="D48" i="5"/>
  <c r="G48" i="5"/>
  <c r="C48" i="5"/>
  <c r="K48" i="5"/>
  <c r="B48" i="5"/>
  <c r="J48" i="5"/>
  <c r="F48" i="5"/>
  <c r="I52" i="5"/>
  <c r="E52" i="5"/>
  <c r="L52" i="5"/>
  <c r="H52" i="5"/>
  <c r="D52" i="5"/>
  <c r="G52" i="5"/>
  <c r="J52" i="5"/>
  <c r="F52" i="5"/>
  <c r="C52" i="5"/>
  <c r="K52" i="5"/>
  <c r="B52" i="5"/>
  <c r="I56" i="5"/>
  <c r="E56" i="5"/>
  <c r="L56" i="5"/>
  <c r="H56" i="5"/>
  <c r="D56" i="5"/>
  <c r="G56" i="5"/>
  <c r="C56" i="5"/>
  <c r="K56" i="5"/>
  <c r="B56" i="5"/>
  <c r="J56" i="5"/>
  <c r="F56" i="5"/>
  <c r="I60" i="5"/>
  <c r="E60" i="5"/>
  <c r="L60" i="5"/>
  <c r="H60" i="5"/>
  <c r="D60" i="5"/>
  <c r="G60" i="5"/>
  <c r="J60" i="5"/>
  <c r="F60" i="5"/>
  <c r="C60" i="5"/>
  <c r="K60" i="5"/>
  <c r="B60" i="5"/>
  <c r="I64" i="5"/>
  <c r="E64" i="5"/>
  <c r="L64" i="5"/>
  <c r="H64" i="5"/>
  <c r="D64" i="5"/>
  <c r="G64" i="5"/>
  <c r="C64" i="5"/>
  <c r="K64" i="5"/>
  <c r="B64" i="5"/>
  <c r="J64" i="5"/>
  <c r="F64" i="5"/>
  <c r="I68" i="5"/>
  <c r="E68" i="5"/>
  <c r="L68" i="5"/>
  <c r="H68" i="5"/>
  <c r="D68" i="5"/>
  <c r="G68" i="5"/>
  <c r="J68" i="5"/>
  <c r="F68" i="5"/>
  <c r="C68" i="5"/>
  <c r="K68" i="5"/>
  <c r="B68" i="5"/>
  <c r="I72" i="5"/>
  <c r="E72" i="5"/>
  <c r="L72" i="5"/>
  <c r="H72" i="5"/>
  <c r="D72" i="5"/>
  <c r="G72" i="5"/>
  <c r="C72" i="5"/>
  <c r="K72" i="5"/>
  <c r="B72" i="5"/>
  <c r="J72" i="5"/>
  <c r="F72" i="5"/>
  <c r="I76" i="5"/>
  <c r="E76" i="5"/>
  <c r="L76" i="5"/>
  <c r="H76" i="5"/>
  <c r="D76" i="5"/>
  <c r="G76" i="5"/>
  <c r="J76" i="5"/>
  <c r="F76" i="5"/>
  <c r="C76" i="5"/>
  <c r="B76" i="5"/>
  <c r="K76" i="5"/>
  <c r="I80" i="5"/>
  <c r="E80" i="5"/>
  <c r="L80" i="5"/>
  <c r="H80" i="5"/>
  <c r="D80" i="5"/>
  <c r="G80" i="5"/>
  <c r="C80" i="5"/>
  <c r="K80" i="5"/>
  <c r="B80" i="5"/>
  <c r="J80" i="5"/>
  <c r="F80" i="5"/>
  <c r="I84" i="5"/>
  <c r="E84" i="5"/>
  <c r="L84" i="5"/>
  <c r="H84" i="5"/>
  <c r="D84" i="5"/>
  <c r="G84" i="5"/>
  <c r="J84" i="5"/>
  <c r="F84" i="5"/>
  <c r="C84" i="5"/>
  <c r="K84" i="5"/>
  <c r="B84" i="5"/>
  <c r="I88" i="5"/>
  <c r="E88" i="5"/>
  <c r="L88" i="5"/>
  <c r="H88" i="5"/>
  <c r="D88" i="5"/>
  <c r="G88" i="5"/>
  <c r="C88" i="5"/>
  <c r="K88" i="5"/>
  <c r="B88" i="5"/>
  <c r="J88" i="5"/>
  <c r="F88" i="5"/>
  <c r="I92" i="5"/>
  <c r="E92" i="5"/>
  <c r="L92" i="5"/>
  <c r="H92" i="5"/>
  <c r="D92" i="5"/>
  <c r="G92" i="5"/>
  <c r="J92" i="5"/>
  <c r="F92" i="5"/>
  <c r="C92" i="5"/>
  <c r="K92" i="5"/>
  <c r="B92" i="5"/>
  <c r="I96" i="5"/>
  <c r="E96" i="5"/>
  <c r="K96" i="5"/>
  <c r="F96" i="5"/>
  <c r="J96" i="5"/>
  <c r="D96" i="5"/>
  <c r="H96" i="5"/>
  <c r="C96" i="5"/>
  <c r="B96" i="5"/>
  <c r="L96" i="5"/>
  <c r="G96" i="5"/>
  <c r="L192" i="5"/>
  <c r="H192" i="5"/>
  <c r="D192" i="5"/>
  <c r="I192" i="5"/>
  <c r="C192" i="5"/>
  <c r="G192" i="5"/>
  <c r="B192" i="5"/>
  <c r="K192" i="5"/>
  <c r="J192" i="5"/>
  <c r="F192" i="5"/>
  <c r="E192" i="5"/>
  <c r="I98" i="5"/>
  <c r="E98" i="5"/>
  <c r="H98" i="5"/>
  <c r="C98" i="5"/>
  <c r="L98" i="5"/>
  <c r="G98" i="5"/>
  <c r="B98" i="5"/>
  <c r="F98" i="5"/>
  <c r="J98" i="5"/>
  <c r="D98" i="5"/>
  <c r="K98" i="5"/>
  <c r="I102" i="5"/>
  <c r="E102" i="5"/>
  <c r="H102" i="5"/>
  <c r="C102" i="5"/>
  <c r="L102" i="5"/>
  <c r="G102" i="5"/>
  <c r="B102" i="5"/>
  <c r="K102" i="5"/>
  <c r="D102" i="5"/>
  <c r="J102" i="5"/>
  <c r="F102" i="5"/>
  <c r="I106" i="5"/>
  <c r="E106" i="5"/>
  <c r="H106" i="5"/>
  <c r="C106" i="5"/>
  <c r="L106" i="5"/>
  <c r="G106" i="5"/>
  <c r="B106" i="5"/>
  <c r="F106" i="5"/>
  <c r="K106" i="5"/>
  <c r="J106" i="5"/>
  <c r="D106" i="5"/>
  <c r="I110" i="5"/>
  <c r="E110" i="5"/>
  <c r="H110" i="5"/>
  <c r="C110" i="5"/>
  <c r="L110" i="5"/>
  <c r="G110" i="5"/>
  <c r="B110" i="5"/>
  <c r="K110" i="5"/>
  <c r="F110" i="5"/>
  <c r="D110" i="5"/>
  <c r="J110" i="5"/>
  <c r="J114" i="5"/>
  <c r="F114" i="5"/>
  <c r="B114" i="5"/>
  <c r="I114" i="5"/>
  <c r="E114" i="5"/>
  <c r="H114" i="5"/>
  <c r="G114" i="5"/>
  <c r="L114" i="5"/>
  <c r="D114" i="5"/>
  <c r="C114" i="5"/>
  <c r="K114" i="5"/>
  <c r="J118" i="5"/>
  <c r="F118" i="5"/>
  <c r="B118" i="5"/>
  <c r="I118" i="5"/>
  <c r="E118" i="5"/>
  <c r="H118" i="5"/>
  <c r="G118" i="5"/>
  <c r="L118" i="5"/>
  <c r="D118" i="5"/>
  <c r="K118" i="5"/>
  <c r="C118" i="5"/>
  <c r="J122" i="5"/>
  <c r="F122" i="5"/>
  <c r="B122" i="5"/>
  <c r="I122" i="5"/>
  <c r="E122" i="5"/>
  <c r="H122" i="5"/>
  <c r="G122" i="5"/>
  <c r="L122" i="5"/>
  <c r="D122" i="5"/>
  <c r="C122" i="5"/>
  <c r="K122" i="5"/>
  <c r="J126" i="5"/>
  <c r="F126" i="5"/>
  <c r="B126" i="5"/>
  <c r="I126" i="5"/>
  <c r="E126" i="5"/>
  <c r="H126" i="5"/>
  <c r="G126" i="5"/>
  <c r="L126" i="5"/>
  <c r="D126" i="5"/>
  <c r="C126" i="5"/>
  <c r="K126" i="5"/>
  <c r="J130" i="5"/>
  <c r="F130" i="5"/>
  <c r="B130" i="5"/>
  <c r="I130" i="5"/>
  <c r="E130" i="5"/>
  <c r="H130" i="5"/>
  <c r="G130" i="5"/>
  <c r="L130" i="5"/>
  <c r="D130" i="5"/>
  <c r="C130" i="5"/>
  <c r="K130" i="5"/>
  <c r="J134" i="5"/>
  <c r="F134" i="5"/>
  <c r="B134" i="5"/>
  <c r="I134" i="5"/>
  <c r="E134" i="5"/>
  <c r="H134" i="5"/>
  <c r="G134" i="5"/>
  <c r="L134" i="5"/>
  <c r="D134" i="5"/>
  <c r="K134" i="5"/>
  <c r="C134" i="5"/>
  <c r="J138" i="5"/>
  <c r="F138" i="5"/>
  <c r="B138" i="5"/>
  <c r="I138" i="5"/>
  <c r="E138" i="5"/>
  <c r="H138" i="5"/>
  <c r="G138" i="5"/>
  <c r="L138" i="5"/>
  <c r="D138" i="5"/>
  <c r="C138" i="5"/>
  <c r="K138" i="5"/>
  <c r="J142" i="5"/>
  <c r="F142" i="5"/>
  <c r="B142" i="5"/>
  <c r="I142" i="5"/>
  <c r="E142" i="5"/>
  <c r="H142" i="5"/>
  <c r="G142" i="5"/>
  <c r="L142" i="5"/>
  <c r="D142" i="5"/>
  <c r="K142" i="5"/>
  <c r="C142" i="5"/>
  <c r="J146" i="5"/>
  <c r="F146" i="5"/>
  <c r="B146" i="5"/>
  <c r="I146" i="5"/>
  <c r="E146" i="5"/>
  <c r="H146" i="5"/>
  <c r="G146" i="5"/>
  <c r="L146" i="5"/>
  <c r="D146" i="5"/>
  <c r="C146" i="5"/>
  <c r="K146" i="5"/>
  <c r="J150" i="5"/>
  <c r="F150" i="5"/>
  <c r="B150" i="5"/>
  <c r="I150" i="5"/>
  <c r="E150" i="5"/>
  <c r="H150" i="5"/>
  <c r="G150" i="5"/>
  <c r="L150" i="5"/>
  <c r="D150" i="5"/>
  <c r="K150" i="5"/>
  <c r="C150" i="5"/>
  <c r="J154" i="5"/>
  <c r="F154" i="5"/>
  <c r="B154" i="5"/>
  <c r="I154" i="5"/>
  <c r="E154" i="5"/>
  <c r="H154" i="5"/>
  <c r="G154" i="5"/>
  <c r="L154" i="5"/>
  <c r="D154" i="5"/>
  <c r="C154" i="5"/>
  <c r="K154" i="5"/>
  <c r="J158" i="5"/>
  <c r="F158" i="5"/>
  <c r="B158" i="5"/>
  <c r="I158" i="5"/>
  <c r="E158" i="5"/>
  <c r="H158" i="5"/>
  <c r="G158" i="5"/>
  <c r="L158" i="5"/>
  <c r="D158" i="5"/>
  <c r="C158" i="5"/>
  <c r="K158" i="5"/>
  <c r="L162" i="5"/>
  <c r="H162" i="5"/>
  <c r="K162" i="5"/>
  <c r="F162" i="5"/>
  <c r="B162" i="5"/>
  <c r="J162" i="5"/>
  <c r="E162" i="5"/>
  <c r="I162" i="5"/>
  <c r="G162" i="5"/>
  <c r="D162" i="5"/>
  <c r="C162" i="5"/>
  <c r="L177" i="5"/>
  <c r="H177" i="5"/>
  <c r="D177" i="5"/>
  <c r="G177" i="5"/>
  <c r="B177" i="5"/>
  <c r="K177" i="5"/>
  <c r="F177" i="5"/>
  <c r="J177" i="5"/>
  <c r="I177" i="5"/>
  <c r="E177" i="5"/>
  <c r="C177" i="5"/>
  <c r="L248" i="5"/>
  <c r="H248" i="5"/>
  <c r="D248" i="5"/>
  <c r="J248" i="5"/>
  <c r="E248" i="5"/>
  <c r="I248" i="5"/>
  <c r="C248" i="5"/>
  <c r="B248" i="5"/>
  <c r="K248" i="5"/>
  <c r="G248" i="5"/>
  <c r="F248" i="5"/>
  <c r="L170" i="5"/>
  <c r="H170" i="5"/>
  <c r="D170" i="5"/>
  <c r="K170" i="5"/>
  <c r="F170" i="5"/>
  <c r="J170" i="5"/>
  <c r="E170" i="5"/>
  <c r="I170" i="5"/>
  <c r="G170" i="5"/>
  <c r="C170" i="5"/>
  <c r="B170" i="5"/>
  <c r="L186" i="5"/>
  <c r="H186" i="5"/>
  <c r="D186" i="5"/>
  <c r="K186" i="5"/>
  <c r="F186" i="5"/>
  <c r="J186" i="5"/>
  <c r="E186" i="5"/>
  <c r="I186" i="5"/>
  <c r="G186" i="5"/>
  <c r="C186" i="5"/>
  <c r="B186" i="5"/>
  <c r="J277" i="5"/>
  <c r="F277" i="5"/>
  <c r="B277" i="5"/>
  <c r="K277" i="5"/>
  <c r="E277" i="5"/>
  <c r="I277" i="5"/>
  <c r="D277" i="5"/>
  <c r="C277" i="5"/>
  <c r="L277" i="5"/>
  <c r="H277" i="5"/>
  <c r="G277" i="5"/>
  <c r="I194" i="5"/>
  <c r="E194" i="5"/>
  <c r="L194" i="5"/>
  <c r="H194" i="5"/>
  <c r="D194" i="5"/>
  <c r="G194" i="5"/>
  <c r="F194" i="5"/>
  <c r="C194" i="5"/>
  <c r="B194" i="5"/>
  <c r="K194" i="5"/>
  <c r="J194" i="5"/>
  <c r="I198" i="5"/>
  <c r="E198" i="5"/>
  <c r="L198" i="5"/>
  <c r="H198" i="5"/>
  <c r="D198" i="5"/>
  <c r="G198" i="5"/>
  <c r="F198" i="5"/>
  <c r="C198" i="5"/>
  <c r="B198" i="5"/>
  <c r="K198" i="5"/>
  <c r="J198" i="5"/>
  <c r="I202" i="5"/>
  <c r="E202" i="5"/>
  <c r="L202" i="5"/>
  <c r="H202" i="5"/>
  <c r="D202" i="5"/>
  <c r="G202" i="5"/>
  <c r="F202" i="5"/>
  <c r="C202" i="5"/>
  <c r="B202" i="5"/>
  <c r="K202" i="5"/>
  <c r="J202" i="5"/>
  <c r="I206" i="5"/>
  <c r="E206" i="5"/>
  <c r="L206" i="5"/>
  <c r="H206" i="5"/>
  <c r="D206" i="5"/>
  <c r="G206" i="5"/>
  <c r="F206" i="5"/>
  <c r="C206" i="5"/>
  <c r="B206" i="5"/>
  <c r="K206" i="5"/>
  <c r="J206" i="5"/>
  <c r="I210" i="5"/>
  <c r="E210" i="5"/>
  <c r="L210" i="5"/>
  <c r="H210" i="5"/>
  <c r="D210" i="5"/>
  <c r="G210" i="5"/>
  <c r="F210" i="5"/>
  <c r="C210" i="5"/>
  <c r="B210" i="5"/>
  <c r="K210" i="5"/>
  <c r="J210" i="5"/>
  <c r="I214" i="5"/>
  <c r="E214" i="5"/>
  <c r="L214" i="5"/>
  <c r="H214" i="5"/>
  <c r="D214" i="5"/>
  <c r="G214" i="5"/>
  <c r="F214" i="5"/>
  <c r="C214" i="5"/>
  <c r="B214" i="5"/>
  <c r="K214" i="5"/>
  <c r="J214" i="5"/>
  <c r="I218" i="5"/>
  <c r="E218" i="5"/>
  <c r="L218" i="5"/>
  <c r="H218" i="5"/>
  <c r="D218" i="5"/>
  <c r="G218" i="5"/>
  <c r="F218" i="5"/>
  <c r="C218" i="5"/>
  <c r="B218" i="5"/>
  <c r="K218" i="5"/>
  <c r="J218" i="5"/>
  <c r="I222" i="5"/>
  <c r="E222" i="5"/>
  <c r="L222" i="5"/>
  <c r="H222" i="5"/>
  <c r="D222" i="5"/>
  <c r="G222" i="5"/>
  <c r="F222" i="5"/>
  <c r="C222" i="5"/>
  <c r="B222" i="5"/>
  <c r="K222" i="5"/>
  <c r="J222" i="5"/>
  <c r="I226" i="5"/>
  <c r="E226" i="5"/>
  <c r="L226" i="5"/>
  <c r="H226" i="5"/>
  <c r="D226" i="5"/>
  <c r="G226" i="5"/>
  <c r="F226" i="5"/>
  <c r="C226" i="5"/>
  <c r="B226" i="5"/>
  <c r="K226" i="5"/>
  <c r="J226" i="5"/>
  <c r="I230" i="5"/>
  <c r="E230" i="5"/>
  <c r="L230" i="5"/>
  <c r="H230" i="5"/>
  <c r="D230" i="5"/>
  <c r="G230" i="5"/>
  <c r="F230" i="5"/>
  <c r="C230" i="5"/>
  <c r="B230" i="5"/>
  <c r="K230" i="5"/>
  <c r="J230" i="5"/>
  <c r="I234" i="5"/>
  <c r="E234" i="5"/>
  <c r="L234" i="5"/>
  <c r="H234" i="5"/>
  <c r="D234" i="5"/>
  <c r="G234" i="5"/>
  <c r="F234" i="5"/>
  <c r="C234" i="5"/>
  <c r="B234" i="5"/>
  <c r="K234" i="5"/>
  <c r="J234" i="5"/>
  <c r="I238" i="5"/>
  <c r="E238" i="5"/>
  <c r="L238" i="5"/>
  <c r="H238" i="5"/>
  <c r="D238" i="5"/>
  <c r="G238" i="5"/>
  <c r="F238" i="5"/>
  <c r="C238" i="5"/>
  <c r="B238" i="5"/>
  <c r="K238" i="5"/>
  <c r="J238" i="5"/>
  <c r="I242" i="5"/>
  <c r="E242" i="5"/>
  <c r="L242" i="5"/>
  <c r="H242" i="5"/>
  <c r="D242" i="5"/>
  <c r="G242" i="5"/>
  <c r="F242" i="5"/>
  <c r="C242" i="5"/>
  <c r="B242" i="5"/>
  <c r="K242" i="5"/>
  <c r="J242" i="5"/>
  <c r="I246" i="5"/>
  <c r="E246" i="5"/>
  <c r="L246" i="5"/>
  <c r="H246" i="5"/>
  <c r="D246" i="5"/>
  <c r="G246" i="5"/>
  <c r="F246" i="5"/>
  <c r="C246" i="5"/>
  <c r="B246" i="5"/>
  <c r="K246" i="5"/>
  <c r="J246" i="5"/>
  <c r="K321" i="5"/>
  <c r="G321" i="5"/>
  <c r="C321" i="5"/>
  <c r="I321" i="5"/>
  <c r="D321" i="5"/>
  <c r="H321" i="5"/>
  <c r="B321" i="5"/>
  <c r="F321" i="5"/>
  <c r="E321" i="5"/>
  <c r="L321" i="5"/>
  <c r="J321" i="5"/>
  <c r="J283" i="5"/>
  <c r="F283" i="5"/>
  <c r="B283" i="5"/>
  <c r="H283" i="5"/>
  <c r="C283" i="5"/>
  <c r="L283" i="5"/>
  <c r="G283" i="5"/>
  <c r="E283" i="5"/>
  <c r="D283" i="5"/>
  <c r="K283" i="5"/>
  <c r="I283" i="5"/>
  <c r="K347" i="5"/>
  <c r="G347" i="5"/>
  <c r="C347" i="5"/>
  <c r="J347" i="5"/>
  <c r="E347" i="5"/>
  <c r="I347" i="5"/>
  <c r="D347" i="5"/>
  <c r="H347" i="5"/>
  <c r="B347" i="5"/>
  <c r="L347" i="5"/>
  <c r="F347" i="5"/>
  <c r="I253" i="5"/>
  <c r="E253" i="5"/>
  <c r="L253" i="5"/>
  <c r="H253" i="5"/>
  <c r="D253" i="5"/>
  <c r="G253" i="5"/>
  <c r="F253" i="5"/>
  <c r="K253" i="5"/>
  <c r="J253" i="5"/>
  <c r="C253" i="5"/>
  <c r="B253" i="5"/>
  <c r="I257" i="5"/>
  <c r="E257" i="5"/>
  <c r="L257" i="5"/>
  <c r="H257" i="5"/>
  <c r="D257" i="5"/>
  <c r="G257" i="5"/>
  <c r="F257" i="5"/>
  <c r="K257" i="5"/>
  <c r="J257" i="5"/>
  <c r="C257" i="5"/>
  <c r="B257" i="5"/>
  <c r="I261" i="5"/>
  <c r="E261" i="5"/>
  <c r="L261" i="5"/>
  <c r="H261" i="5"/>
  <c r="D261" i="5"/>
  <c r="G261" i="5"/>
  <c r="F261" i="5"/>
  <c r="K261" i="5"/>
  <c r="J261" i="5"/>
  <c r="C261" i="5"/>
  <c r="B261" i="5"/>
  <c r="I265" i="5"/>
  <c r="E265" i="5"/>
  <c r="L265" i="5"/>
  <c r="H265" i="5"/>
  <c r="D265" i="5"/>
  <c r="G265" i="5"/>
  <c r="F265" i="5"/>
  <c r="K265" i="5"/>
  <c r="J265" i="5"/>
  <c r="C265" i="5"/>
  <c r="B265" i="5"/>
  <c r="I269" i="5"/>
  <c r="E269" i="5"/>
  <c r="L269" i="5"/>
  <c r="H269" i="5"/>
  <c r="D269" i="5"/>
  <c r="G269" i="5"/>
  <c r="F269" i="5"/>
  <c r="K269" i="5"/>
  <c r="J269" i="5"/>
  <c r="C269" i="5"/>
  <c r="B269" i="5"/>
  <c r="J280" i="5"/>
  <c r="F280" i="5"/>
  <c r="B280" i="5"/>
  <c r="L280" i="5"/>
  <c r="G280" i="5"/>
  <c r="K280" i="5"/>
  <c r="E280" i="5"/>
  <c r="I280" i="5"/>
  <c r="H280" i="5"/>
  <c r="D280" i="5"/>
  <c r="C280" i="5"/>
  <c r="K317" i="5"/>
  <c r="G317" i="5"/>
  <c r="C317" i="5"/>
  <c r="I317" i="5"/>
  <c r="D317" i="5"/>
  <c r="H317" i="5"/>
  <c r="B317" i="5"/>
  <c r="L317" i="5"/>
  <c r="J317" i="5"/>
  <c r="F317" i="5"/>
  <c r="E317" i="5"/>
  <c r="J292" i="5"/>
  <c r="F292" i="5"/>
  <c r="B292" i="5"/>
  <c r="I292" i="5"/>
  <c r="E292" i="5"/>
  <c r="L292" i="5"/>
  <c r="D292" i="5"/>
  <c r="K292" i="5"/>
  <c r="C292" i="5"/>
  <c r="H292" i="5"/>
  <c r="G292" i="5"/>
  <c r="J296" i="5"/>
  <c r="F296" i="5"/>
  <c r="B296" i="5"/>
  <c r="I296" i="5"/>
  <c r="E296" i="5"/>
  <c r="L296" i="5"/>
  <c r="D296" i="5"/>
  <c r="K296" i="5"/>
  <c r="C296" i="5"/>
  <c r="H296" i="5"/>
  <c r="G296" i="5"/>
  <c r="J300" i="5"/>
  <c r="F300" i="5"/>
  <c r="B300" i="5"/>
  <c r="I300" i="5"/>
  <c r="E300" i="5"/>
  <c r="D300" i="5"/>
  <c r="K300" i="5"/>
  <c r="C300" i="5"/>
  <c r="H300" i="5"/>
  <c r="G300" i="5"/>
  <c r="J304" i="5"/>
  <c r="F304" i="5"/>
  <c r="B304" i="5"/>
  <c r="I304" i="5"/>
  <c r="E304" i="5"/>
  <c r="L304" i="5"/>
  <c r="D304" i="5"/>
  <c r="K304" i="5"/>
  <c r="C304" i="5"/>
  <c r="H304" i="5"/>
  <c r="G304" i="5"/>
  <c r="K314" i="5"/>
  <c r="G314" i="5"/>
  <c r="C314" i="5"/>
  <c r="H314" i="5"/>
  <c r="B314" i="5"/>
  <c r="L314" i="5"/>
  <c r="F314" i="5"/>
  <c r="E314" i="5"/>
  <c r="D314" i="5"/>
  <c r="J314" i="5"/>
  <c r="I314" i="5"/>
  <c r="K332" i="5"/>
  <c r="G332" i="5"/>
  <c r="C332" i="5"/>
  <c r="I332" i="5"/>
  <c r="D332" i="5"/>
  <c r="H332" i="5"/>
  <c r="B332" i="5"/>
  <c r="E332" i="5"/>
  <c r="F332" i="5"/>
  <c r="L332" i="5"/>
  <c r="J332" i="5"/>
  <c r="K319" i="5"/>
  <c r="G319" i="5"/>
  <c r="C319" i="5"/>
  <c r="L319" i="5"/>
  <c r="F319" i="5"/>
  <c r="J319" i="5"/>
  <c r="E319" i="5"/>
  <c r="I319" i="5"/>
  <c r="H319" i="5"/>
  <c r="D319" i="5"/>
  <c r="B319" i="5"/>
  <c r="K355" i="5"/>
  <c r="G355" i="5"/>
  <c r="C355" i="5"/>
  <c r="J355" i="5"/>
  <c r="E355" i="5"/>
  <c r="I355" i="5"/>
  <c r="D355" i="5"/>
  <c r="H355" i="5"/>
  <c r="B355" i="5"/>
  <c r="L355" i="5"/>
  <c r="F355" i="5"/>
  <c r="K352" i="5"/>
  <c r="G352" i="5"/>
  <c r="C352" i="5"/>
  <c r="I352" i="5"/>
  <c r="D352" i="5"/>
  <c r="H352" i="5"/>
  <c r="B352" i="5"/>
  <c r="L352" i="5"/>
  <c r="F352" i="5"/>
  <c r="J352" i="5"/>
  <c r="E352" i="5"/>
  <c r="J327" i="5"/>
  <c r="F327" i="5"/>
  <c r="B327" i="5"/>
  <c r="I327" i="5"/>
  <c r="E327" i="5"/>
  <c r="G327" i="5"/>
  <c r="K327" i="5"/>
  <c r="H327" i="5"/>
  <c r="L327" i="5"/>
  <c r="D327" i="5"/>
  <c r="C327" i="5"/>
  <c r="K331" i="5"/>
  <c r="J331" i="5"/>
  <c r="F331" i="5"/>
  <c r="B331" i="5"/>
  <c r="I331" i="5"/>
  <c r="E331" i="5"/>
  <c r="G331" i="5"/>
  <c r="D331" i="5"/>
  <c r="C331" i="5"/>
  <c r="L331" i="5"/>
  <c r="H331" i="5"/>
  <c r="K345" i="5"/>
  <c r="G345" i="5"/>
  <c r="C345" i="5"/>
  <c r="H345" i="5"/>
  <c r="B345" i="5"/>
  <c r="L345" i="5"/>
  <c r="F345" i="5"/>
  <c r="J345" i="5"/>
  <c r="E345" i="5"/>
  <c r="I345" i="5"/>
  <c r="D345" i="5"/>
  <c r="K334" i="5"/>
  <c r="G334" i="5"/>
  <c r="C334" i="5"/>
  <c r="L334" i="5"/>
  <c r="F334" i="5"/>
  <c r="J334" i="5"/>
  <c r="E334" i="5"/>
  <c r="B334" i="5"/>
  <c r="I334" i="5"/>
  <c r="H334" i="5"/>
  <c r="D334" i="5"/>
  <c r="K350" i="5"/>
  <c r="G350" i="5"/>
  <c r="C350" i="5"/>
  <c r="L350" i="5"/>
  <c r="F350" i="5"/>
  <c r="J350" i="5"/>
  <c r="E350" i="5"/>
  <c r="I350" i="5"/>
  <c r="D350" i="5"/>
  <c r="H350" i="5"/>
  <c r="B350" i="5"/>
  <c r="G6" i="3"/>
  <c r="J6" i="3"/>
  <c r="AB308" i="2"/>
  <c r="L316" i="5" s="1"/>
  <c r="AC308" i="2"/>
  <c r="AD308" i="2" s="1"/>
  <c r="AE308" i="2" s="1"/>
  <c r="L163" i="5"/>
  <c r="H163" i="5"/>
  <c r="D163" i="5"/>
  <c r="J163" i="5"/>
  <c r="E163" i="5"/>
  <c r="I163" i="5"/>
  <c r="C163" i="5"/>
  <c r="G163" i="5"/>
  <c r="F163" i="5"/>
  <c r="B163" i="5"/>
  <c r="K163" i="5"/>
  <c r="K320" i="5"/>
  <c r="G320" i="5"/>
  <c r="C320" i="5"/>
  <c r="J320" i="5"/>
  <c r="E320" i="5"/>
  <c r="I320" i="5"/>
  <c r="D320" i="5"/>
  <c r="H320" i="5"/>
  <c r="F320" i="5"/>
  <c r="L320" i="5"/>
  <c r="B320" i="5"/>
  <c r="L180" i="5"/>
  <c r="H180" i="5"/>
  <c r="D180" i="5"/>
  <c r="I180" i="5"/>
  <c r="C180" i="5"/>
  <c r="G180" i="5"/>
  <c r="B180" i="5"/>
  <c r="F180" i="5"/>
  <c r="E180" i="5"/>
  <c r="K180" i="5"/>
  <c r="J180" i="5"/>
  <c r="L167" i="5"/>
  <c r="H167" i="5"/>
  <c r="D167" i="5"/>
  <c r="J167" i="5"/>
  <c r="E167" i="5"/>
  <c r="I167" i="5"/>
  <c r="C167" i="5"/>
  <c r="B167" i="5"/>
  <c r="K167" i="5"/>
  <c r="G167" i="5"/>
  <c r="F167" i="5"/>
  <c r="J281" i="5"/>
  <c r="F281" i="5"/>
  <c r="B281" i="5"/>
  <c r="K281" i="5"/>
  <c r="E281" i="5"/>
  <c r="I281" i="5"/>
  <c r="D281" i="5"/>
  <c r="H281" i="5"/>
  <c r="G281" i="5"/>
  <c r="L281" i="5"/>
  <c r="C281" i="5"/>
  <c r="I13" i="5"/>
  <c r="E13" i="5"/>
  <c r="L13" i="5"/>
  <c r="H13" i="5"/>
  <c r="D13" i="5"/>
  <c r="K13" i="5"/>
  <c r="C13" i="5"/>
  <c r="G13" i="5"/>
  <c r="F13" i="5"/>
  <c r="B13" i="5"/>
  <c r="J13" i="5"/>
  <c r="I17" i="5"/>
  <c r="E17" i="5"/>
  <c r="L17" i="5"/>
  <c r="H17" i="5"/>
  <c r="D17" i="5"/>
  <c r="K17" i="5"/>
  <c r="C17" i="5"/>
  <c r="B17" i="5"/>
  <c r="J17" i="5"/>
  <c r="G17" i="5"/>
  <c r="F17" i="5"/>
  <c r="I21" i="5"/>
  <c r="E21" i="5"/>
  <c r="L21" i="5"/>
  <c r="H21" i="5"/>
  <c r="D21" i="5"/>
  <c r="K21" i="5"/>
  <c r="C21" i="5"/>
  <c r="G21" i="5"/>
  <c r="F21" i="5"/>
  <c r="B21" i="5"/>
  <c r="J21" i="5"/>
  <c r="I25" i="5"/>
  <c r="E25" i="5"/>
  <c r="L25" i="5"/>
  <c r="H25" i="5"/>
  <c r="D25" i="5"/>
  <c r="K25" i="5"/>
  <c r="C25" i="5"/>
  <c r="B25" i="5"/>
  <c r="J25" i="5"/>
  <c r="G25" i="5"/>
  <c r="F25" i="5"/>
  <c r="I29" i="5"/>
  <c r="E29" i="5"/>
  <c r="L29" i="5"/>
  <c r="H29" i="5"/>
  <c r="D29" i="5"/>
  <c r="K29" i="5"/>
  <c r="C29" i="5"/>
  <c r="G29" i="5"/>
  <c r="F29" i="5"/>
  <c r="B29" i="5"/>
  <c r="J29" i="5"/>
  <c r="I33" i="5"/>
  <c r="E33" i="5"/>
  <c r="L33" i="5"/>
  <c r="H33" i="5"/>
  <c r="D33" i="5"/>
  <c r="K33" i="5"/>
  <c r="C33" i="5"/>
  <c r="B33" i="5"/>
  <c r="J33" i="5"/>
  <c r="G33" i="5"/>
  <c r="F33" i="5"/>
  <c r="I37" i="5"/>
  <c r="E37" i="5"/>
  <c r="L37" i="5"/>
  <c r="H37" i="5"/>
  <c r="D37" i="5"/>
  <c r="K37" i="5"/>
  <c r="C37" i="5"/>
  <c r="G37" i="5"/>
  <c r="F37" i="5"/>
  <c r="B37" i="5"/>
  <c r="J37" i="5"/>
  <c r="I41" i="5"/>
  <c r="E41" i="5"/>
  <c r="L41" i="5"/>
  <c r="H41" i="5"/>
  <c r="D41" i="5"/>
  <c r="K41" i="5"/>
  <c r="C41" i="5"/>
  <c r="B41" i="5"/>
  <c r="J41" i="5"/>
  <c r="G41" i="5"/>
  <c r="F41" i="5"/>
  <c r="I45" i="5"/>
  <c r="E45" i="5"/>
  <c r="L45" i="5"/>
  <c r="H45" i="5"/>
  <c r="D45" i="5"/>
  <c r="K45" i="5"/>
  <c r="C45" i="5"/>
  <c r="G45" i="5"/>
  <c r="F45" i="5"/>
  <c r="B45" i="5"/>
  <c r="J45" i="5"/>
  <c r="I49" i="5"/>
  <c r="E49" i="5"/>
  <c r="L49" i="5"/>
  <c r="H49" i="5"/>
  <c r="D49" i="5"/>
  <c r="K49" i="5"/>
  <c r="C49" i="5"/>
  <c r="B49" i="5"/>
  <c r="J49" i="5"/>
  <c r="G49" i="5"/>
  <c r="F49" i="5"/>
  <c r="I53" i="5"/>
  <c r="E53" i="5"/>
  <c r="L53" i="5"/>
  <c r="H53" i="5"/>
  <c r="D53" i="5"/>
  <c r="K53" i="5"/>
  <c r="C53" i="5"/>
  <c r="G53" i="5"/>
  <c r="F53" i="5"/>
  <c r="B53" i="5"/>
  <c r="J53" i="5"/>
  <c r="I57" i="5"/>
  <c r="E57" i="5"/>
  <c r="L57" i="5"/>
  <c r="H57" i="5"/>
  <c r="D57" i="5"/>
  <c r="K57" i="5"/>
  <c r="C57" i="5"/>
  <c r="B57" i="5"/>
  <c r="J57" i="5"/>
  <c r="G57" i="5"/>
  <c r="F57" i="5"/>
  <c r="I61" i="5"/>
  <c r="E61" i="5"/>
  <c r="L61" i="5"/>
  <c r="H61" i="5"/>
  <c r="D61" i="5"/>
  <c r="K61" i="5"/>
  <c r="C61" i="5"/>
  <c r="G61" i="5"/>
  <c r="F61" i="5"/>
  <c r="B61" i="5"/>
  <c r="J61" i="5"/>
  <c r="I65" i="5"/>
  <c r="E65" i="5"/>
  <c r="L65" i="5"/>
  <c r="H65" i="5"/>
  <c r="D65" i="5"/>
  <c r="K65" i="5"/>
  <c r="C65" i="5"/>
  <c r="B65" i="5"/>
  <c r="J65" i="5"/>
  <c r="G65" i="5"/>
  <c r="F65" i="5"/>
  <c r="I69" i="5"/>
  <c r="E69" i="5"/>
  <c r="L69" i="5"/>
  <c r="H69" i="5"/>
  <c r="D69" i="5"/>
  <c r="K69" i="5"/>
  <c r="C69" i="5"/>
  <c r="G69" i="5"/>
  <c r="F69" i="5"/>
  <c r="B69" i="5"/>
  <c r="J69" i="5"/>
  <c r="I73" i="5"/>
  <c r="E73" i="5"/>
  <c r="L73" i="5"/>
  <c r="H73" i="5"/>
  <c r="D73" i="5"/>
  <c r="K73" i="5"/>
  <c r="C73" i="5"/>
  <c r="B73" i="5"/>
  <c r="J73" i="5"/>
  <c r="G73" i="5"/>
  <c r="F73" i="5"/>
  <c r="I77" i="5"/>
  <c r="E77" i="5"/>
  <c r="L77" i="5"/>
  <c r="H77" i="5"/>
  <c r="D77" i="5"/>
  <c r="K77" i="5"/>
  <c r="C77" i="5"/>
  <c r="G77" i="5"/>
  <c r="F77" i="5"/>
  <c r="B77" i="5"/>
  <c r="J77" i="5"/>
  <c r="I81" i="5"/>
  <c r="E81" i="5"/>
  <c r="L81" i="5"/>
  <c r="H81" i="5"/>
  <c r="D81" i="5"/>
  <c r="K81" i="5"/>
  <c r="C81" i="5"/>
  <c r="B81" i="5"/>
  <c r="J81" i="5"/>
  <c r="G81" i="5"/>
  <c r="F81" i="5"/>
  <c r="I85" i="5"/>
  <c r="E85" i="5"/>
  <c r="L85" i="5"/>
  <c r="H85" i="5"/>
  <c r="D85" i="5"/>
  <c r="K85" i="5"/>
  <c r="C85" i="5"/>
  <c r="G85" i="5"/>
  <c r="F85" i="5"/>
  <c r="B85" i="5"/>
  <c r="J85" i="5"/>
  <c r="I89" i="5"/>
  <c r="E89" i="5"/>
  <c r="L89" i="5"/>
  <c r="H89" i="5"/>
  <c r="D89" i="5"/>
  <c r="K89" i="5"/>
  <c r="C89" i="5"/>
  <c r="B89" i="5"/>
  <c r="J89" i="5"/>
  <c r="G89" i="5"/>
  <c r="F89" i="5"/>
  <c r="I93" i="5"/>
  <c r="E93" i="5"/>
  <c r="L93" i="5"/>
  <c r="H93" i="5"/>
  <c r="D93" i="5"/>
  <c r="K93" i="5"/>
  <c r="C93" i="5"/>
  <c r="G93" i="5"/>
  <c r="F93" i="5"/>
  <c r="B93" i="5"/>
  <c r="J93" i="5"/>
  <c r="L168" i="5"/>
  <c r="H168" i="5"/>
  <c r="D168" i="5"/>
  <c r="I168" i="5"/>
  <c r="C168" i="5"/>
  <c r="G168" i="5"/>
  <c r="B168" i="5"/>
  <c r="K168" i="5"/>
  <c r="J168" i="5"/>
  <c r="F168" i="5"/>
  <c r="E168" i="5"/>
  <c r="J274" i="5"/>
  <c r="F274" i="5"/>
  <c r="B274" i="5"/>
  <c r="I274" i="5"/>
  <c r="D274" i="5"/>
  <c r="H274" i="5"/>
  <c r="C274" i="5"/>
  <c r="G274" i="5"/>
  <c r="E274" i="5"/>
  <c r="L274" i="5"/>
  <c r="K274" i="5"/>
  <c r="I99" i="5"/>
  <c r="E99" i="5"/>
  <c r="L99" i="5"/>
  <c r="G99" i="5"/>
  <c r="B99" i="5"/>
  <c r="K99" i="5"/>
  <c r="F99" i="5"/>
  <c r="D99" i="5"/>
  <c r="J99" i="5"/>
  <c r="H99" i="5"/>
  <c r="C99" i="5"/>
  <c r="I103" i="5"/>
  <c r="E103" i="5"/>
  <c r="L103" i="5"/>
  <c r="G103" i="5"/>
  <c r="B103" i="5"/>
  <c r="K103" i="5"/>
  <c r="F103" i="5"/>
  <c r="J103" i="5"/>
  <c r="D103" i="5"/>
  <c r="C103" i="5"/>
  <c r="H103" i="5"/>
  <c r="I107" i="5"/>
  <c r="E107" i="5"/>
  <c r="L107" i="5"/>
  <c r="G107" i="5"/>
  <c r="B107" i="5"/>
  <c r="K107" i="5"/>
  <c r="F107" i="5"/>
  <c r="D107" i="5"/>
  <c r="J107" i="5"/>
  <c r="H107" i="5"/>
  <c r="C107" i="5"/>
  <c r="I111" i="5"/>
  <c r="E111" i="5"/>
  <c r="L111" i="5"/>
  <c r="G111" i="5"/>
  <c r="B111" i="5"/>
  <c r="K111" i="5"/>
  <c r="F111" i="5"/>
  <c r="J111" i="5"/>
  <c r="H111" i="5"/>
  <c r="D111" i="5"/>
  <c r="C111" i="5"/>
  <c r="J115" i="5"/>
  <c r="F115" i="5"/>
  <c r="B115" i="5"/>
  <c r="I115" i="5"/>
  <c r="E115" i="5"/>
  <c r="L115" i="5"/>
  <c r="D115" i="5"/>
  <c r="K115" i="5"/>
  <c r="C115" i="5"/>
  <c r="H115" i="5"/>
  <c r="G115" i="5"/>
  <c r="J119" i="5"/>
  <c r="F119" i="5"/>
  <c r="B119" i="5"/>
  <c r="I119" i="5"/>
  <c r="E119" i="5"/>
  <c r="L119" i="5"/>
  <c r="D119" i="5"/>
  <c r="K119" i="5"/>
  <c r="C119" i="5"/>
  <c r="H119" i="5"/>
  <c r="G119" i="5"/>
  <c r="J123" i="5"/>
  <c r="F123" i="5"/>
  <c r="B123" i="5"/>
  <c r="I123" i="5"/>
  <c r="E123" i="5"/>
  <c r="L123" i="5"/>
  <c r="D123" i="5"/>
  <c r="K123" i="5"/>
  <c r="C123" i="5"/>
  <c r="H123" i="5"/>
  <c r="G123" i="5"/>
  <c r="J127" i="5"/>
  <c r="F127" i="5"/>
  <c r="B127" i="5"/>
  <c r="I127" i="5"/>
  <c r="E127" i="5"/>
  <c r="L127" i="5"/>
  <c r="D127" i="5"/>
  <c r="K127" i="5"/>
  <c r="C127" i="5"/>
  <c r="H127" i="5"/>
  <c r="G127" i="5"/>
  <c r="J131" i="5"/>
  <c r="F131" i="5"/>
  <c r="B131" i="5"/>
  <c r="I131" i="5"/>
  <c r="E131" i="5"/>
  <c r="L131" i="5"/>
  <c r="D131" i="5"/>
  <c r="K131" i="5"/>
  <c r="C131" i="5"/>
  <c r="H131" i="5"/>
  <c r="G131" i="5"/>
  <c r="J135" i="5"/>
  <c r="F135" i="5"/>
  <c r="B135" i="5"/>
  <c r="I135" i="5"/>
  <c r="E135" i="5"/>
  <c r="L135" i="5"/>
  <c r="D135" i="5"/>
  <c r="K135" i="5"/>
  <c r="C135" i="5"/>
  <c r="H135" i="5"/>
  <c r="G135" i="5"/>
  <c r="J139" i="5"/>
  <c r="F139" i="5"/>
  <c r="B139" i="5"/>
  <c r="I139" i="5"/>
  <c r="E139" i="5"/>
  <c r="L139" i="5"/>
  <c r="D139" i="5"/>
  <c r="K139" i="5"/>
  <c r="C139" i="5"/>
  <c r="H139" i="5"/>
  <c r="G139" i="5"/>
  <c r="J143" i="5"/>
  <c r="F143" i="5"/>
  <c r="B143" i="5"/>
  <c r="I143" i="5"/>
  <c r="E143" i="5"/>
  <c r="L143" i="5"/>
  <c r="D143" i="5"/>
  <c r="K143" i="5"/>
  <c r="C143" i="5"/>
  <c r="H143" i="5"/>
  <c r="G143" i="5"/>
  <c r="J147" i="5"/>
  <c r="F147" i="5"/>
  <c r="B147" i="5"/>
  <c r="I147" i="5"/>
  <c r="E147" i="5"/>
  <c r="L147" i="5"/>
  <c r="D147" i="5"/>
  <c r="K147" i="5"/>
  <c r="C147" i="5"/>
  <c r="H147" i="5"/>
  <c r="G147" i="5"/>
  <c r="J151" i="5"/>
  <c r="F151" i="5"/>
  <c r="B151" i="5"/>
  <c r="I151" i="5"/>
  <c r="E151" i="5"/>
  <c r="L151" i="5"/>
  <c r="D151" i="5"/>
  <c r="K151" i="5"/>
  <c r="C151" i="5"/>
  <c r="H151" i="5"/>
  <c r="G151" i="5"/>
  <c r="J155" i="5"/>
  <c r="F155" i="5"/>
  <c r="B155" i="5"/>
  <c r="I155" i="5"/>
  <c r="E155" i="5"/>
  <c r="L155" i="5"/>
  <c r="D155" i="5"/>
  <c r="K155" i="5"/>
  <c r="C155" i="5"/>
  <c r="H155" i="5"/>
  <c r="G155" i="5"/>
  <c r="J159" i="5"/>
  <c r="F159" i="5"/>
  <c r="B159" i="5"/>
  <c r="I159" i="5"/>
  <c r="E159" i="5"/>
  <c r="L159" i="5"/>
  <c r="D159" i="5"/>
  <c r="K159" i="5"/>
  <c r="C159" i="5"/>
  <c r="H159" i="5"/>
  <c r="G159" i="5"/>
  <c r="L165" i="5"/>
  <c r="H165" i="5"/>
  <c r="D165" i="5"/>
  <c r="G165" i="5"/>
  <c r="B165" i="5"/>
  <c r="K165" i="5"/>
  <c r="F165" i="5"/>
  <c r="E165" i="5"/>
  <c r="C165" i="5"/>
  <c r="J165" i="5"/>
  <c r="I165" i="5"/>
  <c r="L181" i="5"/>
  <c r="H181" i="5"/>
  <c r="D181" i="5"/>
  <c r="G181" i="5"/>
  <c r="B181" i="5"/>
  <c r="K181" i="5"/>
  <c r="F181" i="5"/>
  <c r="E181" i="5"/>
  <c r="C181" i="5"/>
  <c r="J181" i="5"/>
  <c r="I181" i="5"/>
  <c r="J273" i="5"/>
  <c r="F273" i="5"/>
  <c r="B273" i="5"/>
  <c r="K273" i="5"/>
  <c r="E273" i="5"/>
  <c r="I273" i="5"/>
  <c r="D273" i="5"/>
  <c r="H273" i="5"/>
  <c r="G273" i="5"/>
  <c r="C273" i="5"/>
  <c r="L273" i="5"/>
  <c r="L174" i="5"/>
  <c r="H174" i="5"/>
  <c r="D174" i="5"/>
  <c r="K174" i="5"/>
  <c r="F174" i="5"/>
  <c r="J174" i="5"/>
  <c r="E174" i="5"/>
  <c r="C174" i="5"/>
  <c r="B174" i="5"/>
  <c r="I174" i="5"/>
  <c r="G174" i="5"/>
  <c r="L190" i="5"/>
  <c r="H190" i="5"/>
  <c r="D190" i="5"/>
  <c r="K190" i="5"/>
  <c r="F190" i="5"/>
  <c r="J190" i="5"/>
  <c r="E190" i="5"/>
  <c r="C190" i="5"/>
  <c r="B190" i="5"/>
  <c r="I190" i="5"/>
  <c r="G190" i="5"/>
  <c r="J285" i="5"/>
  <c r="F285" i="5"/>
  <c r="B285" i="5"/>
  <c r="K285" i="5"/>
  <c r="E285" i="5"/>
  <c r="I285" i="5"/>
  <c r="D285" i="5"/>
  <c r="C285" i="5"/>
  <c r="L285" i="5"/>
  <c r="H285" i="5"/>
  <c r="G285" i="5"/>
  <c r="I195" i="5"/>
  <c r="E195" i="5"/>
  <c r="L195" i="5"/>
  <c r="H195" i="5"/>
  <c r="D195" i="5"/>
  <c r="K195" i="5"/>
  <c r="C195" i="5"/>
  <c r="J195" i="5"/>
  <c r="B195" i="5"/>
  <c r="G195" i="5"/>
  <c r="F195" i="5"/>
  <c r="I199" i="5"/>
  <c r="E199" i="5"/>
  <c r="L199" i="5"/>
  <c r="H199" i="5"/>
  <c r="D199" i="5"/>
  <c r="K199" i="5"/>
  <c r="C199" i="5"/>
  <c r="J199" i="5"/>
  <c r="B199" i="5"/>
  <c r="G199" i="5"/>
  <c r="F199" i="5"/>
  <c r="I203" i="5"/>
  <c r="E203" i="5"/>
  <c r="L203" i="5"/>
  <c r="H203" i="5"/>
  <c r="D203" i="5"/>
  <c r="K203" i="5"/>
  <c r="C203" i="5"/>
  <c r="J203" i="5"/>
  <c r="B203" i="5"/>
  <c r="G203" i="5"/>
  <c r="F203" i="5"/>
  <c r="I207" i="5"/>
  <c r="E207" i="5"/>
  <c r="L207" i="5"/>
  <c r="H207" i="5"/>
  <c r="D207" i="5"/>
  <c r="K207" i="5"/>
  <c r="C207" i="5"/>
  <c r="J207" i="5"/>
  <c r="B207" i="5"/>
  <c r="G207" i="5"/>
  <c r="F207" i="5"/>
  <c r="I211" i="5"/>
  <c r="E211" i="5"/>
  <c r="L211" i="5"/>
  <c r="H211" i="5"/>
  <c r="D211" i="5"/>
  <c r="K211" i="5"/>
  <c r="C211" i="5"/>
  <c r="J211" i="5"/>
  <c r="B211" i="5"/>
  <c r="G211" i="5"/>
  <c r="F211" i="5"/>
  <c r="I215" i="5"/>
  <c r="E215" i="5"/>
  <c r="L215" i="5"/>
  <c r="H215" i="5"/>
  <c r="D215" i="5"/>
  <c r="K215" i="5"/>
  <c r="C215" i="5"/>
  <c r="J215" i="5"/>
  <c r="B215" i="5"/>
  <c r="G215" i="5"/>
  <c r="F215" i="5"/>
  <c r="I219" i="5"/>
  <c r="E219" i="5"/>
  <c r="L219" i="5"/>
  <c r="H219" i="5"/>
  <c r="D219" i="5"/>
  <c r="K219" i="5"/>
  <c r="C219" i="5"/>
  <c r="J219" i="5"/>
  <c r="B219" i="5"/>
  <c r="G219" i="5"/>
  <c r="F219" i="5"/>
  <c r="I223" i="5"/>
  <c r="E223" i="5"/>
  <c r="L223" i="5"/>
  <c r="H223" i="5"/>
  <c r="D223" i="5"/>
  <c r="K223" i="5"/>
  <c r="C223" i="5"/>
  <c r="J223" i="5"/>
  <c r="B223" i="5"/>
  <c r="G223" i="5"/>
  <c r="F223" i="5"/>
  <c r="I227" i="5"/>
  <c r="E227" i="5"/>
  <c r="L227" i="5"/>
  <c r="H227" i="5"/>
  <c r="D227" i="5"/>
  <c r="K227" i="5"/>
  <c r="C227" i="5"/>
  <c r="J227" i="5"/>
  <c r="B227" i="5"/>
  <c r="G227" i="5"/>
  <c r="F227" i="5"/>
  <c r="I231" i="5"/>
  <c r="E231" i="5"/>
  <c r="L231" i="5"/>
  <c r="H231" i="5"/>
  <c r="D231" i="5"/>
  <c r="K231" i="5"/>
  <c r="C231" i="5"/>
  <c r="J231" i="5"/>
  <c r="B231" i="5"/>
  <c r="G231" i="5"/>
  <c r="F231" i="5"/>
  <c r="I235" i="5"/>
  <c r="E235" i="5"/>
  <c r="L235" i="5"/>
  <c r="H235" i="5"/>
  <c r="D235" i="5"/>
  <c r="K235" i="5"/>
  <c r="C235" i="5"/>
  <c r="J235" i="5"/>
  <c r="B235" i="5"/>
  <c r="G235" i="5"/>
  <c r="F235" i="5"/>
  <c r="I239" i="5"/>
  <c r="E239" i="5"/>
  <c r="L239" i="5"/>
  <c r="H239" i="5"/>
  <c r="D239" i="5"/>
  <c r="K239" i="5"/>
  <c r="C239" i="5"/>
  <c r="J239" i="5"/>
  <c r="B239" i="5"/>
  <c r="G239" i="5"/>
  <c r="F239" i="5"/>
  <c r="I243" i="5"/>
  <c r="E243" i="5"/>
  <c r="L243" i="5"/>
  <c r="H243" i="5"/>
  <c r="D243" i="5"/>
  <c r="K243" i="5"/>
  <c r="C243" i="5"/>
  <c r="J243" i="5"/>
  <c r="B243" i="5"/>
  <c r="G243" i="5"/>
  <c r="F243" i="5"/>
  <c r="L247" i="5"/>
  <c r="H247" i="5"/>
  <c r="D247" i="5"/>
  <c r="K247" i="5"/>
  <c r="F247" i="5"/>
  <c r="J247" i="5"/>
  <c r="E247" i="5"/>
  <c r="C247" i="5"/>
  <c r="B247" i="5"/>
  <c r="I247" i="5"/>
  <c r="G247" i="5"/>
  <c r="J271" i="5"/>
  <c r="F271" i="5"/>
  <c r="B271" i="5"/>
  <c r="H271" i="5"/>
  <c r="C271" i="5"/>
  <c r="L271" i="5"/>
  <c r="G271" i="5"/>
  <c r="K271" i="5"/>
  <c r="I271" i="5"/>
  <c r="E271" i="5"/>
  <c r="D271" i="5"/>
  <c r="J287" i="5"/>
  <c r="F287" i="5"/>
  <c r="B287" i="5"/>
  <c r="H287" i="5"/>
  <c r="C287" i="5"/>
  <c r="L287" i="5"/>
  <c r="G287" i="5"/>
  <c r="K287" i="5"/>
  <c r="I287" i="5"/>
  <c r="E287" i="5"/>
  <c r="D287" i="5"/>
  <c r="I250" i="5"/>
  <c r="E250" i="5"/>
  <c r="L250" i="5"/>
  <c r="H250" i="5"/>
  <c r="D250" i="5"/>
  <c r="K250" i="5"/>
  <c r="C250" i="5"/>
  <c r="J250" i="5"/>
  <c r="B250" i="5"/>
  <c r="G250" i="5"/>
  <c r="F250" i="5"/>
  <c r="I254" i="5"/>
  <c r="E254" i="5"/>
  <c r="L254" i="5"/>
  <c r="H254" i="5"/>
  <c r="D254" i="5"/>
  <c r="K254" i="5"/>
  <c r="C254" i="5"/>
  <c r="J254" i="5"/>
  <c r="B254" i="5"/>
  <c r="G254" i="5"/>
  <c r="F254" i="5"/>
  <c r="I258" i="5"/>
  <c r="E258" i="5"/>
  <c r="L258" i="5"/>
  <c r="H258" i="5"/>
  <c r="D258" i="5"/>
  <c r="K258" i="5"/>
  <c r="C258" i="5"/>
  <c r="J258" i="5"/>
  <c r="B258" i="5"/>
  <c r="G258" i="5"/>
  <c r="F258" i="5"/>
  <c r="I262" i="5"/>
  <c r="E262" i="5"/>
  <c r="L262" i="5"/>
  <c r="H262" i="5"/>
  <c r="D262" i="5"/>
  <c r="K262" i="5"/>
  <c r="C262" i="5"/>
  <c r="J262" i="5"/>
  <c r="B262" i="5"/>
  <c r="G262" i="5"/>
  <c r="F262" i="5"/>
  <c r="I266" i="5"/>
  <c r="E266" i="5"/>
  <c r="L266" i="5"/>
  <c r="H266" i="5"/>
  <c r="D266" i="5"/>
  <c r="K266" i="5"/>
  <c r="C266" i="5"/>
  <c r="J266" i="5"/>
  <c r="B266" i="5"/>
  <c r="G266" i="5"/>
  <c r="F266" i="5"/>
  <c r="J270" i="5"/>
  <c r="I270" i="5"/>
  <c r="E270" i="5"/>
  <c r="H270" i="5"/>
  <c r="D270" i="5"/>
  <c r="L270" i="5"/>
  <c r="C270" i="5"/>
  <c r="K270" i="5"/>
  <c r="B270" i="5"/>
  <c r="G270" i="5"/>
  <c r="F270" i="5"/>
  <c r="J284" i="5"/>
  <c r="F284" i="5"/>
  <c r="B284" i="5"/>
  <c r="L284" i="5"/>
  <c r="G284" i="5"/>
  <c r="K284" i="5"/>
  <c r="E284" i="5"/>
  <c r="D284" i="5"/>
  <c r="C284" i="5"/>
  <c r="I284" i="5"/>
  <c r="H284" i="5"/>
  <c r="K339" i="5"/>
  <c r="G339" i="5"/>
  <c r="C339" i="5"/>
  <c r="J339" i="5"/>
  <c r="E339" i="5"/>
  <c r="I339" i="5"/>
  <c r="D339" i="5"/>
  <c r="F339" i="5"/>
  <c r="H339" i="5"/>
  <c r="B339" i="5"/>
  <c r="L339" i="5"/>
  <c r="J293" i="5"/>
  <c r="F293" i="5"/>
  <c r="B293" i="5"/>
  <c r="I293" i="5"/>
  <c r="E293" i="5"/>
  <c r="H293" i="5"/>
  <c r="G293" i="5"/>
  <c r="D293" i="5"/>
  <c r="C293" i="5"/>
  <c r="L293" i="5"/>
  <c r="K293" i="5"/>
  <c r="J297" i="5"/>
  <c r="F297" i="5"/>
  <c r="B297" i="5"/>
  <c r="I297" i="5"/>
  <c r="E297" i="5"/>
  <c r="H297" i="5"/>
  <c r="G297" i="5"/>
  <c r="D297" i="5"/>
  <c r="C297" i="5"/>
  <c r="L297" i="5"/>
  <c r="K297" i="5"/>
  <c r="J301" i="5"/>
  <c r="F301" i="5"/>
  <c r="B301" i="5"/>
  <c r="I301" i="5"/>
  <c r="E301" i="5"/>
  <c r="H301" i="5"/>
  <c r="G301" i="5"/>
  <c r="D301" i="5"/>
  <c r="C301" i="5"/>
  <c r="L301" i="5"/>
  <c r="K301" i="5"/>
  <c r="J305" i="5"/>
  <c r="F305" i="5"/>
  <c r="B305" i="5"/>
  <c r="I305" i="5"/>
  <c r="E305" i="5"/>
  <c r="H305" i="5"/>
  <c r="G305" i="5"/>
  <c r="D305" i="5"/>
  <c r="C305" i="5"/>
  <c r="L305" i="5"/>
  <c r="K305" i="5"/>
  <c r="K318" i="5"/>
  <c r="G318" i="5"/>
  <c r="C318" i="5"/>
  <c r="H318" i="5"/>
  <c r="B318" i="5"/>
  <c r="L318" i="5"/>
  <c r="F318" i="5"/>
  <c r="J318" i="5"/>
  <c r="I318" i="5"/>
  <c r="E318" i="5"/>
  <c r="D318" i="5"/>
  <c r="K307" i="5"/>
  <c r="G307" i="5"/>
  <c r="C307" i="5"/>
  <c r="L307" i="5"/>
  <c r="F307" i="5"/>
  <c r="J307" i="5"/>
  <c r="E307" i="5"/>
  <c r="D307" i="5"/>
  <c r="B307" i="5"/>
  <c r="I307" i="5"/>
  <c r="H307" i="5"/>
  <c r="K336" i="5"/>
  <c r="G336" i="5"/>
  <c r="C336" i="5"/>
  <c r="I336" i="5"/>
  <c r="D336" i="5"/>
  <c r="H336" i="5"/>
  <c r="B336" i="5"/>
  <c r="J336" i="5"/>
  <c r="L336" i="5"/>
  <c r="F336" i="5"/>
  <c r="E336" i="5"/>
  <c r="K340" i="5"/>
  <c r="G340" i="5"/>
  <c r="C340" i="5"/>
  <c r="I340" i="5"/>
  <c r="D340" i="5"/>
  <c r="H340" i="5"/>
  <c r="B340" i="5"/>
  <c r="F340" i="5"/>
  <c r="J340" i="5"/>
  <c r="E340" i="5"/>
  <c r="K356" i="5"/>
  <c r="G356" i="5"/>
  <c r="C356" i="5"/>
  <c r="I356" i="5"/>
  <c r="D356" i="5"/>
  <c r="H356" i="5"/>
  <c r="B356" i="5"/>
  <c r="L356" i="5"/>
  <c r="F356" i="5"/>
  <c r="J356" i="5"/>
  <c r="E356" i="5"/>
  <c r="J328" i="5"/>
  <c r="F328" i="5"/>
  <c r="B328" i="5"/>
  <c r="I328" i="5"/>
  <c r="E328" i="5"/>
  <c r="K328" i="5"/>
  <c r="C328" i="5"/>
  <c r="H328" i="5"/>
  <c r="G328" i="5"/>
  <c r="D328" i="5"/>
  <c r="K333" i="5"/>
  <c r="G333" i="5"/>
  <c r="C333" i="5"/>
  <c r="H333" i="5"/>
  <c r="B333" i="5"/>
  <c r="L333" i="5"/>
  <c r="F333" i="5"/>
  <c r="D333" i="5"/>
  <c r="I333" i="5"/>
  <c r="E333" i="5"/>
  <c r="J333" i="5"/>
  <c r="K349" i="5"/>
  <c r="G349" i="5"/>
  <c r="C349" i="5"/>
  <c r="H349" i="5"/>
  <c r="B349" i="5"/>
  <c r="L349" i="5"/>
  <c r="F349" i="5"/>
  <c r="J349" i="5"/>
  <c r="E349" i="5"/>
  <c r="I349" i="5"/>
  <c r="D349" i="5"/>
  <c r="K338" i="5"/>
  <c r="G338" i="5"/>
  <c r="C338" i="5"/>
  <c r="L338" i="5"/>
  <c r="F338" i="5"/>
  <c r="J338" i="5"/>
  <c r="E338" i="5"/>
  <c r="H338" i="5"/>
  <c r="D338" i="5"/>
  <c r="B338" i="5"/>
  <c r="I338" i="5"/>
  <c r="K354" i="5"/>
  <c r="G354" i="5"/>
  <c r="C354" i="5"/>
  <c r="L354" i="5"/>
  <c r="F354" i="5"/>
  <c r="J354" i="5"/>
  <c r="E354" i="5"/>
  <c r="I354" i="5"/>
  <c r="D354" i="5"/>
  <c r="H354" i="5"/>
  <c r="B354" i="5"/>
  <c r="AE338" i="2"/>
  <c r="AB332" i="2"/>
  <c r="L340" i="5" s="1"/>
  <c r="AC332" i="2"/>
  <c r="AD332" i="2" s="1"/>
  <c r="AB320" i="2"/>
  <c r="L328" i="5" s="1"/>
  <c r="AC320" i="2"/>
  <c r="AD320" i="2" s="1"/>
  <c r="AE320" i="2" s="1"/>
  <c r="AB304" i="2"/>
  <c r="AC304" i="2"/>
  <c r="AD304" i="2" s="1"/>
  <c r="AE304" i="2" s="1"/>
  <c r="AE302" i="2"/>
  <c r="AE170" i="2"/>
  <c r="G9" i="3"/>
  <c r="AE288" i="2"/>
  <c r="AE120" i="2"/>
  <c r="AB336" i="2"/>
  <c r="AC336" i="2"/>
  <c r="AD336" i="2" s="1"/>
  <c r="AE336" i="2" s="1"/>
  <c r="AE334" i="2"/>
  <c r="AE298" i="2"/>
  <c r="AE325" i="2"/>
  <c r="AB292" i="2"/>
  <c r="L300" i="5" s="1"/>
  <c r="AC292" i="2"/>
  <c r="AD292" i="2" s="1"/>
  <c r="AE292" i="2" s="1"/>
  <c r="L187" i="5"/>
  <c r="H187" i="5"/>
  <c r="D187" i="5"/>
  <c r="J187" i="5"/>
  <c r="E187" i="5"/>
  <c r="I187" i="5"/>
  <c r="C187" i="5"/>
  <c r="G187" i="5"/>
  <c r="F187" i="5"/>
  <c r="B187" i="5"/>
  <c r="K187" i="5"/>
  <c r="L188" i="5"/>
  <c r="H188" i="5"/>
  <c r="D188" i="5"/>
  <c r="I188" i="5"/>
  <c r="C188" i="5"/>
  <c r="G188" i="5"/>
  <c r="B188" i="5"/>
  <c r="F188" i="5"/>
  <c r="E188" i="5"/>
  <c r="K188" i="5"/>
  <c r="J188" i="5"/>
  <c r="L175" i="5"/>
  <c r="H175" i="5"/>
  <c r="D175" i="5"/>
  <c r="J175" i="5"/>
  <c r="E175" i="5"/>
  <c r="I175" i="5"/>
  <c r="C175" i="5"/>
  <c r="B175" i="5"/>
  <c r="K175" i="5"/>
  <c r="G175" i="5"/>
  <c r="F175" i="5"/>
  <c r="I10" i="5"/>
  <c r="E10" i="5"/>
  <c r="L10" i="5"/>
  <c r="H10" i="5"/>
  <c r="D10" i="5"/>
  <c r="G10" i="5"/>
  <c r="K10" i="5"/>
  <c r="B10" i="5"/>
  <c r="J10" i="5"/>
  <c r="F10" i="5"/>
  <c r="C10" i="5"/>
  <c r="I14" i="5"/>
  <c r="E14" i="5"/>
  <c r="L14" i="5"/>
  <c r="H14" i="5"/>
  <c r="D14" i="5"/>
  <c r="G14" i="5"/>
  <c r="F14" i="5"/>
  <c r="C14" i="5"/>
  <c r="K14" i="5"/>
  <c r="B14" i="5"/>
  <c r="J14" i="5"/>
  <c r="I18" i="5"/>
  <c r="E18" i="5"/>
  <c r="L18" i="5"/>
  <c r="H18" i="5"/>
  <c r="D18" i="5"/>
  <c r="G18" i="5"/>
  <c r="K18" i="5"/>
  <c r="B18" i="5"/>
  <c r="J18" i="5"/>
  <c r="F18" i="5"/>
  <c r="C18" i="5"/>
  <c r="I22" i="5"/>
  <c r="E22" i="5"/>
  <c r="L22" i="5"/>
  <c r="H22" i="5"/>
  <c r="D22" i="5"/>
  <c r="G22" i="5"/>
  <c r="F22" i="5"/>
  <c r="C22" i="5"/>
  <c r="K22" i="5"/>
  <c r="B22" i="5"/>
  <c r="J22" i="5"/>
  <c r="I26" i="5"/>
  <c r="E26" i="5"/>
  <c r="L26" i="5"/>
  <c r="H26" i="5"/>
  <c r="D26" i="5"/>
  <c r="G26" i="5"/>
  <c r="K26" i="5"/>
  <c r="B26" i="5"/>
  <c r="J26" i="5"/>
  <c r="F26" i="5"/>
  <c r="C26" i="5"/>
  <c r="I30" i="5"/>
  <c r="E30" i="5"/>
  <c r="L30" i="5"/>
  <c r="H30" i="5"/>
  <c r="D30" i="5"/>
  <c r="G30" i="5"/>
  <c r="F30" i="5"/>
  <c r="C30" i="5"/>
  <c r="K30" i="5"/>
  <c r="B30" i="5"/>
  <c r="J30" i="5"/>
  <c r="I34" i="5"/>
  <c r="E34" i="5"/>
  <c r="L34" i="5"/>
  <c r="H34" i="5"/>
  <c r="D34" i="5"/>
  <c r="G34" i="5"/>
  <c r="K34" i="5"/>
  <c r="B34" i="5"/>
  <c r="J34" i="5"/>
  <c r="F34" i="5"/>
  <c r="C34" i="5"/>
  <c r="I38" i="5"/>
  <c r="E38" i="5"/>
  <c r="L38" i="5"/>
  <c r="H38" i="5"/>
  <c r="D38" i="5"/>
  <c r="G38" i="5"/>
  <c r="F38" i="5"/>
  <c r="C38" i="5"/>
  <c r="K38" i="5"/>
  <c r="B38" i="5"/>
  <c r="J38" i="5"/>
  <c r="I42" i="5"/>
  <c r="E42" i="5"/>
  <c r="L42" i="5"/>
  <c r="H42" i="5"/>
  <c r="D42" i="5"/>
  <c r="G42" i="5"/>
  <c r="K42" i="5"/>
  <c r="B42" i="5"/>
  <c r="J42" i="5"/>
  <c r="F42" i="5"/>
  <c r="C42" i="5"/>
  <c r="I46" i="5"/>
  <c r="E46" i="5"/>
  <c r="L46" i="5"/>
  <c r="H46" i="5"/>
  <c r="D46" i="5"/>
  <c r="G46" i="5"/>
  <c r="F46" i="5"/>
  <c r="C46" i="5"/>
  <c r="K46" i="5"/>
  <c r="B46" i="5"/>
  <c r="J46" i="5"/>
  <c r="I50" i="5"/>
  <c r="E50" i="5"/>
  <c r="L50" i="5"/>
  <c r="H50" i="5"/>
  <c r="D50" i="5"/>
  <c r="G50" i="5"/>
  <c r="K50" i="5"/>
  <c r="B50" i="5"/>
  <c r="J50" i="5"/>
  <c r="F50" i="5"/>
  <c r="C50" i="5"/>
  <c r="I54" i="5"/>
  <c r="E54" i="5"/>
  <c r="L54" i="5"/>
  <c r="H54" i="5"/>
  <c r="D54" i="5"/>
  <c r="G54" i="5"/>
  <c r="F54" i="5"/>
  <c r="C54" i="5"/>
  <c r="K54" i="5"/>
  <c r="B54" i="5"/>
  <c r="J54" i="5"/>
  <c r="I58" i="5"/>
  <c r="E58" i="5"/>
  <c r="L58" i="5"/>
  <c r="H58" i="5"/>
  <c r="D58" i="5"/>
  <c r="G58" i="5"/>
  <c r="K58" i="5"/>
  <c r="B58" i="5"/>
  <c r="J58" i="5"/>
  <c r="F58" i="5"/>
  <c r="C58" i="5"/>
  <c r="I62" i="5"/>
  <c r="E62" i="5"/>
  <c r="L62" i="5"/>
  <c r="H62" i="5"/>
  <c r="D62" i="5"/>
  <c r="G62" i="5"/>
  <c r="F62" i="5"/>
  <c r="C62" i="5"/>
  <c r="K62" i="5"/>
  <c r="B62" i="5"/>
  <c r="J62" i="5"/>
  <c r="I66" i="5"/>
  <c r="E66" i="5"/>
  <c r="L66" i="5"/>
  <c r="H66" i="5"/>
  <c r="D66" i="5"/>
  <c r="G66" i="5"/>
  <c r="K66" i="5"/>
  <c r="B66" i="5"/>
  <c r="J66" i="5"/>
  <c r="F66" i="5"/>
  <c r="C66" i="5"/>
  <c r="I70" i="5"/>
  <c r="E70" i="5"/>
  <c r="L70" i="5"/>
  <c r="H70" i="5"/>
  <c r="D70" i="5"/>
  <c r="G70" i="5"/>
  <c r="F70" i="5"/>
  <c r="C70" i="5"/>
  <c r="K70" i="5"/>
  <c r="B70" i="5"/>
  <c r="J70" i="5"/>
  <c r="I74" i="5"/>
  <c r="E74" i="5"/>
  <c r="L74" i="5"/>
  <c r="H74" i="5"/>
  <c r="D74" i="5"/>
  <c r="G74" i="5"/>
  <c r="K74" i="5"/>
  <c r="B74" i="5"/>
  <c r="J74" i="5"/>
  <c r="F74" i="5"/>
  <c r="C74" i="5"/>
  <c r="I78" i="5"/>
  <c r="E78" i="5"/>
  <c r="L78" i="5"/>
  <c r="H78" i="5"/>
  <c r="D78" i="5"/>
  <c r="G78" i="5"/>
  <c r="F78" i="5"/>
  <c r="C78" i="5"/>
  <c r="K78" i="5"/>
  <c r="B78" i="5"/>
  <c r="J78" i="5"/>
  <c r="I82" i="5"/>
  <c r="E82" i="5"/>
  <c r="L82" i="5"/>
  <c r="H82" i="5"/>
  <c r="D82" i="5"/>
  <c r="G82" i="5"/>
  <c r="K82" i="5"/>
  <c r="B82" i="5"/>
  <c r="J82" i="5"/>
  <c r="F82" i="5"/>
  <c r="C82" i="5"/>
  <c r="I86" i="5"/>
  <c r="E86" i="5"/>
  <c r="L86" i="5"/>
  <c r="H86" i="5"/>
  <c r="D86" i="5"/>
  <c r="G86" i="5"/>
  <c r="F86" i="5"/>
  <c r="C86" i="5"/>
  <c r="K86" i="5"/>
  <c r="B86" i="5"/>
  <c r="J86" i="5"/>
  <c r="I90" i="5"/>
  <c r="E90" i="5"/>
  <c r="L90" i="5"/>
  <c r="H90" i="5"/>
  <c r="D90" i="5"/>
  <c r="G90" i="5"/>
  <c r="K90" i="5"/>
  <c r="B90" i="5"/>
  <c r="J90" i="5"/>
  <c r="F90" i="5"/>
  <c r="C90" i="5"/>
  <c r="I94" i="5"/>
  <c r="E94" i="5"/>
  <c r="L94" i="5"/>
  <c r="H94" i="5"/>
  <c r="D94" i="5"/>
  <c r="G94" i="5"/>
  <c r="F94" i="5"/>
  <c r="C94" i="5"/>
  <c r="K94" i="5"/>
  <c r="B94" i="5"/>
  <c r="J94" i="5"/>
  <c r="L176" i="5"/>
  <c r="H176" i="5"/>
  <c r="D176" i="5"/>
  <c r="I176" i="5"/>
  <c r="C176" i="5"/>
  <c r="G176" i="5"/>
  <c r="B176" i="5"/>
  <c r="K176" i="5"/>
  <c r="J176" i="5"/>
  <c r="F176" i="5"/>
  <c r="E176" i="5"/>
  <c r="J324" i="5"/>
  <c r="F324" i="5"/>
  <c r="B324" i="5"/>
  <c r="I324" i="5"/>
  <c r="K324" i="5"/>
  <c r="D324" i="5"/>
  <c r="E324" i="5"/>
  <c r="L324" i="5"/>
  <c r="C324" i="5"/>
  <c r="H324" i="5"/>
  <c r="G324" i="5"/>
  <c r="I100" i="5"/>
  <c r="E100" i="5"/>
  <c r="K100" i="5"/>
  <c r="F100" i="5"/>
  <c r="J100" i="5"/>
  <c r="D100" i="5"/>
  <c r="C100" i="5"/>
  <c r="L100" i="5"/>
  <c r="H100" i="5"/>
  <c r="G100" i="5"/>
  <c r="B100" i="5"/>
  <c r="I104" i="5"/>
  <c r="E104" i="5"/>
  <c r="K104" i="5"/>
  <c r="F104" i="5"/>
  <c r="J104" i="5"/>
  <c r="D104" i="5"/>
  <c r="H104" i="5"/>
  <c r="G104" i="5"/>
  <c r="C104" i="5"/>
  <c r="B104" i="5"/>
  <c r="L104" i="5"/>
  <c r="I108" i="5"/>
  <c r="E108" i="5"/>
  <c r="K108" i="5"/>
  <c r="F108" i="5"/>
  <c r="J108" i="5"/>
  <c r="D108" i="5"/>
  <c r="C108" i="5"/>
  <c r="B108" i="5"/>
  <c r="L108" i="5"/>
  <c r="H108" i="5"/>
  <c r="G108" i="5"/>
  <c r="I112" i="5"/>
  <c r="E112" i="5"/>
  <c r="K112" i="5"/>
  <c r="F112" i="5"/>
  <c r="J112" i="5"/>
  <c r="D112" i="5"/>
  <c r="H112" i="5"/>
  <c r="L112" i="5"/>
  <c r="G112" i="5"/>
  <c r="C112" i="5"/>
  <c r="B112" i="5"/>
  <c r="J116" i="5"/>
  <c r="F116" i="5"/>
  <c r="B116" i="5"/>
  <c r="I116" i="5"/>
  <c r="E116" i="5"/>
  <c r="H116" i="5"/>
  <c r="G116" i="5"/>
  <c r="L116" i="5"/>
  <c r="D116" i="5"/>
  <c r="K116" i="5"/>
  <c r="C116" i="5"/>
  <c r="J120" i="5"/>
  <c r="F120" i="5"/>
  <c r="B120" i="5"/>
  <c r="I120" i="5"/>
  <c r="E120" i="5"/>
  <c r="H120" i="5"/>
  <c r="G120" i="5"/>
  <c r="L120" i="5"/>
  <c r="D120" i="5"/>
  <c r="K120" i="5"/>
  <c r="C120" i="5"/>
  <c r="J124" i="5"/>
  <c r="F124" i="5"/>
  <c r="B124" i="5"/>
  <c r="I124" i="5"/>
  <c r="E124" i="5"/>
  <c r="H124" i="5"/>
  <c r="G124" i="5"/>
  <c r="L124" i="5"/>
  <c r="D124" i="5"/>
  <c r="K124" i="5"/>
  <c r="C124" i="5"/>
  <c r="J128" i="5"/>
  <c r="F128" i="5"/>
  <c r="B128" i="5"/>
  <c r="I128" i="5"/>
  <c r="E128" i="5"/>
  <c r="H128" i="5"/>
  <c r="G128" i="5"/>
  <c r="L128" i="5"/>
  <c r="D128" i="5"/>
  <c r="K128" i="5"/>
  <c r="C128" i="5"/>
  <c r="J132" i="5"/>
  <c r="F132" i="5"/>
  <c r="B132" i="5"/>
  <c r="I132" i="5"/>
  <c r="E132" i="5"/>
  <c r="H132" i="5"/>
  <c r="G132" i="5"/>
  <c r="L132" i="5"/>
  <c r="D132" i="5"/>
  <c r="K132" i="5"/>
  <c r="C132" i="5"/>
  <c r="J136" i="5"/>
  <c r="F136" i="5"/>
  <c r="B136" i="5"/>
  <c r="I136" i="5"/>
  <c r="E136" i="5"/>
  <c r="H136" i="5"/>
  <c r="G136" i="5"/>
  <c r="L136" i="5"/>
  <c r="D136" i="5"/>
  <c r="K136" i="5"/>
  <c r="C136" i="5"/>
  <c r="J140" i="5"/>
  <c r="F140" i="5"/>
  <c r="B140" i="5"/>
  <c r="I140" i="5"/>
  <c r="E140" i="5"/>
  <c r="H140" i="5"/>
  <c r="G140" i="5"/>
  <c r="L140" i="5"/>
  <c r="D140" i="5"/>
  <c r="K140" i="5"/>
  <c r="C140" i="5"/>
  <c r="J144" i="5"/>
  <c r="F144" i="5"/>
  <c r="B144" i="5"/>
  <c r="I144" i="5"/>
  <c r="E144" i="5"/>
  <c r="H144" i="5"/>
  <c r="G144" i="5"/>
  <c r="L144" i="5"/>
  <c r="D144" i="5"/>
  <c r="C144" i="5"/>
  <c r="K144" i="5"/>
  <c r="J148" i="5"/>
  <c r="F148" i="5"/>
  <c r="B148" i="5"/>
  <c r="I148" i="5"/>
  <c r="E148" i="5"/>
  <c r="H148" i="5"/>
  <c r="G148" i="5"/>
  <c r="L148" i="5"/>
  <c r="D148" i="5"/>
  <c r="K148" i="5"/>
  <c r="C148" i="5"/>
  <c r="J152" i="5"/>
  <c r="F152" i="5"/>
  <c r="B152" i="5"/>
  <c r="I152" i="5"/>
  <c r="E152" i="5"/>
  <c r="H152" i="5"/>
  <c r="G152" i="5"/>
  <c r="L152" i="5"/>
  <c r="D152" i="5"/>
  <c r="K152" i="5"/>
  <c r="C152" i="5"/>
  <c r="J156" i="5"/>
  <c r="F156" i="5"/>
  <c r="B156" i="5"/>
  <c r="I156" i="5"/>
  <c r="E156" i="5"/>
  <c r="H156" i="5"/>
  <c r="G156" i="5"/>
  <c r="L156" i="5"/>
  <c r="D156" i="5"/>
  <c r="K156" i="5"/>
  <c r="C156" i="5"/>
  <c r="J160" i="5"/>
  <c r="F160" i="5"/>
  <c r="B160" i="5"/>
  <c r="I160" i="5"/>
  <c r="E160" i="5"/>
  <c r="H160" i="5"/>
  <c r="G160" i="5"/>
  <c r="L160" i="5"/>
  <c r="D160" i="5"/>
  <c r="K160" i="5"/>
  <c r="C160" i="5"/>
  <c r="L169" i="5"/>
  <c r="H169" i="5"/>
  <c r="D169" i="5"/>
  <c r="G169" i="5"/>
  <c r="B169" i="5"/>
  <c r="K169" i="5"/>
  <c r="F169" i="5"/>
  <c r="J169" i="5"/>
  <c r="I169" i="5"/>
  <c r="E169" i="5"/>
  <c r="C169" i="5"/>
  <c r="L185" i="5"/>
  <c r="H185" i="5"/>
  <c r="D185" i="5"/>
  <c r="G185" i="5"/>
  <c r="B185" i="5"/>
  <c r="K185" i="5"/>
  <c r="F185" i="5"/>
  <c r="J185" i="5"/>
  <c r="I185" i="5"/>
  <c r="E185" i="5"/>
  <c r="C185" i="5"/>
  <c r="J289" i="5"/>
  <c r="F289" i="5"/>
  <c r="B289" i="5"/>
  <c r="K289" i="5"/>
  <c r="E289" i="5"/>
  <c r="I289" i="5"/>
  <c r="D289" i="5"/>
  <c r="H289" i="5"/>
  <c r="G289" i="5"/>
  <c r="C289" i="5"/>
  <c r="L289" i="5"/>
  <c r="L178" i="5"/>
  <c r="H178" i="5"/>
  <c r="D178" i="5"/>
  <c r="K178" i="5"/>
  <c r="F178" i="5"/>
  <c r="J178" i="5"/>
  <c r="E178" i="5"/>
  <c r="I178" i="5"/>
  <c r="G178" i="5"/>
  <c r="C178" i="5"/>
  <c r="B178" i="5"/>
  <c r="L249" i="5"/>
  <c r="H249" i="5"/>
  <c r="D249" i="5"/>
  <c r="I249" i="5"/>
  <c r="C249" i="5"/>
  <c r="G249" i="5"/>
  <c r="B249" i="5"/>
  <c r="K249" i="5"/>
  <c r="J249" i="5"/>
  <c r="F249" i="5"/>
  <c r="E249" i="5"/>
  <c r="K312" i="5"/>
  <c r="G312" i="5"/>
  <c r="C312" i="5"/>
  <c r="J312" i="5"/>
  <c r="E312" i="5"/>
  <c r="I312" i="5"/>
  <c r="D312" i="5"/>
  <c r="H312" i="5"/>
  <c r="F312" i="5"/>
  <c r="B312" i="5"/>
  <c r="L312" i="5"/>
  <c r="I196" i="5"/>
  <c r="E196" i="5"/>
  <c r="L196" i="5"/>
  <c r="H196" i="5"/>
  <c r="D196" i="5"/>
  <c r="G196" i="5"/>
  <c r="F196" i="5"/>
  <c r="K196" i="5"/>
  <c r="J196" i="5"/>
  <c r="C196" i="5"/>
  <c r="B196" i="5"/>
  <c r="I200" i="5"/>
  <c r="E200" i="5"/>
  <c r="L200" i="5"/>
  <c r="H200" i="5"/>
  <c r="D200" i="5"/>
  <c r="G200" i="5"/>
  <c r="F200" i="5"/>
  <c r="K200" i="5"/>
  <c r="J200" i="5"/>
  <c r="C200" i="5"/>
  <c r="B200" i="5"/>
  <c r="I204" i="5"/>
  <c r="E204" i="5"/>
  <c r="L204" i="5"/>
  <c r="H204" i="5"/>
  <c r="D204" i="5"/>
  <c r="G204" i="5"/>
  <c r="F204" i="5"/>
  <c r="K204" i="5"/>
  <c r="J204" i="5"/>
  <c r="C204" i="5"/>
  <c r="B204" i="5"/>
  <c r="I208" i="5"/>
  <c r="E208" i="5"/>
  <c r="L208" i="5"/>
  <c r="H208" i="5"/>
  <c r="D208" i="5"/>
  <c r="G208" i="5"/>
  <c r="F208" i="5"/>
  <c r="K208" i="5"/>
  <c r="J208" i="5"/>
  <c r="C208" i="5"/>
  <c r="B208" i="5"/>
  <c r="I212" i="5"/>
  <c r="E212" i="5"/>
  <c r="L212" i="5"/>
  <c r="H212" i="5"/>
  <c r="D212" i="5"/>
  <c r="G212" i="5"/>
  <c r="F212" i="5"/>
  <c r="K212" i="5"/>
  <c r="J212" i="5"/>
  <c r="C212" i="5"/>
  <c r="B212" i="5"/>
  <c r="I216" i="5"/>
  <c r="E216" i="5"/>
  <c r="L216" i="5"/>
  <c r="H216" i="5"/>
  <c r="D216" i="5"/>
  <c r="G216" i="5"/>
  <c r="F216" i="5"/>
  <c r="K216" i="5"/>
  <c r="J216" i="5"/>
  <c r="C216" i="5"/>
  <c r="B216" i="5"/>
  <c r="I220" i="5"/>
  <c r="E220" i="5"/>
  <c r="L220" i="5"/>
  <c r="H220" i="5"/>
  <c r="D220" i="5"/>
  <c r="G220" i="5"/>
  <c r="F220" i="5"/>
  <c r="K220" i="5"/>
  <c r="J220" i="5"/>
  <c r="C220" i="5"/>
  <c r="B220" i="5"/>
  <c r="I224" i="5"/>
  <c r="E224" i="5"/>
  <c r="L224" i="5"/>
  <c r="H224" i="5"/>
  <c r="D224" i="5"/>
  <c r="G224" i="5"/>
  <c r="F224" i="5"/>
  <c r="K224" i="5"/>
  <c r="J224" i="5"/>
  <c r="C224" i="5"/>
  <c r="B224" i="5"/>
  <c r="I228" i="5"/>
  <c r="E228" i="5"/>
  <c r="L228" i="5"/>
  <c r="H228" i="5"/>
  <c r="D228" i="5"/>
  <c r="G228" i="5"/>
  <c r="F228" i="5"/>
  <c r="K228" i="5"/>
  <c r="J228" i="5"/>
  <c r="C228" i="5"/>
  <c r="B228" i="5"/>
  <c r="I232" i="5"/>
  <c r="E232" i="5"/>
  <c r="L232" i="5"/>
  <c r="H232" i="5"/>
  <c r="D232" i="5"/>
  <c r="G232" i="5"/>
  <c r="F232" i="5"/>
  <c r="K232" i="5"/>
  <c r="J232" i="5"/>
  <c r="C232" i="5"/>
  <c r="B232" i="5"/>
  <c r="I236" i="5"/>
  <c r="E236" i="5"/>
  <c r="L236" i="5"/>
  <c r="H236" i="5"/>
  <c r="D236" i="5"/>
  <c r="G236" i="5"/>
  <c r="F236" i="5"/>
  <c r="K236" i="5"/>
  <c r="J236" i="5"/>
  <c r="C236" i="5"/>
  <c r="B236" i="5"/>
  <c r="I240" i="5"/>
  <c r="E240" i="5"/>
  <c r="L240" i="5"/>
  <c r="H240" i="5"/>
  <c r="D240" i="5"/>
  <c r="G240" i="5"/>
  <c r="F240" i="5"/>
  <c r="K240" i="5"/>
  <c r="J240" i="5"/>
  <c r="C240" i="5"/>
  <c r="B240" i="5"/>
  <c r="I244" i="5"/>
  <c r="E244" i="5"/>
  <c r="L244" i="5"/>
  <c r="H244" i="5"/>
  <c r="D244" i="5"/>
  <c r="G244" i="5"/>
  <c r="F244" i="5"/>
  <c r="K244" i="5"/>
  <c r="J244" i="5"/>
  <c r="C244" i="5"/>
  <c r="B244" i="5"/>
  <c r="J278" i="5"/>
  <c r="F278" i="5"/>
  <c r="B278" i="5"/>
  <c r="I278" i="5"/>
  <c r="D278" i="5"/>
  <c r="H278" i="5"/>
  <c r="C278" i="5"/>
  <c r="L278" i="5"/>
  <c r="K278" i="5"/>
  <c r="G278" i="5"/>
  <c r="E278" i="5"/>
  <c r="J275" i="5"/>
  <c r="F275" i="5"/>
  <c r="B275" i="5"/>
  <c r="H275" i="5"/>
  <c r="C275" i="5"/>
  <c r="L275" i="5"/>
  <c r="G275" i="5"/>
  <c r="E275" i="5"/>
  <c r="D275" i="5"/>
  <c r="K275" i="5"/>
  <c r="I275" i="5"/>
  <c r="K308" i="5"/>
  <c r="G308" i="5"/>
  <c r="C308" i="5"/>
  <c r="J308" i="5"/>
  <c r="E308" i="5"/>
  <c r="I308" i="5"/>
  <c r="D308" i="5"/>
  <c r="B308" i="5"/>
  <c r="L308" i="5"/>
  <c r="H308" i="5"/>
  <c r="F308" i="5"/>
  <c r="I251" i="5"/>
  <c r="E251" i="5"/>
  <c r="L251" i="5"/>
  <c r="H251" i="5"/>
  <c r="D251" i="5"/>
  <c r="G251" i="5"/>
  <c r="F251" i="5"/>
  <c r="C251" i="5"/>
  <c r="B251" i="5"/>
  <c r="K251" i="5"/>
  <c r="J251" i="5"/>
  <c r="I255" i="5"/>
  <c r="E255" i="5"/>
  <c r="L255" i="5"/>
  <c r="H255" i="5"/>
  <c r="D255" i="5"/>
  <c r="G255" i="5"/>
  <c r="F255" i="5"/>
  <c r="C255" i="5"/>
  <c r="B255" i="5"/>
  <c r="K255" i="5"/>
  <c r="J255" i="5"/>
  <c r="I259" i="5"/>
  <c r="E259" i="5"/>
  <c r="L259" i="5"/>
  <c r="H259" i="5"/>
  <c r="D259" i="5"/>
  <c r="G259" i="5"/>
  <c r="F259" i="5"/>
  <c r="C259" i="5"/>
  <c r="B259" i="5"/>
  <c r="K259" i="5"/>
  <c r="J259" i="5"/>
  <c r="I263" i="5"/>
  <c r="E263" i="5"/>
  <c r="L263" i="5"/>
  <c r="H263" i="5"/>
  <c r="D263" i="5"/>
  <c r="G263" i="5"/>
  <c r="F263" i="5"/>
  <c r="C263" i="5"/>
  <c r="B263" i="5"/>
  <c r="K263" i="5"/>
  <c r="J263" i="5"/>
  <c r="I267" i="5"/>
  <c r="E267" i="5"/>
  <c r="L267" i="5"/>
  <c r="H267" i="5"/>
  <c r="D267" i="5"/>
  <c r="G267" i="5"/>
  <c r="F267" i="5"/>
  <c r="C267" i="5"/>
  <c r="B267" i="5"/>
  <c r="K267" i="5"/>
  <c r="J267" i="5"/>
  <c r="J272" i="5"/>
  <c r="F272" i="5"/>
  <c r="B272" i="5"/>
  <c r="L272" i="5"/>
  <c r="G272" i="5"/>
  <c r="K272" i="5"/>
  <c r="E272" i="5"/>
  <c r="I272" i="5"/>
  <c r="H272" i="5"/>
  <c r="D272" i="5"/>
  <c r="C272" i="5"/>
  <c r="J288" i="5"/>
  <c r="F288" i="5"/>
  <c r="B288" i="5"/>
  <c r="L288" i="5"/>
  <c r="G288" i="5"/>
  <c r="K288" i="5"/>
  <c r="E288" i="5"/>
  <c r="I288" i="5"/>
  <c r="H288" i="5"/>
  <c r="D288" i="5"/>
  <c r="C288" i="5"/>
  <c r="K343" i="5"/>
  <c r="G343" i="5"/>
  <c r="C343" i="5"/>
  <c r="J343" i="5"/>
  <c r="E343" i="5"/>
  <c r="I343" i="5"/>
  <c r="D343" i="5"/>
  <c r="H343" i="5"/>
  <c r="B343" i="5"/>
  <c r="L343" i="5"/>
  <c r="F343" i="5"/>
  <c r="J294" i="5"/>
  <c r="F294" i="5"/>
  <c r="B294" i="5"/>
  <c r="I294" i="5"/>
  <c r="E294" i="5"/>
  <c r="L294" i="5"/>
  <c r="D294" i="5"/>
  <c r="K294" i="5"/>
  <c r="C294" i="5"/>
  <c r="H294" i="5"/>
  <c r="G294" i="5"/>
  <c r="J298" i="5"/>
  <c r="F298" i="5"/>
  <c r="B298" i="5"/>
  <c r="I298" i="5"/>
  <c r="E298" i="5"/>
  <c r="L298" i="5"/>
  <c r="D298" i="5"/>
  <c r="K298" i="5"/>
  <c r="C298" i="5"/>
  <c r="H298" i="5"/>
  <c r="G298" i="5"/>
  <c r="J302" i="5"/>
  <c r="F302" i="5"/>
  <c r="B302" i="5"/>
  <c r="I302" i="5"/>
  <c r="E302" i="5"/>
  <c r="L302" i="5"/>
  <c r="D302" i="5"/>
  <c r="K302" i="5"/>
  <c r="C302" i="5"/>
  <c r="H302" i="5"/>
  <c r="G302" i="5"/>
  <c r="K306" i="5"/>
  <c r="G306" i="5"/>
  <c r="C306" i="5"/>
  <c r="H306" i="5"/>
  <c r="B306" i="5"/>
  <c r="L306" i="5"/>
  <c r="F306" i="5"/>
  <c r="E306" i="5"/>
  <c r="D306" i="5"/>
  <c r="J306" i="5"/>
  <c r="I306" i="5"/>
  <c r="J322" i="5"/>
  <c r="L322" i="5"/>
  <c r="G322" i="5"/>
  <c r="C322" i="5"/>
  <c r="H322" i="5"/>
  <c r="B322" i="5"/>
  <c r="F322" i="5"/>
  <c r="E322" i="5"/>
  <c r="D322" i="5"/>
  <c r="K322" i="5"/>
  <c r="I322" i="5"/>
  <c r="K311" i="5"/>
  <c r="G311" i="5"/>
  <c r="C311" i="5"/>
  <c r="L311" i="5"/>
  <c r="F311" i="5"/>
  <c r="J311" i="5"/>
  <c r="E311" i="5"/>
  <c r="I311" i="5"/>
  <c r="H311" i="5"/>
  <c r="D311" i="5"/>
  <c r="B311" i="5"/>
  <c r="K351" i="5"/>
  <c r="G351" i="5"/>
  <c r="C351" i="5"/>
  <c r="J351" i="5"/>
  <c r="E351" i="5"/>
  <c r="I351" i="5"/>
  <c r="D351" i="5"/>
  <c r="H351" i="5"/>
  <c r="B351" i="5"/>
  <c r="F351" i="5"/>
  <c r="L351" i="5"/>
  <c r="K344" i="5"/>
  <c r="G344" i="5"/>
  <c r="C344" i="5"/>
  <c r="I344" i="5"/>
  <c r="D344" i="5"/>
  <c r="H344" i="5"/>
  <c r="B344" i="5"/>
  <c r="L344" i="5"/>
  <c r="F344" i="5"/>
  <c r="E344" i="5"/>
  <c r="J344" i="5"/>
  <c r="J325" i="5"/>
  <c r="F325" i="5"/>
  <c r="B325" i="5"/>
  <c r="I325" i="5"/>
  <c r="E325" i="5"/>
  <c r="G325" i="5"/>
  <c r="L325" i="5"/>
  <c r="C325" i="5"/>
  <c r="K325" i="5"/>
  <c r="H325" i="5"/>
  <c r="D325" i="5"/>
  <c r="J329" i="5"/>
  <c r="F329" i="5"/>
  <c r="B329" i="5"/>
  <c r="I329" i="5"/>
  <c r="E329" i="5"/>
  <c r="G329" i="5"/>
  <c r="H329" i="5"/>
  <c r="D329" i="5"/>
  <c r="L329" i="5"/>
  <c r="K329" i="5"/>
  <c r="C329" i="5"/>
  <c r="K337" i="5"/>
  <c r="G337" i="5"/>
  <c r="C337" i="5"/>
  <c r="H337" i="5"/>
  <c r="B337" i="5"/>
  <c r="L337" i="5"/>
  <c r="F337" i="5"/>
  <c r="I337" i="5"/>
  <c r="D337" i="5"/>
  <c r="J337" i="5"/>
  <c r="E337" i="5"/>
  <c r="K353" i="5"/>
  <c r="G353" i="5"/>
  <c r="C353" i="5"/>
  <c r="H353" i="5"/>
  <c r="B353" i="5"/>
  <c r="L353" i="5"/>
  <c r="F353" i="5"/>
  <c r="J353" i="5"/>
  <c r="E353" i="5"/>
  <c r="D353" i="5"/>
  <c r="I353" i="5"/>
  <c r="K342" i="5"/>
  <c r="G342" i="5"/>
  <c r="C342" i="5"/>
  <c r="L342" i="5"/>
  <c r="F342" i="5"/>
  <c r="J342" i="5"/>
  <c r="E342" i="5"/>
  <c r="I342" i="5"/>
  <c r="D342" i="5"/>
  <c r="H342" i="5"/>
  <c r="B342" i="5"/>
  <c r="K358" i="5"/>
  <c r="G358" i="5"/>
  <c r="C358" i="5"/>
  <c r="L358" i="5"/>
  <c r="F358" i="5"/>
  <c r="J358" i="5"/>
  <c r="E358" i="5"/>
  <c r="I358" i="5"/>
  <c r="D358" i="5"/>
  <c r="H358" i="5"/>
  <c r="B358" i="5"/>
  <c r="AE176" i="2"/>
  <c r="AE326" i="2"/>
  <c r="AE311" i="2"/>
  <c r="AE130" i="2" l="1"/>
  <c r="AE290" i="2"/>
  <c r="AE297" i="2"/>
  <c r="C284" i="3"/>
  <c r="C348" i="3"/>
  <c r="I229" i="3"/>
  <c r="B308" i="3"/>
  <c r="B220" i="3"/>
  <c r="F264" i="3"/>
  <c r="D295" i="3"/>
  <c r="B325" i="3"/>
  <c r="G351" i="3"/>
  <c r="F219" i="3"/>
  <c r="H244" i="3"/>
  <c r="C271" i="3"/>
  <c r="C301" i="3"/>
  <c r="C333" i="3"/>
  <c r="I363" i="3"/>
  <c r="D212" i="3"/>
  <c r="F230" i="3"/>
  <c r="I248" i="3"/>
  <c r="B267" i="3"/>
  <c r="B289" i="3"/>
  <c r="D309" i="3"/>
  <c r="H339" i="3"/>
  <c r="F314" i="3"/>
  <c r="H261" i="3"/>
  <c r="C318" i="3"/>
  <c r="G245" i="3"/>
  <c r="F279" i="3"/>
  <c r="F209" i="3"/>
  <c r="I271" i="3"/>
  <c r="D322" i="3"/>
  <c r="AE134" i="2"/>
  <c r="AE166" i="2"/>
  <c r="I348" i="3"/>
  <c r="I237" i="3"/>
  <c r="G208" i="3"/>
  <c r="B232" i="3"/>
  <c r="G295" i="3"/>
  <c r="G359" i="3"/>
  <c r="C227" i="3"/>
  <c r="F271" i="3"/>
  <c r="I341" i="3"/>
  <c r="H218" i="3"/>
  <c r="D254" i="3"/>
  <c r="E295" i="3"/>
  <c r="D339" i="3"/>
  <c r="D363" i="3"/>
  <c r="B336" i="3"/>
  <c r="D350" i="3"/>
  <c r="H225" i="3"/>
  <c r="F352" i="3"/>
  <c r="C262" i="3"/>
  <c r="G217" i="3"/>
  <c r="E207" i="3"/>
  <c r="B286" i="3"/>
  <c r="C321" i="3"/>
  <c r="H356" i="3"/>
  <c r="AE148" i="2"/>
  <c r="AE251" i="2"/>
  <c r="AE277" i="2"/>
  <c r="E241" i="3"/>
  <c r="I339" i="3"/>
  <c r="D291" i="3"/>
  <c r="H255" i="3"/>
  <c r="F214" i="3"/>
  <c r="C344" i="3"/>
  <c r="C280" i="3"/>
  <c r="H228" i="3"/>
  <c r="B357" i="3"/>
  <c r="F301" i="3"/>
  <c r="F216" i="3"/>
  <c r="I261" i="3"/>
  <c r="E348" i="3"/>
  <c r="E363" i="3"/>
  <c r="E209" i="3"/>
  <c r="F337" i="3"/>
  <c r="B297" i="3"/>
  <c r="B251" i="3"/>
  <c r="B219" i="3"/>
  <c r="B171" i="3"/>
  <c r="C336" i="3"/>
  <c r="H275" i="3"/>
  <c r="C223" i="3"/>
  <c r="E349" i="3"/>
  <c r="B293" i="3"/>
  <c r="G224" i="3"/>
  <c r="E332" i="3"/>
  <c r="AE136" i="2"/>
  <c r="AE313" i="2"/>
  <c r="C300" i="3"/>
  <c r="H284" i="3"/>
  <c r="B324" i="3"/>
  <c r="F232" i="3"/>
  <c r="G272" i="3"/>
  <c r="H303" i="3"/>
  <c r="F333" i="3"/>
  <c r="D359" i="3"/>
  <c r="G227" i="3"/>
  <c r="F251" i="3"/>
  <c r="C277" i="3"/>
  <c r="C309" i="3"/>
  <c r="C341" i="3"/>
  <c r="I216" i="3"/>
  <c r="B235" i="3"/>
  <c r="H254" i="3"/>
  <c r="H271" i="3"/>
  <c r="D293" i="3"/>
  <c r="D315" i="3"/>
  <c r="D349" i="3"/>
  <c r="I290" i="3"/>
  <c r="F282" i="3"/>
  <c r="D358" i="3"/>
  <c r="E250" i="3"/>
  <c r="E291" i="3"/>
  <c r="B233" i="3"/>
  <c r="I243" i="3"/>
  <c r="I239" i="3"/>
  <c r="B278" i="3"/>
  <c r="AE267" i="2"/>
  <c r="AE158" i="2"/>
  <c r="AE213" i="2"/>
  <c r="G361" i="3"/>
  <c r="F299" i="3"/>
  <c r="F244" i="3"/>
  <c r="H311" i="3"/>
  <c r="F239" i="3"/>
  <c r="I285" i="3"/>
  <c r="I357" i="3"/>
  <c r="F226" i="3"/>
  <c r="B263" i="3"/>
  <c r="E305" i="3"/>
  <c r="E351" i="3"/>
  <c r="E261" i="3"/>
  <c r="AE97" i="2"/>
  <c r="C282" i="3"/>
  <c r="H306" i="3"/>
  <c r="C205" i="3"/>
  <c r="C326" i="3"/>
  <c r="G249" i="3"/>
  <c r="C329" i="3"/>
  <c r="F205" i="3"/>
  <c r="F265" i="3"/>
  <c r="I313" i="3"/>
  <c r="AE16" i="2"/>
  <c r="AE232" i="2"/>
  <c r="AE221" i="2"/>
  <c r="E346" i="3"/>
  <c r="H329" i="3"/>
  <c r="D285" i="3"/>
  <c r="D242" i="3"/>
  <c r="C328" i="3"/>
  <c r="F267" i="3"/>
  <c r="C216" i="3"/>
  <c r="H341" i="3"/>
  <c r="E285" i="3"/>
  <c r="I340" i="3"/>
  <c r="E316" i="3"/>
  <c r="G305" i="3"/>
  <c r="E314" i="3"/>
  <c r="G323" i="3"/>
  <c r="B281" i="3"/>
  <c r="F246" i="3"/>
  <c r="D210" i="3"/>
  <c r="C320" i="3"/>
  <c r="H260" i="3"/>
  <c r="G211" i="3"/>
  <c r="H335" i="3"/>
  <c r="H277" i="3"/>
  <c r="I356" i="3"/>
  <c r="E300" i="3"/>
  <c r="I209" i="3"/>
  <c r="AE54" i="2"/>
  <c r="G358" i="3"/>
  <c r="E234" i="3"/>
  <c r="H362" i="3"/>
  <c r="E267" i="3"/>
  <c r="C242" i="3"/>
  <c r="G206" i="3"/>
  <c r="I247" i="3"/>
  <c r="D290" i="3"/>
  <c r="AE159" i="2"/>
  <c r="AE132" i="2"/>
  <c r="G321" i="3"/>
  <c r="B316" i="3"/>
  <c r="D356" i="3"/>
  <c r="H285" i="3"/>
  <c r="H343" i="3"/>
  <c r="C211" i="3"/>
  <c r="G263" i="3"/>
  <c r="I288" i="3"/>
  <c r="I352" i="3"/>
  <c r="F242" i="3"/>
  <c r="I260" i="3"/>
  <c r="B323" i="3"/>
  <c r="E318" i="3"/>
  <c r="I322" i="3"/>
  <c r="E251" i="3"/>
  <c r="I255" i="3"/>
  <c r="AE142" i="2"/>
  <c r="F315" i="3"/>
  <c r="E325" i="3"/>
  <c r="I301" i="3"/>
  <c r="B231" i="3"/>
  <c r="E311" i="3"/>
  <c r="I358" i="3"/>
  <c r="C314" i="3"/>
  <c r="E214" i="3"/>
  <c r="G338" i="3"/>
  <c r="C297" i="3"/>
  <c r="C289" i="3"/>
  <c r="G333" i="3"/>
  <c r="I334" i="3"/>
  <c r="H337" i="3"/>
  <c r="I291" i="3"/>
  <c r="I252" i="3"/>
  <c r="I220" i="3"/>
  <c r="H210" i="3"/>
  <c r="G360" i="3"/>
  <c r="G328" i="3"/>
  <c r="G280" i="3"/>
  <c r="C267" i="3"/>
  <c r="H240" i="3"/>
  <c r="I359" i="3"/>
  <c r="H333" i="3"/>
  <c r="B303" i="3"/>
  <c r="E277" i="3"/>
  <c r="F236" i="3"/>
  <c r="C340" i="3"/>
  <c r="C308" i="3"/>
  <c r="F332" i="3"/>
  <c r="I208" i="3"/>
  <c r="AE103" i="2"/>
  <c r="B294" i="3"/>
  <c r="E252" i="3"/>
  <c r="H358" i="3"/>
  <c r="I289" i="3"/>
  <c r="C339" i="3"/>
  <c r="G209" i="3"/>
  <c r="E272" i="3"/>
  <c r="C218" i="3"/>
  <c r="E243" i="3"/>
  <c r="G269" i="3"/>
  <c r="D289" i="3"/>
  <c r="E339" i="3"/>
  <c r="H237" i="3"/>
  <c r="B290" i="3"/>
  <c r="AE84" i="2"/>
  <c r="AE44" i="2"/>
  <c r="I318" i="3"/>
  <c r="F353" i="3"/>
  <c r="H307" i="3"/>
  <c r="D264" i="3"/>
  <c r="H226" i="3"/>
  <c r="I362" i="3"/>
  <c r="E233" i="3"/>
  <c r="B352" i="3"/>
  <c r="B329" i="3"/>
  <c r="H305" i="3"/>
  <c r="B283" i="3"/>
  <c r="H263" i="3"/>
  <c r="H246" i="3"/>
  <c r="B227" i="3"/>
  <c r="H207" i="3"/>
  <c r="C359" i="3"/>
  <c r="C327" i="3"/>
  <c r="C295" i="3"/>
  <c r="G267" i="3"/>
  <c r="C240" i="3"/>
  <c r="F227" i="3"/>
  <c r="B359" i="3"/>
  <c r="E333" i="3"/>
  <c r="G303" i="3"/>
  <c r="B277" i="3"/>
  <c r="G232" i="3"/>
  <c r="G340" i="3"/>
  <c r="G276" i="3"/>
  <c r="H300" i="3"/>
  <c r="D300" i="3"/>
  <c r="AE255" i="2"/>
  <c r="AE199" i="2"/>
  <c r="G285" i="3"/>
  <c r="B214" i="3"/>
  <c r="E280" i="3"/>
  <c r="G214" i="3"/>
  <c r="D330" i="3"/>
  <c r="B234" i="3"/>
  <c r="E320" i="3"/>
  <c r="B229" i="3"/>
  <c r="C254" i="3"/>
  <c r="E283" i="3"/>
  <c r="F336" i="3"/>
  <c r="C213" i="3"/>
  <c r="E254" i="3"/>
  <c r="H322" i="3"/>
  <c r="C306" i="3"/>
  <c r="F326" i="3"/>
  <c r="AE165" i="2"/>
  <c r="AE47" i="2"/>
  <c r="AE49" i="2"/>
  <c r="D265" i="3"/>
  <c r="B298" i="3"/>
  <c r="F320" i="3"/>
  <c r="C246" i="3"/>
  <c r="C281" i="3"/>
  <c r="F257" i="3"/>
  <c r="G301" i="3"/>
  <c r="AE89" i="2"/>
  <c r="AE262" i="2"/>
  <c r="AE342" i="2"/>
  <c r="AE348" i="2"/>
  <c r="AE314" i="2"/>
  <c r="AE312" i="2"/>
  <c r="AE340" i="2"/>
  <c r="AE105" i="2"/>
  <c r="G334" i="3"/>
  <c r="H346" i="3"/>
  <c r="C225" i="3"/>
  <c r="C350" i="3"/>
  <c r="G261" i="3"/>
  <c r="F359" i="3"/>
  <c r="D251" i="3"/>
  <c r="F319" i="3"/>
  <c r="D354" i="3"/>
  <c r="AE266" i="2"/>
  <c r="H208" i="3"/>
  <c r="D308" i="3"/>
  <c r="F260" i="3"/>
  <c r="B319" i="3"/>
  <c r="C243" i="3"/>
  <c r="I296" i="3"/>
  <c r="I360" i="3"/>
  <c r="D134" i="3"/>
  <c r="I228" i="3"/>
  <c r="H266" i="3"/>
  <c r="G307" i="3"/>
  <c r="E353" i="3"/>
  <c r="I310" i="3"/>
  <c r="C322" i="3"/>
  <c r="D305" i="3"/>
  <c r="I259" i="3"/>
  <c r="D346" i="3"/>
  <c r="D223" i="3"/>
  <c r="AE172" i="2"/>
  <c r="F347" i="3"/>
  <c r="F341" i="3"/>
  <c r="C259" i="3"/>
  <c r="I325" i="3"/>
  <c r="D240" i="3"/>
  <c r="H321" i="3"/>
  <c r="E334" i="3"/>
  <c r="D249" i="3"/>
  <c r="D313" i="3"/>
  <c r="F253" i="3"/>
  <c r="D362" i="3"/>
  <c r="AE121" i="2"/>
  <c r="I302" i="3"/>
  <c r="H355" i="3"/>
  <c r="I307" i="3"/>
  <c r="F218" i="3"/>
  <c r="D142" i="3"/>
  <c r="H336" i="3"/>
  <c r="H320" i="3"/>
  <c r="F275" i="3"/>
  <c r="C251" i="3"/>
  <c r="G239" i="3"/>
  <c r="C212" i="3"/>
  <c r="G343" i="3"/>
  <c r="H301" i="3"/>
  <c r="B272" i="3"/>
  <c r="G228" i="3"/>
  <c r="E324" i="3"/>
  <c r="G281" i="3"/>
  <c r="G332" i="3"/>
  <c r="G353" i="3"/>
  <c r="AE131" i="2"/>
  <c r="AE127" i="2"/>
  <c r="D239" i="3"/>
  <c r="G258" i="3"/>
  <c r="C347" i="3"/>
  <c r="E228" i="3"/>
  <c r="H310" i="3"/>
  <c r="B302" i="3"/>
  <c r="E171" i="3"/>
  <c r="E248" i="3"/>
  <c r="H350" i="3"/>
  <c r="I246" i="3"/>
  <c r="B273" i="3"/>
  <c r="F296" i="3"/>
  <c r="G346" i="3"/>
  <c r="H221" i="3"/>
  <c r="C265" i="3"/>
  <c r="D342" i="3"/>
  <c r="AE26" i="2"/>
  <c r="AE33" i="2"/>
  <c r="E269" i="3"/>
  <c r="H347" i="3"/>
  <c r="I299" i="3"/>
  <c r="H259" i="3"/>
  <c r="H211" i="3"/>
  <c r="I346" i="3"/>
  <c r="E217" i="3"/>
  <c r="B360" i="3"/>
  <c r="E337" i="3"/>
  <c r="H313" i="3"/>
  <c r="B291" i="3"/>
  <c r="F270" i="3"/>
  <c r="D252" i="3"/>
  <c r="D234" i="3"/>
  <c r="I224" i="3"/>
  <c r="D336" i="3"/>
  <c r="D320" i="3"/>
  <c r="D288" i="3"/>
  <c r="G251" i="3"/>
  <c r="H236" i="3"/>
  <c r="F211" i="3"/>
  <c r="D343" i="3"/>
  <c r="E301" i="3"/>
  <c r="H287" i="3"/>
  <c r="G248" i="3"/>
  <c r="F356" i="3"/>
  <c r="F292" i="3"/>
  <c r="F323" i="3"/>
  <c r="G337" i="3"/>
  <c r="AE175" i="2"/>
  <c r="AE145" i="2"/>
  <c r="AE98" i="2"/>
  <c r="I210" i="3"/>
  <c r="D247" i="3"/>
  <c r="I297" i="3"/>
  <c r="H340" i="3"/>
  <c r="B222" i="3"/>
  <c r="B254" i="3"/>
  <c r="E296" i="3"/>
  <c r="E360" i="3"/>
  <c r="G230" i="3"/>
  <c r="C291" i="3"/>
  <c r="G341" i="3"/>
  <c r="G210" i="3"/>
  <c r="B242" i="3"/>
  <c r="B274" i="3"/>
  <c r="E336" i="3"/>
  <c r="I218" i="3"/>
  <c r="E231" i="3"/>
  <c r="B245" i="3"/>
  <c r="G257" i="3"/>
  <c r="C270" i="3"/>
  <c r="G290" i="3"/>
  <c r="E315" i="3"/>
  <c r="C342" i="3"/>
  <c r="H217" i="3"/>
  <c r="E238" i="3"/>
  <c r="C261" i="3"/>
  <c r="H290" i="3"/>
  <c r="D334" i="3"/>
  <c r="D257" i="3"/>
  <c r="B320" i="3"/>
  <c r="F278" i="3"/>
  <c r="F342" i="3"/>
  <c r="AE74" i="2"/>
  <c r="AE273" i="2"/>
  <c r="AE41" i="2"/>
  <c r="AE79" i="2"/>
  <c r="AE58" i="2"/>
  <c r="AE249" i="2"/>
  <c r="C346" i="3"/>
  <c r="D233" i="3"/>
  <c r="B362" i="3"/>
  <c r="H273" i="3"/>
  <c r="E230" i="3"/>
  <c r="C358" i="3"/>
  <c r="G306" i="3"/>
  <c r="G265" i="3"/>
  <c r="E239" i="3"/>
  <c r="C214" i="3"/>
  <c r="F261" i="3"/>
  <c r="G270" i="3"/>
  <c r="C337" i="3"/>
  <c r="F241" i="3"/>
  <c r="I281" i="3"/>
  <c r="AE265" i="2"/>
  <c r="AE279" i="2"/>
  <c r="AE258" i="2"/>
  <c r="AE296" i="2"/>
  <c r="AE242" i="2"/>
  <c r="AE344" i="2"/>
  <c r="AE250" i="2"/>
  <c r="AE254" i="2"/>
  <c r="AE301" i="2"/>
  <c r="AE341" i="2"/>
  <c r="AE316" i="2"/>
  <c r="AE128" i="2"/>
  <c r="AE230" i="2"/>
  <c r="AE332" i="2"/>
  <c r="AE112" i="2"/>
  <c r="AE300" i="2"/>
  <c r="AE92" i="2"/>
  <c r="F330" i="3"/>
  <c r="G310" i="3"/>
  <c r="D326" i="3"/>
  <c r="C257" i="3"/>
  <c r="H213" i="3"/>
  <c r="D337" i="3"/>
  <c r="C286" i="3"/>
  <c r="I254" i="3"/>
  <c r="G229" i="3"/>
  <c r="F327" i="3"/>
  <c r="I235" i="3"/>
  <c r="G142" i="3"/>
  <c r="B334" i="3"/>
  <c r="D219" i="3"/>
  <c r="D171" i="3"/>
  <c r="F287" i="3"/>
  <c r="I215" i="3"/>
  <c r="C331" i="3"/>
  <c r="G218" i="3"/>
  <c r="AE268" i="2"/>
  <c r="B284" i="3"/>
  <c r="B348" i="3"/>
  <c r="I269" i="3"/>
  <c r="D324" i="3"/>
  <c r="F228" i="3"/>
  <c r="G268" i="3"/>
  <c r="B301" i="3"/>
  <c r="G327" i="3"/>
  <c r="E357" i="3"/>
  <c r="F223" i="3"/>
  <c r="H248" i="3"/>
  <c r="G275" i="3"/>
  <c r="I304" i="3"/>
  <c r="I336" i="3"/>
  <c r="B215" i="3"/>
  <c r="H234" i="3"/>
  <c r="H251" i="3"/>
  <c r="D270" i="3"/>
  <c r="G291" i="3"/>
  <c r="E313" i="3"/>
  <c r="B337" i="3"/>
  <c r="E359" i="3"/>
  <c r="E213" i="3"/>
  <c r="I342" i="3"/>
  <c r="B331" i="3"/>
  <c r="E225" i="3"/>
  <c r="E362" i="3"/>
  <c r="D261" i="3"/>
  <c r="D294" i="3"/>
  <c r="F280" i="3"/>
  <c r="C226" i="3"/>
  <c r="I227" i="3"/>
  <c r="G293" i="3"/>
  <c r="AE223" i="2"/>
  <c r="AE216" i="2"/>
  <c r="G297" i="3"/>
  <c r="G220" i="3"/>
  <c r="D303" i="3"/>
  <c r="B351" i="3"/>
  <c r="C220" i="3"/>
  <c r="I277" i="3"/>
  <c r="I333" i="3"/>
  <c r="I212" i="3"/>
  <c r="H250" i="3"/>
  <c r="E289" i="3"/>
  <c r="I331" i="3"/>
  <c r="E229" i="3"/>
  <c r="AE53" i="2"/>
  <c r="F302" i="3"/>
  <c r="H257" i="3"/>
  <c r="F288" i="3"/>
  <c r="E223" i="3"/>
  <c r="F221" i="3"/>
  <c r="G309" i="3"/>
  <c r="F217" i="3"/>
  <c r="D231" i="3"/>
  <c r="AE37" i="2"/>
  <c r="E310" i="3"/>
  <c r="I286" i="3"/>
  <c r="I347" i="3"/>
  <c r="D325" i="3"/>
  <c r="F305" i="3"/>
  <c r="H283" i="3"/>
  <c r="D262" i="3"/>
  <c r="H243" i="3"/>
  <c r="H227" i="3"/>
  <c r="D216" i="3"/>
  <c r="G352" i="3"/>
  <c r="G336" i="3"/>
  <c r="G320" i="3"/>
  <c r="G304" i="3"/>
  <c r="G288" i="3"/>
  <c r="H272" i="3"/>
  <c r="C260" i="3"/>
  <c r="F247" i="3"/>
  <c r="C235" i="3"/>
  <c r="G223" i="3"/>
  <c r="F207" i="3"/>
  <c r="F357" i="3"/>
  <c r="E341" i="3"/>
  <c r="H327" i="3"/>
  <c r="G311" i="3"/>
  <c r="I295" i="3"/>
  <c r="B285" i="3"/>
  <c r="F268" i="3"/>
  <c r="G244" i="3"/>
  <c r="B224" i="3"/>
  <c r="C356" i="3"/>
  <c r="C324" i="3"/>
  <c r="C292" i="3"/>
  <c r="I253" i="3"/>
  <c r="F348" i="3"/>
  <c r="F316" i="3"/>
  <c r="F284" i="3"/>
  <c r="G289" i="3"/>
  <c r="AE191" i="2"/>
  <c r="AE343" i="2"/>
  <c r="AE289" i="2"/>
  <c r="AE2" i="2"/>
  <c r="G274" i="3"/>
  <c r="C315" i="3"/>
  <c r="B358" i="3"/>
  <c r="B205" i="3"/>
  <c r="E236" i="3"/>
  <c r="E268" i="3"/>
  <c r="H326" i="3"/>
  <c r="C206" i="3"/>
  <c r="D259" i="3"/>
  <c r="D314" i="3"/>
  <c r="G134" i="3"/>
  <c r="E224" i="3"/>
  <c r="E256" i="3"/>
  <c r="H302" i="3"/>
  <c r="E211" i="3"/>
  <c r="B225" i="3"/>
  <c r="G237" i="3"/>
  <c r="C250" i="3"/>
  <c r="I262" i="3"/>
  <c r="E275" i="3"/>
  <c r="C302" i="3"/>
  <c r="F328" i="3"/>
  <c r="D353" i="3"/>
  <c r="H205" i="3"/>
  <c r="E226" i="3"/>
  <c r="C249" i="3"/>
  <c r="H269" i="3"/>
  <c r="D310" i="3"/>
  <c r="B354" i="3"/>
  <c r="D221" i="3"/>
  <c r="G286" i="3"/>
  <c r="C338" i="3"/>
  <c r="F306" i="3"/>
  <c r="F362" i="3"/>
  <c r="AE303" i="2"/>
  <c r="AE83" i="2"/>
  <c r="AE263" i="2"/>
  <c r="E294" i="3"/>
  <c r="E237" i="3"/>
  <c r="B339" i="3"/>
  <c r="I315" i="3"/>
  <c r="F297" i="3"/>
  <c r="H274" i="3"/>
  <c r="B255" i="3"/>
  <c r="I236" i="3"/>
  <c r="H363" i="3"/>
  <c r="E306" i="3"/>
  <c r="I330" i="3"/>
  <c r="E265" i="3"/>
  <c r="B355" i="3"/>
  <c r="H345" i="3"/>
  <c r="D333" i="3"/>
  <c r="H323" i="3"/>
  <c r="B312" i="3"/>
  <c r="B299" i="3"/>
  <c r="H289" i="3"/>
  <c r="B280" i="3"/>
  <c r="D268" i="3"/>
  <c r="B259" i="3"/>
  <c r="D250" i="3"/>
  <c r="I240" i="3"/>
  <c r="H231" i="3"/>
  <c r="F222" i="3"/>
  <c r="H214" i="3"/>
  <c r="C351" i="3"/>
  <c r="C335" i="3"/>
  <c r="C319" i="3"/>
  <c r="C303" i="3"/>
  <c r="C287" i="3"/>
  <c r="C272" i="3"/>
  <c r="F259" i="3"/>
  <c r="C247" i="3"/>
  <c r="G235" i="3"/>
  <c r="H220" i="3"/>
  <c r="C207" i="3"/>
  <c r="I351" i="3"/>
  <c r="B341" i="3"/>
  <c r="H325" i="3"/>
  <c r="D311" i="3"/>
  <c r="B295" i="3"/>
  <c r="F285" i="3"/>
  <c r="G264" i="3"/>
  <c r="B244" i="3"/>
  <c r="F224" i="3"/>
  <c r="G356" i="3"/>
  <c r="G324" i="3"/>
  <c r="G292" i="3"/>
  <c r="I245" i="3"/>
  <c r="D348" i="3"/>
  <c r="D316" i="3"/>
  <c r="D284" i="3"/>
  <c r="I273" i="3"/>
  <c r="AE283" i="2"/>
  <c r="AE135" i="2"/>
  <c r="AE64" i="2"/>
  <c r="G242" i="3"/>
  <c r="D263" i="3"/>
  <c r="H308" i="3"/>
  <c r="G349" i="3"/>
  <c r="B230" i="3"/>
  <c r="B262" i="3"/>
  <c r="E312" i="3"/>
  <c r="G246" i="3"/>
  <c r="I305" i="3"/>
  <c r="C355" i="3"/>
  <c r="B218" i="3"/>
  <c r="B250" i="3"/>
  <c r="E288" i="3"/>
  <c r="E352" i="3"/>
  <c r="C222" i="3"/>
  <c r="I234" i="3"/>
  <c r="E247" i="3"/>
  <c r="B261" i="3"/>
  <c r="G273" i="3"/>
  <c r="D297" i="3"/>
  <c r="G322" i="3"/>
  <c r="E347" i="3"/>
  <c r="E222" i="3"/>
  <c r="C245" i="3"/>
  <c r="H265" i="3"/>
  <c r="D302" i="3"/>
  <c r="B346" i="3"/>
  <c r="D209" i="3"/>
  <c r="D273" i="3"/>
  <c r="C330" i="3"/>
  <c r="F294" i="3"/>
  <c r="F358" i="3"/>
  <c r="AE17" i="2"/>
  <c r="AE151" i="2"/>
  <c r="AE30" i="2"/>
  <c r="AE187" i="2"/>
  <c r="F350" i="3"/>
  <c r="G326" i="3"/>
  <c r="H338" i="3"/>
  <c r="E262" i="3"/>
  <c r="C221" i="3"/>
  <c r="D345" i="3"/>
  <c r="C294" i="3"/>
  <c r="I258" i="3"/>
  <c r="G233" i="3"/>
  <c r="C345" i="3"/>
  <c r="F245" i="3"/>
  <c r="B350" i="3"/>
  <c r="G238" i="3"/>
  <c r="C305" i="3"/>
  <c r="F225" i="3"/>
  <c r="I345" i="3"/>
  <c r="D255" i="3"/>
  <c r="G226" i="3"/>
  <c r="AE164" i="2"/>
  <c r="AE168" i="2"/>
  <c r="AE274" i="2"/>
  <c r="AE210" i="2"/>
  <c r="AE329" i="2"/>
  <c r="I257" i="3"/>
  <c r="C316" i="3"/>
  <c r="H348" i="3"/>
  <c r="B276" i="3"/>
  <c r="B340" i="3"/>
  <c r="G240" i="3"/>
  <c r="B279" i="3"/>
  <c r="H309" i="3"/>
  <c r="I335" i="3"/>
  <c r="C232" i="3"/>
  <c r="G259" i="3"/>
  <c r="C285" i="3"/>
  <c r="C317" i="3"/>
  <c r="C349" i="3"/>
  <c r="H222" i="3"/>
  <c r="H239" i="3"/>
  <c r="D258" i="3"/>
  <c r="D277" i="3"/>
  <c r="D299" i="3"/>
  <c r="E321" i="3"/>
  <c r="D355" i="3"/>
  <c r="I354" i="3"/>
  <c r="G294" i="3"/>
  <c r="H314" i="3"/>
  <c r="C241" i="3"/>
  <c r="I270" i="3"/>
  <c r="E219" i="3"/>
  <c r="I211" i="3"/>
  <c r="I321" i="3"/>
  <c r="B209" i="3"/>
  <c r="AE123" i="2"/>
  <c r="AE214" i="2"/>
  <c r="AE284" i="2"/>
  <c r="I284" i="3"/>
  <c r="F331" i="3"/>
  <c r="B264" i="3"/>
  <c r="B333" i="3"/>
  <c r="C252" i="3"/>
  <c r="I309" i="3"/>
  <c r="H235" i="3"/>
  <c r="D272" i="3"/>
  <c r="G315" i="3"/>
  <c r="G355" i="3"/>
  <c r="I326" i="3"/>
  <c r="AE63" i="2"/>
  <c r="D217" i="3"/>
  <c r="C269" i="3"/>
  <c r="E299" i="3"/>
  <c r="B237" i="3"/>
  <c r="F269" i="3"/>
  <c r="F233" i="3"/>
  <c r="D271" i="3"/>
  <c r="AE205" i="2"/>
  <c r="AE39" i="2"/>
  <c r="AE72" i="2"/>
  <c r="E282" i="3"/>
  <c r="D317" i="3"/>
  <c r="D274" i="3"/>
  <c r="I232" i="3"/>
  <c r="C312" i="3"/>
  <c r="C255" i="3"/>
  <c r="D327" i="3"/>
  <c r="B268" i="3"/>
  <c r="I308" i="3"/>
  <c r="E284" i="3"/>
  <c r="I338" i="3"/>
  <c r="D357" i="3"/>
  <c r="B313" i="3"/>
  <c r="H270" i="3"/>
  <c r="H238" i="3"/>
  <c r="C304" i="3"/>
  <c r="C248" i="3"/>
  <c r="G319" i="3"/>
  <c r="G256" i="3"/>
  <c r="I324" i="3"/>
  <c r="D208" i="3"/>
  <c r="AE192" i="2"/>
  <c r="AE147" i="2"/>
  <c r="D245" i="3"/>
  <c r="H282" i="3"/>
  <c r="F312" i="3"/>
  <c r="B217" i="3"/>
  <c r="I267" i="3"/>
  <c r="D282" i="3"/>
  <c r="F351" i="3"/>
  <c r="AE141" i="2"/>
  <c r="AE113" i="2"/>
  <c r="D292" i="3"/>
  <c r="B248" i="3"/>
  <c r="I311" i="3"/>
  <c r="C236" i="3"/>
  <c r="I320" i="3"/>
  <c r="D224" i="3"/>
  <c r="E281" i="3"/>
  <c r="E303" i="3"/>
  <c r="G347" i="3"/>
  <c r="I278" i="3"/>
  <c r="B361" i="3"/>
  <c r="B344" i="3"/>
  <c r="C209" i="3"/>
  <c r="G330" i="3"/>
  <c r="F311" i="3"/>
  <c r="C299" i="3"/>
  <c r="AE96" i="2"/>
  <c r="I300" i="3"/>
  <c r="F277" i="3"/>
  <c r="G247" i="3"/>
  <c r="H267" i="3"/>
  <c r="E361" i="3"/>
  <c r="C363" i="3"/>
  <c r="B330" i="3"/>
  <c r="E255" i="3"/>
  <c r="G222" i="3"/>
  <c r="AE100" i="2"/>
  <c r="E221" i="3"/>
  <c r="F361" i="3"/>
  <c r="H315" i="3"/>
  <c r="B271" i="3"/>
  <c r="F234" i="3"/>
  <c r="G344" i="3"/>
  <c r="G312" i="3"/>
  <c r="G296" i="3"/>
  <c r="G255" i="3"/>
  <c r="C228" i="3"/>
  <c r="F215" i="3"/>
  <c r="B349" i="3"/>
  <c r="D319" i="3"/>
  <c r="F293" i="3"/>
  <c r="B256" i="3"/>
  <c r="G212" i="3"/>
  <c r="C276" i="3"/>
  <c r="G313" i="3"/>
  <c r="F300" i="3"/>
  <c r="AE155" i="2"/>
  <c r="AE149" i="2"/>
  <c r="I207" i="3"/>
  <c r="G234" i="3"/>
  <c r="D338" i="3"/>
  <c r="E220" i="3"/>
  <c r="H294" i="3"/>
  <c r="D227" i="3"/>
  <c r="E240" i="3"/>
  <c r="H334" i="3"/>
  <c r="I230" i="3"/>
  <c r="B257" i="3"/>
  <c r="G314" i="3"/>
  <c r="J9" i="3"/>
  <c r="C217" i="3"/>
  <c r="E258" i="3"/>
  <c r="H330" i="3"/>
  <c r="D253" i="3"/>
  <c r="G318" i="3"/>
  <c r="B363" i="3"/>
  <c r="F338" i="3"/>
  <c r="AE45" i="2"/>
  <c r="E358" i="3"/>
  <c r="E329" i="3"/>
  <c r="I283" i="3"/>
  <c r="D246" i="3"/>
  <c r="E338" i="3"/>
  <c r="I298" i="3"/>
  <c r="H361" i="3"/>
  <c r="G339" i="3"/>
  <c r="B315" i="3"/>
  <c r="B296" i="3"/>
  <c r="I272" i="3"/>
  <c r="F254" i="3"/>
  <c r="D236" i="3"/>
  <c r="D218" i="3"/>
  <c r="C343" i="3"/>
  <c r="C311" i="3"/>
  <c r="C279" i="3"/>
  <c r="H252" i="3"/>
  <c r="C215" i="3"/>
  <c r="F349" i="3"/>
  <c r="H319" i="3"/>
  <c r="I287" i="3"/>
  <c r="F256" i="3"/>
  <c r="B212" i="3"/>
  <c r="G308" i="3"/>
  <c r="D332" i="3"/>
  <c r="B208" i="3"/>
  <c r="AE181" i="2"/>
  <c r="D215" i="3"/>
  <c r="I329" i="3"/>
  <c r="B246" i="3"/>
  <c r="E344" i="3"/>
  <c r="G277" i="3"/>
  <c r="G205" i="3"/>
  <c r="B266" i="3"/>
  <c r="E215" i="3"/>
  <c r="G241" i="3"/>
  <c r="I266" i="3"/>
  <c r="C310" i="3"/>
  <c r="D361" i="3"/>
  <c r="H233" i="3"/>
  <c r="B282" i="3"/>
  <c r="D241" i="3"/>
  <c r="C354" i="3"/>
  <c r="AE171" i="2"/>
  <c r="AE55" i="2"/>
  <c r="AE240" i="2"/>
  <c r="F286" i="3"/>
  <c r="H241" i="3"/>
  <c r="E271" i="3"/>
  <c r="B221" i="3"/>
  <c r="F213" i="3"/>
  <c r="D298" i="3"/>
  <c r="I171" i="3"/>
  <c r="AE198" i="2"/>
  <c r="AE200" i="2"/>
  <c r="AE90" i="2"/>
  <c r="AE188" i="2"/>
  <c r="AE91" i="2"/>
  <c r="AE333" i="2"/>
  <c r="AE182" i="2"/>
  <c r="AE180" i="2"/>
  <c r="AE244" i="2"/>
  <c r="G362" i="3"/>
  <c r="D213" i="3"/>
  <c r="E266" i="3"/>
  <c r="G298" i="3"/>
  <c r="E235" i="3"/>
  <c r="I251" i="3"/>
  <c r="G357" i="3"/>
  <c r="I231" i="3"/>
  <c r="G266" i="3"/>
  <c r="AE212" i="2"/>
  <c r="F44" i="3"/>
  <c r="B332" i="3"/>
  <c r="E208" i="3"/>
  <c r="B216" i="3"/>
  <c r="E293" i="3"/>
  <c r="H349" i="3"/>
  <c r="H216" i="3"/>
  <c r="C268" i="3"/>
  <c r="I328" i="3"/>
  <c r="F210" i="3"/>
  <c r="B247" i="3"/>
  <c r="E287" i="3"/>
  <c r="H331" i="3"/>
  <c r="E350" i="3"/>
  <c r="E298" i="3"/>
  <c r="B338" i="3"/>
  <c r="I238" i="3"/>
  <c r="I223" i="3"/>
  <c r="G250" i="3"/>
  <c r="AE139" i="2"/>
  <c r="I332" i="3"/>
  <c r="B287" i="3"/>
  <c r="G207" i="3"/>
  <c r="E279" i="3"/>
  <c r="F334" i="3"/>
  <c r="D286" i="3"/>
  <c r="I242" i="3"/>
  <c r="F249" i="3"/>
  <c r="H292" i="3"/>
  <c r="E342" i="3"/>
  <c r="G331" i="3"/>
  <c r="F289" i="3"/>
  <c r="F266" i="3"/>
  <c r="D248" i="3"/>
  <c r="D232" i="3"/>
  <c r="D206" i="3"/>
  <c r="H352" i="3"/>
  <c r="H304" i="3"/>
  <c r="H288" i="3"/>
  <c r="F263" i="3"/>
  <c r="H224" i="3"/>
  <c r="H359" i="3"/>
  <c r="I327" i="3"/>
  <c r="B317" i="3"/>
  <c r="D287" i="3"/>
  <c r="F252" i="3"/>
  <c r="E356" i="3"/>
  <c r="E292" i="3"/>
  <c r="G300" i="3"/>
  <c r="AE257" i="2"/>
  <c r="AE70" i="2"/>
  <c r="I174" i="3"/>
  <c r="D306" i="3"/>
  <c r="E260" i="3"/>
  <c r="D243" i="3"/>
  <c r="I353" i="3"/>
  <c r="E216" i="3"/>
  <c r="H286" i="3"/>
  <c r="G221" i="3"/>
  <c r="C234" i="3"/>
  <c r="E259" i="3"/>
  <c r="D321" i="3"/>
  <c r="E242" i="3"/>
  <c r="H298" i="3"/>
  <c r="D205" i="3"/>
  <c r="D269" i="3"/>
  <c r="B328" i="3"/>
  <c r="F290" i="3"/>
  <c r="F354" i="3"/>
  <c r="AE167" i="2"/>
  <c r="E326" i="3"/>
  <c r="D323" i="3"/>
  <c r="F281" i="3"/>
  <c r="H242" i="3"/>
  <c r="E322" i="3"/>
  <c r="I282" i="3"/>
  <c r="B347" i="3"/>
  <c r="I323" i="3"/>
  <c r="B304" i="3"/>
  <c r="H281" i="3"/>
  <c r="H262" i="3"/>
  <c r="B243" i="3"/>
  <c r="H215" i="3"/>
  <c r="H206" i="3"/>
  <c r="D352" i="3"/>
  <c r="D304" i="3"/>
  <c r="C275" i="3"/>
  <c r="C263" i="3"/>
  <c r="C224" i="3"/>
  <c r="H357" i="3"/>
  <c r="B327" i="3"/>
  <c r="F317" i="3"/>
  <c r="F272" i="3"/>
  <c r="B228" i="3"/>
  <c r="F324" i="3"/>
  <c r="E274" i="3"/>
  <c r="F355" i="3"/>
  <c r="F291" i="3"/>
  <c r="AE246" i="2"/>
  <c r="AE152" i="2"/>
  <c r="AE299" i="2"/>
  <c r="AE309" i="2"/>
  <c r="AE349" i="2"/>
  <c r="AE328" i="2"/>
  <c r="AE101" i="2"/>
  <c r="AE278" i="2"/>
  <c r="AE104" i="2"/>
  <c r="AE264" i="2"/>
  <c r="AE310" i="2"/>
  <c r="AE156" i="2"/>
  <c r="AE143" i="2"/>
  <c r="AE339" i="2"/>
  <c r="F298" i="3"/>
  <c r="G278" i="3"/>
  <c r="B306" i="3"/>
  <c r="H245" i="3"/>
  <c r="E323" i="3"/>
  <c r="C274" i="3"/>
  <c r="B249" i="3"/>
  <c r="I222" i="3"/>
  <c r="F295" i="3"/>
  <c r="I219" i="3"/>
  <c r="C307" i="3"/>
  <c r="I263" i="3"/>
  <c r="B310" i="3"/>
  <c r="AE46" i="2"/>
  <c r="AE129" i="2"/>
  <c r="AE109" i="2"/>
  <c r="AE108" i="2"/>
  <c r="AE276" i="2"/>
  <c r="I225" i="3"/>
  <c r="B300" i="3"/>
  <c r="G329" i="3"/>
  <c r="D276" i="3"/>
  <c r="D340" i="3"/>
  <c r="G236" i="3"/>
  <c r="H279" i="3"/>
  <c r="F309" i="3"/>
  <c r="D335" i="3"/>
  <c r="G231" i="3"/>
  <c r="F255" i="3"/>
  <c r="I280" i="3"/>
  <c r="I312" i="3"/>
  <c r="I344" i="3"/>
  <c r="H171" i="3"/>
  <c r="H219" i="3"/>
  <c r="D238" i="3"/>
  <c r="D256" i="3"/>
  <c r="F274" i="3"/>
  <c r="E297" i="3"/>
  <c r="E319" i="3"/>
  <c r="D341" i="3"/>
  <c r="E245" i="3"/>
  <c r="E286" i="3"/>
  <c r="B345" i="3"/>
  <c r="E257" i="3"/>
  <c r="F346" i="3"/>
  <c r="H229" i="3"/>
  <c r="E355" i="3"/>
  <c r="B265" i="3"/>
  <c r="G213" i="3"/>
  <c r="D267" i="3"/>
  <c r="F303" i="3"/>
  <c r="B342" i="3"/>
  <c r="AE270" i="2"/>
  <c r="F208" i="3"/>
  <c r="F283" i="3"/>
  <c r="G252" i="3"/>
  <c r="H317" i="3"/>
  <c r="H232" i="3"/>
  <c r="I293" i="3"/>
  <c r="I349" i="3"/>
  <c r="D222" i="3"/>
  <c r="F258" i="3"/>
  <c r="G299" i="3"/>
  <c r="E345" i="3"/>
  <c r="I294" i="3"/>
  <c r="AE315" i="2"/>
  <c r="C362" i="3"/>
  <c r="C237" i="3"/>
  <c r="G363" i="3"/>
  <c r="B269" i="3"/>
  <c r="C361" i="3"/>
  <c r="G254" i="3"/>
  <c r="C353" i="3"/>
  <c r="AE281" i="2"/>
  <c r="E278" i="3"/>
  <c r="E253" i="3"/>
  <c r="F345" i="3"/>
  <c r="B321" i="3"/>
  <c r="H299" i="3"/>
  <c r="I275" i="3"/>
  <c r="H258" i="3"/>
  <c r="B239" i="3"/>
  <c r="B223" i="3"/>
  <c r="D214" i="3"/>
  <c r="D174" i="3"/>
  <c r="H360" i="3"/>
  <c r="H344" i="3"/>
  <c r="H328" i="3"/>
  <c r="H312" i="3"/>
  <c r="H296" i="3"/>
  <c r="H280" i="3"/>
  <c r="G271" i="3"/>
  <c r="H256" i="3"/>
  <c r="C244" i="3"/>
  <c r="F231" i="3"/>
  <c r="C219" i="3"/>
  <c r="D351" i="3"/>
  <c r="B335" i="3"/>
  <c r="F325" i="3"/>
  <c r="E309" i="3"/>
  <c r="H295" i="3"/>
  <c r="G279" i="3"/>
  <c r="G260" i="3"/>
  <c r="B240" i="3"/>
  <c r="F220" i="3"/>
  <c r="E340" i="3"/>
  <c r="E308" i="3"/>
  <c r="E276" i="3"/>
  <c r="G345" i="3"/>
  <c r="I221" i="3"/>
  <c r="G348" i="3"/>
  <c r="G316" i="3"/>
  <c r="G284" i="3"/>
  <c r="I200" i="3"/>
  <c r="I44" i="3"/>
  <c r="I249" i="3"/>
  <c r="I217" i="3"/>
  <c r="AE179" i="2"/>
  <c r="AE227" i="2"/>
  <c r="AE261" i="2"/>
  <c r="I142" i="3"/>
  <c r="I206" i="3"/>
  <c r="C283" i="3"/>
  <c r="B326" i="3"/>
  <c r="E212" i="3"/>
  <c r="E244" i="3"/>
  <c r="H278" i="3"/>
  <c r="H342" i="3"/>
  <c r="D211" i="3"/>
  <c r="D275" i="3"/>
  <c r="G325" i="3"/>
  <c r="E232" i="3"/>
  <c r="E264" i="3"/>
  <c r="H318" i="3"/>
  <c r="I214" i="3"/>
  <c r="E227" i="3"/>
  <c r="B241" i="3"/>
  <c r="G253" i="3"/>
  <c r="C266" i="3"/>
  <c r="G282" i="3"/>
  <c r="E307" i="3"/>
  <c r="C334" i="3"/>
  <c r="F360" i="3"/>
  <c r="E210" i="3"/>
  <c r="C233" i="3"/>
  <c r="H253" i="3"/>
  <c r="D278" i="3"/>
  <c r="B322" i="3"/>
  <c r="D237" i="3"/>
  <c r="G302" i="3"/>
  <c r="G350" i="3"/>
  <c r="F322" i="3"/>
  <c r="AE189" i="2"/>
  <c r="AE183" i="2"/>
  <c r="AE56" i="2"/>
  <c r="AE73" i="2"/>
  <c r="I350" i="3"/>
  <c r="E205" i="3"/>
  <c r="I355" i="3"/>
  <c r="E335" i="3"/>
  <c r="F313" i="3"/>
  <c r="H291" i="3"/>
  <c r="I268" i="3"/>
  <c r="F250" i="3"/>
  <c r="D230" i="3"/>
  <c r="E354" i="3"/>
  <c r="E290" i="3"/>
  <c r="I314" i="3"/>
  <c r="E249" i="3"/>
  <c r="H353" i="3"/>
  <c r="E343" i="3"/>
  <c r="D331" i="3"/>
  <c r="F321" i="3"/>
  <c r="B307" i="3"/>
  <c r="H297" i="3"/>
  <c r="B288" i="3"/>
  <c r="B275" i="3"/>
  <c r="D266" i="3"/>
  <c r="I256" i="3"/>
  <c r="H247" i="3"/>
  <c r="F238" i="3"/>
  <c r="H230" i="3"/>
  <c r="D220" i="3"/>
  <c r="B211" i="3"/>
  <c r="F134" i="3"/>
  <c r="D360" i="3"/>
  <c r="D344" i="3"/>
  <c r="D328" i="3"/>
  <c r="D312" i="3"/>
  <c r="D296" i="3"/>
  <c r="D280" i="3"/>
  <c r="H268" i="3"/>
  <c r="C256" i="3"/>
  <c r="F243" i="3"/>
  <c r="C231" i="3"/>
  <c r="G219" i="3"/>
  <c r="H351" i="3"/>
  <c r="G335" i="3"/>
  <c r="I319" i="3"/>
  <c r="B309" i="3"/>
  <c r="H293" i="3"/>
  <c r="D279" i="3"/>
  <c r="B260" i="3"/>
  <c r="F240" i="3"/>
  <c r="G216" i="3"/>
  <c r="F340" i="3"/>
  <c r="F308" i="3"/>
  <c r="F276" i="3"/>
  <c r="H332" i="3"/>
  <c r="I213" i="3"/>
  <c r="F339" i="3"/>
  <c r="F307" i="3"/>
  <c r="C208" i="3"/>
  <c r="I91" i="3"/>
  <c r="B44" i="3"/>
  <c r="I241" i="3"/>
  <c r="I205" i="3"/>
  <c r="AE275" i="2"/>
  <c r="AE335" i="2"/>
  <c r="AE93" i="2"/>
  <c r="B156" i="3" s="1"/>
  <c r="H276" i="3"/>
  <c r="G317" i="3"/>
  <c r="I361" i="3"/>
  <c r="B142" i="3"/>
  <c r="B206" i="3"/>
  <c r="B238" i="3"/>
  <c r="B270" i="3"/>
  <c r="E328" i="3"/>
  <c r="D207" i="3"/>
  <c r="G262" i="3"/>
  <c r="B318" i="3"/>
  <c r="B226" i="3"/>
  <c r="B258" i="3"/>
  <c r="E304" i="3"/>
  <c r="B213" i="3"/>
  <c r="G225" i="3"/>
  <c r="C238" i="3"/>
  <c r="I250" i="3"/>
  <c r="E263" i="3"/>
  <c r="C278" i="3"/>
  <c r="F304" i="3"/>
  <c r="D329" i="3"/>
  <c r="G354" i="3"/>
  <c r="E142" i="3"/>
  <c r="E206" i="3"/>
  <c r="C229" i="3"/>
  <c r="H249" i="3"/>
  <c r="E270" i="3"/>
  <c r="B314" i="3"/>
  <c r="H354" i="3"/>
  <c r="D225" i="3"/>
  <c r="C290" i="3"/>
  <c r="G342" i="3"/>
  <c r="F310" i="3"/>
  <c r="AE307" i="2"/>
  <c r="AE243" i="2"/>
  <c r="AE78" i="2"/>
  <c r="AE153" i="2"/>
  <c r="AE186" i="2"/>
  <c r="AE197" i="2"/>
  <c r="F318" i="3"/>
  <c r="C298" i="3"/>
  <c r="D318" i="3"/>
  <c r="C253" i="3"/>
  <c r="H209" i="3"/>
  <c r="C125" i="3"/>
  <c r="E331" i="3"/>
  <c r="D281" i="3"/>
  <c r="B253" i="3"/>
  <c r="I226" i="3"/>
  <c r="C313" i="3"/>
  <c r="F229" i="3"/>
  <c r="C323" i="3"/>
  <c r="C210" i="3"/>
  <c r="F273" i="3"/>
  <c r="B210" i="3"/>
  <c r="H324" i="3"/>
  <c r="AE184" i="2"/>
  <c r="AE194" i="2"/>
  <c r="AE157" i="2"/>
  <c r="AE106" i="2"/>
  <c r="AE256" i="2"/>
  <c r="G86" i="3"/>
  <c r="I233" i="3"/>
  <c r="AE337" i="2"/>
  <c r="C140" i="3"/>
  <c r="C332" i="3"/>
  <c r="G140" i="3"/>
  <c r="B292" i="3"/>
  <c r="B356" i="3"/>
  <c r="B252" i="3"/>
  <c r="G287" i="3"/>
  <c r="E317" i="3"/>
  <c r="B343" i="3"/>
  <c r="F171" i="3"/>
  <c r="H212" i="3"/>
  <c r="C239" i="3"/>
  <c r="C264" i="3"/>
  <c r="C293" i="3"/>
  <c r="C325" i="3"/>
  <c r="C357" i="3"/>
  <c r="F206" i="3"/>
  <c r="D226" i="3"/>
  <c r="D244" i="3"/>
  <c r="F262" i="3"/>
  <c r="D283" i="3"/>
  <c r="B305" i="3"/>
  <c r="E327" i="3"/>
  <c r="E330" i="3"/>
  <c r="D229" i="3"/>
  <c r="C273" i="3"/>
  <c r="E218" i="3"/>
  <c r="F344" i="3"/>
  <c r="C258" i="3"/>
  <c r="F343" i="3"/>
  <c r="D235" i="3"/>
  <c r="F335" i="3"/>
  <c r="F363" i="3"/>
  <c r="I134" i="3"/>
  <c r="AE282" i="2"/>
  <c r="AE150" i="2"/>
  <c r="I265" i="3"/>
  <c r="I316" i="3"/>
  <c r="F212" i="3"/>
  <c r="I279" i="3"/>
  <c r="I343" i="3"/>
  <c r="G215" i="3"/>
  <c r="H264" i="3"/>
  <c r="I317" i="3"/>
  <c r="B207" i="3"/>
  <c r="I244" i="3"/>
  <c r="G283" i="3"/>
  <c r="F329" i="3"/>
  <c r="E302" i="3"/>
  <c r="AE137" i="2"/>
  <c r="E246" i="3"/>
  <c r="I274" i="3"/>
  <c r="C230" i="3"/>
  <c r="F237" i="3"/>
  <c r="I337" i="3"/>
  <c r="AE259" i="2"/>
  <c r="AE62" i="2"/>
  <c r="F43" i="3" s="1"/>
  <c r="AE285" i="2"/>
  <c r="E273" i="3"/>
  <c r="B353" i="3"/>
  <c r="D301" i="3"/>
  <c r="I264" i="3"/>
  <c r="H223" i="3"/>
  <c r="C360" i="3"/>
  <c r="C296" i="3"/>
  <c r="G243" i="3"/>
  <c r="C167" i="3"/>
  <c r="B311" i="3"/>
  <c r="F248" i="3"/>
  <c r="I292" i="3"/>
  <c r="AE107" i="2"/>
  <c r="I306" i="3"/>
  <c r="D347" i="3"/>
  <c r="D307" i="3"/>
  <c r="D260" i="3"/>
  <c r="D228" i="3"/>
  <c r="H134" i="3"/>
  <c r="C352" i="3"/>
  <c r="C288" i="3"/>
  <c r="F235" i="3"/>
  <c r="I303" i="3"/>
  <c r="B236" i="3"/>
  <c r="I276" i="3"/>
  <c r="H316" i="3"/>
  <c r="AE144" i="2"/>
  <c r="I119" i="3" l="1"/>
  <c r="D21" i="3"/>
  <c r="D147" i="3"/>
  <c r="B90" i="3"/>
  <c r="H133" i="3"/>
  <c r="G178" i="3"/>
  <c r="B136" i="3"/>
  <c r="I105" i="3"/>
  <c r="B147" i="3"/>
  <c r="G184" i="3"/>
  <c r="F16" i="3"/>
  <c r="B82" i="3"/>
  <c r="C170" i="3"/>
  <c r="G162" i="3"/>
  <c r="D105" i="3"/>
  <c r="H181" i="3"/>
  <c r="F89" i="3"/>
  <c r="I118" i="3"/>
  <c r="E35" i="3"/>
  <c r="G160" i="3"/>
  <c r="E105" i="3"/>
  <c r="F196" i="3"/>
  <c r="I31" i="3"/>
  <c r="B197" i="3"/>
  <c r="C158" i="3"/>
  <c r="G105" i="3"/>
  <c r="H18" i="3"/>
  <c r="I100" i="3"/>
  <c r="I89" i="3"/>
  <c r="I24" i="3"/>
  <c r="B137" i="3"/>
  <c r="H122" i="3"/>
  <c r="G101" i="3"/>
  <c r="I155" i="3"/>
  <c r="F122" i="3"/>
  <c r="F159" i="3"/>
  <c r="F116" i="3"/>
  <c r="B43" i="3"/>
  <c r="F131" i="3"/>
  <c r="G148" i="3"/>
  <c r="B144" i="3"/>
  <c r="D137" i="3"/>
  <c r="C30" i="3"/>
  <c r="H144" i="3"/>
  <c r="F135" i="3"/>
  <c r="G158" i="3"/>
  <c r="E165" i="3"/>
  <c r="H179" i="3"/>
  <c r="E24" i="3"/>
  <c r="H108" i="3"/>
  <c r="E153" i="3"/>
  <c r="B92" i="3"/>
  <c r="E202" i="3"/>
  <c r="G42" i="3"/>
  <c r="C118" i="3"/>
  <c r="B81" i="3"/>
  <c r="H82" i="3"/>
  <c r="C32" i="3"/>
  <c r="I156" i="3"/>
  <c r="D28" i="3"/>
  <c r="G159" i="3"/>
  <c r="B161" i="3"/>
  <c r="B40" i="3"/>
  <c r="D87" i="3"/>
  <c r="D151" i="3"/>
  <c r="E21" i="3"/>
  <c r="D32" i="3"/>
  <c r="H156" i="3"/>
  <c r="B32" i="3"/>
  <c r="B181" i="3"/>
  <c r="H120" i="3"/>
  <c r="D109" i="3"/>
  <c r="C84" i="3"/>
  <c r="C122" i="3"/>
  <c r="C176" i="3"/>
  <c r="E148" i="3"/>
  <c r="F115" i="3"/>
  <c r="F198" i="3"/>
  <c r="E121" i="3"/>
  <c r="E146" i="3"/>
  <c r="G17" i="3"/>
  <c r="C97" i="3"/>
  <c r="B85" i="3"/>
  <c r="E82" i="3"/>
  <c r="D153" i="3"/>
  <c r="H121" i="3"/>
  <c r="E94" i="3"/>
  <c r="G118" i="3"/>
  <c r="G179" i="3"/>
  <c r="D160" i="3"/>
  <c r="F126" i="3"/>
  <c r="G190" i="3"/>
  <c r="B96" i="3"/>
  <c r="G131" i="3"/>
  <c r="C38" i="3"/>
  <c r="G181" i="3"/>
  <c r="H155" i="3"/>
  <c r="I180" i="3"/>
  <c r="G16" i="3"/>
  <c r="H87" i="3"/>
  <c r="F23" i="3"/>
  <c r="G203" i="3"/>
  <c r="B41" i="3"/>
  <c r="E203" i="3"/>
  <c r="I127" i="3"/>
  <c r="I98" i="3"/>
  <c r="C90" i="3"/>
  <c r="F156" i="3"/>
  <c r="E89" i="3"/>
  <c r="E33" i="3"/>
  <c r="I36" i="3"/>
  <c r="C150" i="3"/>
  <c r="B124" i="3"/>
  <c r="I96" i="3"/>
  <c r="D128" i="3"/>
  <c r="D183" i="3"/>
  <c r="F194" i="3"/>
  <c r="I165" i="3"/>
  <c r="H14" i="3"/>
  <c r="B123" i="3"/>
  <c r="G163" i="3"/>
  <c r="F33" i="3"/>
  <c r="C156" i="3"/>
  <c r="I32" i="3"/>
  <c r="E98" i="3"/>
  <c r="H84" i="3"/>
  <c r="D145" i="3"/>
  <c r="E158" i="3"/>
  <c r="G130" i="3"/>
  <c r="D159" i="3"/>
  <c r="H21" i="3"/>
  <c r="B198" i="3"/>
  <c r="C34" i="3"/>
  <c r="I179" i="3"/>
  <c r="I162" i="3"/>
  <c r="E43" i="3"/>
  <c r="C36" i="3"/>
  <c r="B160" i="3"/>
  <c r="F37" i="3"/>
  <c r="F163" i="3"/>
  <c r="H126" i="3"/>
  <c r="H93" i="3"/>
  <c r="E155" i="3"/>
  <c r="G14" i="3"/>
  <c r="F185" i="3"/>
  <c r="F93" i="3"/>
  <c r="B109" i="3"/>
  <c r="B18" i="3"/>
  <c r="B27" i="3"/>
  <c r="I95" i="3"/>
  <c r="H180" i="3"/>
  <c r="E168" i="3"/>
  <c r="E85" i="3"/>
  <c r="B151" i="3"/>
  <c r="F202" i="3"/>
  <c r="D42" i="3"/>
  <c r="B111" i="3"/>
  <c r="G176" i="3"/>
  <c r="C43" i="3"/>
  <c r="I166" i="3"/>
  <c r="D166" i="3"/>
  <c r="H192" i="3"/>
  <c r="I108" i="3"/>
  <c r="I23" i="3"/>
  <c r="B178" i="3"/>
  <c r="D129" i="3"/>
  <c r="H153" i="3"/>
  <c r="I141" i="3"/>
  <c r="C128" i="3"/>
  <c r="I22" i="3"/>
  <c r="I33" i="3"/>
  <c r="B99" i="3"/>
  <c r="E184" i="3"/>
  <c r="F81" i="3"/>
  <c r="C92" i="3"/>
  <c r="F149" i="3"/>
  <c r="I147" i="3"/>
  <c r="G91" i="3"/>
  <c r="B176" i="3"/>
  <c r="E132" i="3"/>
  <c r="F195" i="3"/>
  <c r="B131" i="3"/>
  <c r="D125" i="3"/>
  <c r="C153" i="3"/>
  <c r="G25" i="3"/>
  <c r="I143" i="3"/>
  <c r="H35" i="3"/>
  <c r="I181" i="3"/>
  <c r="F124" i="3"/>
  <c r="E32" i="3"/>
  <c r="F170" i="3"/>
  <c r="H99" i="3"/>
  <c r="C130" i="3"/>
  <c r="I87" i="3"/>
  <c r="B129" i="3"/>
  <c r="E20" i="3"/>
  <c r="I204" i="3"/>
  <c r="F120" i="3"/>
  <c r="F31" i="3"/>
  <c r="B30" i="3"/>
  <c r="B121" i="3"/>
  <c r="G26" i="3"/>
  <c r="D117" i="3"/>
  <c r="G102" i="3"/>
  <c r="D176" i="3"/>
  <c r="F158" i="3"/>
  <c r="D98" i="3"/>
  <c r="C180" i="3"/>
  <c r="H151" i="3"/>
  <c r="B138" i="3"/>
  <c r="C45" i="3"/>
  <c r="F130" i="3"/>
  <c r="G175" i="3"/>
  <c r="F160" i="3"/>
  <c r="G39" i="3"/>
  <c r="B22" i="3"/>
  <c r="F97" i="3"/>
  <c r="C177" i="3"/>
  <c r="D194" i="3"/>
  <c r="B29" i="3"/>
  <c r="I104" i="3"/>
  <c r="I93" i="3"/>
  <c r="B132" i="3"/>
  <c r="I177" i="3"/>
  <c r="H43" i="3"/>
  <c r="C106" i="3"/>
  <c r="B188" i="3"/>
  <c r="I19" i="3"/>
  <c r="D192" i="3"/>
  <c r="H166" i="3"/>
  <c r="B170" i="3"/>
  <c r="E111" i="3"/>
  <c r="D118" i="3"/>
  <c r="F151" i="3"/>
  <c r="I148" i="3"/>
  <c r="H31" i="3"/>
  <c r="B89" i="3"/>
  <c r="D123" i="3"/>
  <c r="H197" i="3"/>
  <c r="E193" i="3"/>
  <c r="B187" i="3"/>
  <c r="I88" i="3"/>
  <c r="I42" i="3"/>
  <c r="C124" i="3"/>
  <c r="I113" i="3"/>
  <c r="B35" i="3"/>
  <c r="F118" i="3"/>
  <c r="E169" i="3"/>
  <c r="E123" i="3"/>
  <c r="D131" i="3"/>
  <c r="B157" i="3"/>
  <c r="B101" i="3"/>
  <c r="I28" i="3"/>
  <c r="D24" i="3"/>
  <c r="F175" i="3"/>
  <c r="B119" i="3"/>
  <c r="E15" i="3"/>
  <c r="I85" i="3"/>
  <c r="B21" i="3"/>
  <c r="B19" i="3"/>
  <c r="I34" i="3"/>
  <c r="G115" i="3"/>
  <c r="B37" i="3"/>
  <c r="G126" i="3"/>
  <c r="H177" i="3"/>
  <c r="D201" i="3"/>
  <c r="D22" i="3"/>
  <c r="I109" i="3"/>
  <c r="D116" i="3"/>
  <c r="C200" i="3"/>
  <c r="I14" i="3"/>
  <c r="I25" i="3"/>
  <c r="H175" i="3"/>
  <c r="C185" i="3"/>
  <c r="H102" i="3"/>
  <c r="F140" i="3"/>
  <c r="G120" i="3"/>
  <c r="C123" i="3"/>
  <c r="E143" i="3"/>
  <c r="G143" i="3"/>
  <c r="H152" i="3"/>
  <c r="D155" i="3"/>
  <c r="H38" i="3"/>
  <c r="I139" i="3"/>
  <c r="C146" i="3"/>
  <c r="G117" i="3"/>
  <c r="D14" i="3"/>
  <c r="G125" i="3"/>
  <c r="C154" i="3"/>
  <c r="B190" i="3"/>
  <c r="C26" i="3"/>
  <c r="I163" i="3"/>
  <c r="I146" i="3"/>
  <c r="G82" i="3"/>
  <c r="C87" i="3"/>
  <c r="D204" i="3"/>
  <c r="F166" i="3"/>
  <c r="H85" i="3"/>
  <c r="D179" i="3"/>
  <c r="F102" i="3"/>
  <c r="I184" i="3"/>
  <c r="D150" i="3"/>
  <c r="G106" i="3"/>
  <c r="E186" i="3"/>
  <c r="H186" i="3"/>
  <c r="G20" i="3"/>
  <c r="G170" i="3"/>
  <c r="H113" i="3"/>
  <c r="B182" i="3"/>
  <c r="I86" i="3"/>
  <c r="C196" i="3"/>
  <c r="H183" i="3"/>
  <c r="I125" i="3"/>
  <c r="B204" i="3"/>
  <c r="D178" i="3"/>
  <c r="B202" i="3"/>
  <c r="G133" i="3"/>
  <c r="D26" i="3"/>
  <c r="E97" i="3"/>
  <c r="C131" i="3"/>
  <c r="G144" i="3"/>
  <c r="H136" i="3"/>
  <c r="E19" i="3"/>
  <c r="F145" i="3"/>
  <c r="E129" i="3"/>
  <c r="H182" i="3"/>
  <c r="I37" i="3"/>
  <c r="I26" i="3"/>
  <c r="C204" i="3"/>
  <c r="D120" i="3"/>
  <c r="E31" i="3"/>
  <c r="I186" i="3"/>
  <c r="C81" i="3"/>
  <c r="H33" i="3"/>
  <c r="E166" i="3"/>
  <c r="D169" i="3"/>
  <c r="H185" i="3"/>
  <c r="D97" i="3"/>
  <c r="G157" i="3"/>
  <c r="C17" i="3"/>
  <c r="C186" i="3"/>
  <c r="H96" i="3"/>
  <c r="B110" i="3"/>
  <c r="H20" i="3"/>
  <c r="B31" i="3"/>
  <c r="H106" i="3"/>
  <c r="C20" i="3"/>
  <c r="G107" i="3"/>
  <c r="C144" i="3"/>
  <c r="D188" i="3"/>
  <c r="G164" i="3"/>
  <c r="G139" i="3"/>
  <c r="H110" i="3"/>
  <c r="H159" i="3"/>
  <c r="E185" i="3"/>
  <c r="H125" i="3"/>
  <c r="G182" i="3"/>
  <c r="D25" i="3"/>
  <c r="D90" i="3"/>
  <c r="I168" i="3"/>
  <c r="D99" i="3"/>
  <c r="G183" i="3"/>
  <c r="B135" i="3"/>
  <c r="D121" i="3"/>
  <c r="B175" i="3"/>
  <c r="I121" i="3"/>
  <c r="C145" i="3"/>
  <c r="E117" i="3"/>
  <c r="D198" i="3"/>
  <c r="B152" i="3"/>
  <c r="F147" i="3"/>
  <c r="H127" i="3"/>
  <c r="B133" i="3"/>
  <c r="D23" i="3"/>
  <c r="H140" i="3"/>
  <c r="G136" i="3"/>
  <c r="E104" i="3"/>
  <c r="E93" i="3"/>
  <c r="F109" i="3"/>
  <c r="F144" i="3"/>
  <c r="I154" i="3"/>
  <c r="E127" i="3"/>
  <c r="E119" i="3"/>
  <c r="B150" i="3"/>
  <c r="H23" i="3"/>
  <c r="I40" i="3"/>
  <c r="F88" i="3"/>
  <c r="H173" i="3"/>
  <c r="F42" i="3"/>
  <c r="B94" i="3"/>
  <c r="E136" i="3"/>
  <c r="I132" i="3"/>
  <c r="I133" i="3"/>
  <c r="C164" i="3"/>
  <c r="F187" i="3"/>
  <c r="C29" i="3"/>
  <c r="B143" i="3"/>
  <c r="F82" i="3"/>
  <c r="F30" i="3"/>
  <c r="E154" i="3"/>
  <c r="B45" i="3"/>
  <c r="C119" i="3"/>
  <c r="G108" i="3"/>
  <c r="D136" i="3"/>
  <c r="D82" i="3"/>
  <c r="I107" i="3"/>
  <c r="B162" i="3"/>
  <c r="D135" i="3"/>
  <c r="C104" i="3"/>
  <c r="G109" i="3"/>
  <c r="B166" i="3"/>
  <c r="I115" i="3"/>
  <c r="B15" i="3"/>
  <c r="I129" i="3"/>
  <c r="B128" i="3"/>
  <c r="I81" i="3"/>
  <c r="G187" i="3"/>
  <c r="D138" i="3"/>
  <c r="H190" i="3"/>
  <c r="H26" i="3"/>
  <c r="I15" i="3"/>
  <c r="H148" i="3"/>
  <c r="F143" i="3"/>
  <c r="H114" i="3"/>
  <c r="E157" i="3"/>
  <c r="H41" i="3"/>
  <c r="C173" i="3"/>
  <c r="H139" i="3"/>
  <c r="G191" i="3"/>
  <c r="I172" i="3"/>
  <c r="C94" i="3"/>
  <c r="F189" i="3"/>
  <c r="E159" i="3"/>
  <c r="D101" i="3"/>
  <c r="C133" i="3"/>
  <c r="G189" i="3"/>
  <c r="C100" i="3"/>
  <c r="F133" i="3"/>
  <c r="B158" i="3"/>
  <c r="H103" i="3"/>
  <c r="D45" i="3"/>
  <c r="C19" i="3"/>
  <c r="F90" i="3"/>
  <c r="I161" i="3"/>
  <c r="F99" i="3"/>
  <c r="D140" i="3"/>
  <c r="G132" i="3"/>
  <c r="C127" i="3"/>
  <c r="B25" i="3"/>
  <c r="H191" i="3"/>
  <c r="G129" i="3"/>
  <c r="F137" i="3"/>
  <c r="B165" i="3"/>
  <c r="I110" i="3"/>
  <c r="I149" i="3"/>
  <c r="I120" i="3"/>
  <c r="H204" i="3"/>
  <c r="E37" i="3"/>
  <c r="B167" i="3"/>
  <c r="E192" i="3"/>
  <c r="C179" i="3"/>
  <c r="F168" i="3"/>
  <c r="B106" i="3"/>
  <c r="B169" i="3"/>
  <c r="G110" i="3"/>
  <c r="C114" i="3"/>
  <c r="E198" i="3"/>
  <c r="D177" i="3"/>
  <c r="H169" i="3"/>
  <c r="H37" i="3"/>
  <c r="B118" i="3"/>
  <c r="I194" i="3"/>
  <c r="I43" i="3"/>
  <c r="B112" i="3"/>
  <c r="D196" i="3"/>
  <c r="H158" i="3"/>
  <c r="H42" i="3"/>
  <c r="G166" i="3"/>
  <c r="D195" i="3"/>
  <c r="G43" i="3"/>
  <c r="B16" i="3"/>
  <c r="I144" i="3"/>
  <c r="G152" i="3"/>
  <c r="F111" i="3"/>
  <c r="E101" i="3"/>
  <c r="C96" i="3"/>
  <c r="H138" i="3"/>
  <c r="H98" i="3"/>
  <c r="E122" i="3"/>
  <c r="E149" i="3"/>
  <c r="H203" i="3"/>
  <c r="E176" i="3"/>
  <c r="F184" i="3"/>
  <c r="C99" i="3"/>
  <c r="I150" i="3"/>
  <c r="E163" i="3"/>
  <c r="E145" i="3"/>
  <c r="B203" i="3"/>
  <c r="E177" i="3"/>
  <c r="G186" i="3"/>
  <c r="E118" i="3"/>
  <c r="E41" i="3"/>
  <c r="I116" i="3"/>
  <c r="D187" i="3"/>
  <c r="H167" i="3"/>
  <c r="B196" i="3"/>
  <c r="C108" i="3"/>
  <c r="C23" i="3"/>
  <c r="I16" i="3"/>
  <c r="F24" i="3"/>
  <c r="D104" i="3"/>
  <c r="C141" i="3"/>
  <c r="F107" i="3"/>
  <c r="D162" i="3"/>
  <c r="C188" i="3"/>
  <c r="C107" i="3"/>
  <c r="G19" i="3"/>
  <c r="B36" i="3"/>
  <c r="F25" i="3"/>
  <c r="G32" i="3"/>
  <c r="F41" i="3"/>
  <c r="I170" i="3"/>
  <c r="H25" i="3"/>
  <c r="H161" i="3"/>
  <c r="E160" i="3"/>
  <c r="F95" i="3"/>
  <c r="B155" i="3"/>
  <c r="E188" i="3"/>
  <c r="D184" i="3"/>
  <c r="I99" i="3"/>
  <c r="D15" i="3"/>
  <c r="H91" i="3"/>
  <c r="B146" i="3"/>
  <c r="F125" i="3"/>
  <c r="C88" i="3"/>
  <c r="D161" i="3"/>
  <c r="C165" i="3"/>
  <c r="D30" i="3"/>
  <c r="E135" i="3"/>
  <c r="F165" i="3"/>
  <c r="H29" i="3"/>
  <c r="C42" i="3"/>
  <c r="I195" i="3"/>
  <c r="I178" i="3"/>
  <c r="D43" i="3"/>
  <c r="I94" i="3"/>
  <c r="F32" i="3"/>
  <c r="C112" i="3"/>
  <c r="D156" i="3"/>
  <c r="B200" i="3"/>
  <c r="F29" i="3"/>
  <c r="I17" i="3"/>
  <c r="C159" i="3"/>
  <c r="D122" i="3"/>
  <c r="H174" i="3"/>
  <c r="H189" i="3"/>
  <c r="H101" i="3"/>
  <c r="G161" i="3"/>
  <c r="G22" i="3"/>
  <c r="C190" i="3"/>
  <c r="F101" i="3"/>
  <c r="B117" i="3"/>
  <c r="B26" i="3"/>
  <c r="G27" i="3"/>
  <c r="C98" i="3"/>
  <c r="G95" i="3"/>
  <c r="I136" i="3"/>
  <c r="F180" i="3"/>
  <c r="E152" i="3"/>
  <c r="E107" i="3"/>
  <c r="G119" i="3"/>
  <c r="C203" i="3"/>
  <c r="E42" i="3"/>
  <c r="H147" i="3"/>
  <c r="B199" i="3"/>
  <c r="B186" i="3"/>
  <c r="G122" i="3"/>
  <c r="H123" i="3"/>
  <c r="C163" i="3"/>
  <c r="I164" i="3"/>
  <c r="E86" i="3"/>
  <c r="B105" i="3"/>
  <c r="C134" i="3"/>
  <c r="E17" i="3"/>
  <c r="F200" i="3"/>
  <c r="H112" i="3"/>
  <c r="I90" i="3"/>
  <c r="D203" i="3"/>
  <c r="G174" i="3"/>
  <c r="H117" i="3"/>
  <c r="D172" i="3"/>
  <c r="E116" i="3"/>
  <c r="C191" i="3"/>
  <c r="D154" i="3"/>
  <c r="E141" i="3"/>
  <c r="D141" i="3"/>
  <c r="H157" i="3"/>
  <c r="F18" i="3"/>
  <c r="G33" i="3"/>
  <c r="I159" i="3"/>
  <c r="E39" i="3"/>
  <c r="G28" i="3"/>
  <c r="F164" i="3"/>
  <c r="D83" i="3"/>
  <c r="C171" i="3"/>
  <c r="H130" i="3"/>
  <c r="C194" i="3"/>
  <c r="H202" i="3"/>
  <c r="C16" i="3"/>
  <c r="H97" i="3"/>
  <c r="E181" i="3"/>
  <c r="I197" i="3"/>
  <c r="D100" i="3"/>
  <c r="G104" i="3"/>
  <c r="H40" i="3"/>
  <c r="H17" i="3"/>
  <c r="C157" i="3"/>
  <c r="E190" i="3"/>
  <c r="C25" i="3"/>
  <c r="H104" i="3"/>
  <c r="C85" i="3"/>
  <c r="H28" i="3"/>
  <c r="G31" i="3"/>
  <c r="C102" i="3"/>
  <c r="C103" i="3"/>
  <c r="C184" i="3"/>
  <c r="E196" i="3"/>
  <c r="D170" i="3"/>
  <c r="E173" i="3"/>
  <c r="E130" i="3"/>
  <c r="E187" i="3"/>
  <c r="D41" i="3"/>
  <c r="I82" i="3"/>
  <c r="I112" i="3"/>
  <c r="H196" i="3"/>
  <c r="E45" i="3"/>
  <c r="B183" i="3"/>
  <c r="H187" i="3"/>
  <c r="I185" i="3"/>
  <c r="F113" i="3"/>
  <c r="F178" i="3"/>
  <c r="D86" i="3"/>
  <c r="B185" i="3"/>
  <c r="G121" i="3"/>
  <c r="H105" i="3"/>
  <c r="I189" i="3"/>
  <c r="H198" i="3"/>
  <c r="I145" i="3"/>
  <c r="F190" i="3"/>
  <c r="E113" i="3"/>
  <c r="G165" i="3"/>
  <c r="D93" i="3"/>
  <c r="E30" i="3"/>
  <c r="G111" i="3"/>
  <c r="E44" i="3"/>
  <c r="F128" i="3"/>
  <c r="I198" i="3"/>
  <c r="C166" i="3"/>
  <c r="F174" i="3"/>
  <c r="I21" i="3"/>
  <c r="D200" i="3"/>
  <c r="B116" i="3"/>
  <c r="F27" i="3"/>
  <c r="C178" i="3"/>
  <c r="G149" i="3"/>
  <c r="D85" i="3"/>
  <c r="H201" i="3"/>
  <c r="C117" i="3"/>
  <c r="G173" i="3"/>
  <c r="C41" i="3"/>
  <c r="C202" i="3"/>
  <c r="F117" i="3"/>
  <c r="B134" i="3"/>
  <c r="H44" i="3"/>
  <c r="D27" i="3"/>
  <c r="G98" i="3"/>
  <c r="B95" i="3"/>
  <c r="C136" i="3"/>
  <c r="D180" i="3"/>
  <c r="E164" i="3"/>
  <c r="G116" i="3"/>
  <c r="G123" i="3"/>
  <c r="B84" i="3"/>
  <c r="F150" i="3"/>
  <c r="D202" i="3"/>
  <c r="E137" i="3"/>
  <c r="E109" i="3"/>
  <c r="H141" i="3"/>
  <c r="G198" i="3"/>
  <c r="G113" i="3"/>
  <c r="C142" i="3"/>
  <c r="B173" i="3"/>
  <c r="I126" i="3"/>
  <c r="I111" i="3"/>
  <c r="C82" i="3"/>
  <c r="I117" i="3"/>
  <c r="F36" i="3"/>
  <c r="H116" i="3"/>
  <c r="I160" i="3"/>
  <c r="F204" i="3"/>
  <c r="D40" i="3"/>
  <c r="E16" i="3"/>
  <c r="E29" i="3"/>
  <c r="G167" i="3"/>
  <c r="D126" i="3"/>
  <c r="H178" i="3"/>
  <c r="F173" i="3"/>
  <c r="D20" i="3"/>
  <c r="F28" i="3"/>
  <c r="B193" i="3"/>
  <c r="G137" i="3"/>
  <c r="H30" i="3"/>
  <c r="F114" i="3"/>
  <c r="C147" i="3"/>
  <c r="G192" i="3"/>
  <c r="F152" i="3"/>
  <c r="B24" i="3"/>
  <c r="B39" i="3"/>
  <c r="I199" i="3"/>
  <c r="G88" i="3"/>
  <c r="F38" i="3"/>
  <c r="E170" i="3"/>
  <c r="D181" i="3"/>
  <c r="I122" i="3"/>
  <c r="C14" i="3"/>
  <c r="G202" i="3"/>
  <c r="H145" i="3"/>
  <c r="C197" i="3"/>
  <c r="E110" i="3"/>
  <c r="E167" i="3"/>
  <c r="C33" i="3"/>
  <c r="F197" i="3"/>
  <c r="D111" i="3"/>
  <c r="B126" i="3"/>
  <c r="H36" i="3"/>
  <c r="E27" i="3"/>
  <c r="B98" i="3"/>
  <c r="D108" i="3"/>
  <c r="C160" i="3"/>
  <c r="F45" i="3"/>
  <c r="G171" i="3"/>
  <c r="B115" i="3"/>
  <c r="E178" i="3"/>
  <c r="G38" i="3"/>
  <c r="F85" i="3"/>
  <c r="G100" i="3"/>
  <c r="C31" i="3"/>
  <c r="F132" i="3"/>
  <c r="E91" i="3"/>
  <c r="F127" i="3"/>
  <c r="E26" i="3"/>
  <c r="H194" i="3"/>
  <c r="H184" i="3"/>
  <c r="E161" i="3"/>
  <c r="E84" i="3"/>
  <c r="E36" i="3"/>
  <c r="I124" i="3"/>
  <c r="D19" i="3"/>
  <c r="E195" i="3"/>
  <c r="E138" i="3"/>
  <c r="D199" i="3"/>
  <c r="E126" i="3"/>
  <c r="E183" i="3"/>
  <c r="C18" i="3"/>
  <c r="D29" i="3"/>
  <c r="I193" i="3"/>
  <c r="D132" i="3"/>
  <c r="I97" i="3"/>
  <c r="C111" i="3"/>
  <c r="F182" i="3"/>
  <c r="G97" i="3"/>
  <c r="F153" i="3"/>
  <c r="B189" i="3"/>
  <c r="I158" i="3"/>
  <c r="C15" i="3"/>
  <c r="F86" i="3"/>
  <c r="G44" i="3"/>
  <c r="H164" i="3"/>
  <c r="D91" i="3"/>
  <c r="C155" i="3"/>
  <c r="H131" i="3"/>
  <c r="B154" i="3"/>
  <c r="E128" i="3"/>
  <c r="C198" i="3"/>
  <c r="D133" i="3"/>
  <c r="B127" i="3"/>
  <c r="D44" i="3"/>
  <c r="H160" i="3"/>
  <c r="F105" i="3"/>
  <c r="H149" i="3"/>
  <c r="F91" i="3"/>
  <c r="E140" i="3"/>
  <c r="G99" i="3"/>
  <c r="E172" i="3"/>
  <c r="H83" i="3"/>
  <c r="D119" i="3"/>
  <c r="D36" i="3"/>
  <c r="G36" i="3"/>
  <c r="B113" i="3"/>
  <c r="G18" i="3"/>
  <c r="F142" i="3"/>
  <c r="G195" i="3"/>
  <c r="E124" i="3"/>
  <c r="C172" i="3"/>
  <c r="B87" i="3"/>
  <c r="I102" i="3"/>
  <c r="B103" i="3"/>
  <c r="E204" i="3"/>
  <c r="B108" i="3"/>
  <c r="I123" i="3"/>
  <c r="F141" i="3"/>
  <c r="E197" i="3"/>
  <c r="I20" i="3"/>
  <c r="B145" i="3"/>
  <c r="G85" i="3"/>
  <c r="D165" i="3"/>
  <c r="H135" i="3"/>
  <c r="C183" i="3"/>
  <c r="F100" i="3"/>
  <c r="D168" i="3"/>
  <c r="G83" i="3"/>
  <c r="I35" i="3"/>
  <c r="G89" i="3"/>
  <c r="C126" i="3"/>
  <c r="B149" i="3"/>
  <c r="B93" i="3"/>
  <c r="H19" i="3"/>
  <c r="H124" i="3"/>
  <c r="E40" i="3"/>
  <c r="E88" i="3"/>
  <c r="F186" i="3"/>
  <c r="C22" i="3"/>
  <c r="D84" i="3"/>
  <c r="G201" i="3"/>
  <c r="E38" i="3"/>
  <c r="C115" i="3"/>
  <c r="E103" i="3"/>
  <c r="F136" i="3"/>
  <c r="C27" i="3"/>
  <c r="I182" i="3"/>
  <c r="B201" i="3"/>
  <c r="F161" i="3"/>
  <c r="E131" i="3"/>
  <c r="H22" i="3"/>
  <c r="G196" i="3"/>
  <c r="C201" i="3"/>
  <c r="D115" i="3"/>
  <c r="B42" i="3"/>
  <c r="I169" i="3"/>
  <c r="H32" i="3"/>
  <c r="C109" i="3"/>
  <c r="F119" i="3"/>
  <c r="C182" i="3"/>
  <c r="B194" i="3"/>
  <c r="D18" i="3"/>
  <c r="D127" i="3"/>
  <c r="H95" i="3"/>
  <c r="D94" i="3"/>
  <c r="D164" i="3"/>
  <c r="C175" i="3"/>
  <c r="H143" i="3"/>
  <c r="D189" i="3"/>
  <c r="G30" i="3"/>
  <c r="G92" i="3"/>
  <c r="C91" i="3"/>
  <c r="I176" i="3"/>
  <c r="H146" i="3"/>
  <c r="H129" i="3"/>
  <c r="E92" i="3"/>
  <c r="H94" i="3"/>
  <c r="D146" i="3"/>
  <c r="B86" i="3"/>
  <c r="B172" i="3"/>
  <c r="C199" i="3"/>
  <c r="B139" i="3"/>
  <c r="C105" i="3"/>
  <c r="C195" i="3"/>
  <c r="H168" i="3"/>
  <c r="I183" i="3"/>
  <c r="H199" i="3"/>
  <c r="H137" i="3"/>
  <c r="G194" i="3"/>
  <c r="C138" i="3"/>
  <c r="D96" i="3"/>
  <c r="H90" i="3"/>
  <c r="F83" i="3"/>
  <c r="C168" i="3"/>
  <c r="F104" i="3"/>
  <c r="I92" i="3"/>
  <c r="B17" i="3"/>
  <c r="D157" i="3"/>
  <c r="E162" i="3"/>
  <c r="D163" i="3"/>
  <c r="F26" i="3"/>
  <c r="G41" i="3"/>
  <c r="I190" i="3"/>
  <c r="I175" i="3"/>
  <c r="D39" i="3"/>
  <c r="C24" i="3"/>
  <c r="F108" i="3"/>
  <c r="I192" i="3"/>
  <c r="H163" i="3"/>
  <c r="I202" i="3"/>
  <c r="F112" i="3"/>
  <c r="G29" i="3"/>
  <c r="E112" i="3"/>
  <c r="G87" i="3"/>
  <c r="D33" i="3"/>
  <c r="G185" i="3"/>
  <c r="C129" i="3"/>
  <c r="D112" i="3"/>
  <c r="I29" i="3"/>
  <c r="C116" i="3"/>
  <c r="I18" i="3"/>
  <c r="I45" i="3"/>
  <c r="I187" i="3"/>
  <c r="C162" i="3"/>
  <c r="E133" i="3"/>
  <c r="B177" i="3"/>
  <c r="E115" i="3"/>
  <c r="D130" i="3"/>
  <c r="F84" i="3"/>
  <c r="B164" i="3"/>
  <c r="F40" i="3"/>
  <c r="B102" i="3"/>
  <c r="I203" i="3"/>
  <c r="D167" i="3"/>
  <c r="G138" i="3"/>
  <c r="D34" i="3"/>
  <c r="E199" i="3"/>
  <c r="G114" i="3"/>
  <c r="D143" i="3"/>
  <c r="B174" i="3"/>
  <c r="I131" i="3"/>
  <c r="I114" i="3"/>
  <c r="G15" i="3"/>
  <c r="C86" i="3"/>
  <c r="D124" i="3"/>
  <c r="B168" i="3"/>
  <c r="F96" i="3"/>
  <c r="I38" i="3"/>
  <c r="I84" i="3"/>
  <c r="F179" i="3"/>
  <c r="D186" i="3"/>
  <c r="D173" i="3"/>
  <c r="C169" i="3"/>
  <c r="H34" i="3"/>
  <c r="E139" i="3"/>
  <c r="F169" i="3"/>
  <c r="F34" i="3"/>
  <c r="G84" i="3"/>
  <c r="I191" i="3"/>
  <c r="F35" i="3"/>
  <c r="E106" i="3"/>
  <c r="F20" i="3"/>
  <c r="H107" i="3"/>
  <c r="F148" i="3"/>
  <c r="H188" i="3"/>
  <c r="G168" i="3"/>
  <c r="C139" i="3"/>
  <c r="D110" i="3"/>
  <c r="H162" i="3"/>
  <c r="E125" i="3"/>
  <c r="I138" i="3"/>
  <c r="G197" i="3"/>
  <c r="E150" i="3"/>
  <c r="E25" i="3"/>
  <c r="E28" i="3"/>
  <c r="F15" i="3"/>
  <c r="D197" i="3"/>
  <c r="F146" i="3"/>
  <c r="F199" i="3"/>
  <c r="E144" i="3"/>
  <c r="H176" i="3"/>
  <c r="B91" i="3"/>
  <c r="F98" i="3"/>
  <c r="I167" i="3"/>
  <c r="G37" i="3"/>
  <c r="F22" i="3"/>
  <c r="C161" i="3"/>
  <c r="D149" i="3"/>
  <c r="C192" i="3"/>
  <c r="B179" i="3"/>
  <c r="E114" i="3"/>
  <c r="G150" i="3"/>
  <c r="F201" i="3"/>
  <c r="G94" i="3"/>
  <c r="F87" i="3"/>
  <c r="H172" i="3"/>
  <c r="E120" i="3"/>
  <c r="F191" i="3"/>
  <c r="F154" i="3"/>
  <c r="E189" i="3"/>
  <c r="B122" i="3"/>
  <c r="G154" i="3"/>
  <c r="E81" i="3"/>
  <c r="G112" i="3"/>
  <c r="D35" i="3"/>
  <c r="F177" i="3"/>
  <c r="B159" i="3"/>
  <c r="I188" i="3"/>
  <c r="G90" i="3"/>
  <c r="B14" i="3"/>
  <c r="G153" i="3"/>
  <c r="H89" i="3"/>
  <c r="F157" i="3"/>
  <c r="D113" i="3"/>
  <c r="C149" i="3"/>
  <c r="I130" i="3"/>
  <c r="F39" i="3"/>
  <c r="I173" i="3"/>
  <c r="C120" i="3"/>
  <c r="I30" i="3"/>
  <c r="I41" i="3"/>
  <c r="B33" i="3"/>
  <c r="B195" i="3"/>
  <c r="H109" i="3"/>
  <c r="G145" i="3"/>
  <c r="C174" i="3"/>
  <c r="I201" i="3"/>
  <c r="H132" i="3"/>
  <c r="E99" i="3"/>
  <c r="G135" i="3"/>
  <c r="E34" i="3"/>
  <c r="H195" i="3"/>
  <c r="E175" i="3"/>
  <c r="E14" i="3"/>
  <c r="E95" i="3"/>
  <c r="B23" i="3"/>
  <c r="G34" i="3"/>
  <c r="H154" i="3"/>
  <c r="F167" i="3"/>
  <c r="H15" i="3"/>
  <c r="C193" i="3"/>
  <c r="I83" i="3"/>
  <c r="F92" i="3"/>
  <c r="C44" i="3"/>
  <c r="E108" i="3"/>
  <c r="H16" i="3"/>
  <c r="H92" i="3"/>
  <c r="E182" i="3"/>
  <c r="D103" i="3"/>
  <c r="C83" i="3"/>
  <c r="G45" i="3"/>
  <c r="H150" i="3"/>
  <c r="F203" i="3"/>
  <c r="E156" i="3"/>
  <c r="B180" i="3"/>
  <c r="C95" i="3"/>
  <c r="I157" i="3"/>
  <c r="D88" i="3"/>
  <c r="E191" i="3"/>
  <c r="E134" i="3"/>
  <c r="C181" i="3"/>
  <c r="D89" i="3"/>
  <c r="E151" i="3"/>
  <c r="F181" i="3"/>
  <c r="H88" i="3"/>
  <c r="C101" i="3"/>
  <c r="C35" i="3"/>
  <c r="F106" i="3"/>
  <c r="G24" i="3"/>
  <c r="B107" i="3"/>
  <c r="D148" i="3"/>
  <c r="B192" i="3"/>
  <c r="G180" i="3"/>
  <c r="C143" i="3"/>
  <c r="H111" i="3"/>
  <c r="B163" i="3"/>
  <c r="E201" i="3"/>
  <c r="C121" i="3"/>
  <c r="G177" i="3"/>
  <c r="G81" i="3"/>
  <c r="F121" i="3"/>
  <c r="B141" i="3"/>
  <c r="F19" i="3"/>
  <c r="E90" i="3"/>
  <c r="I137" i="3"/>
  <c r="B83" i="3"/>
  <c r="I128" i="3"/>
  <c r="F172" i="3"/>
  <c r="D107" i="3"/>
  <c r="E83" i="3"/>
  <c r="E96" i="3"/>
  <c r="C187" i="3"/>
  <c r="E18" i="3"/>
  <c r="F138" i="3"/>
  <c r="D190" i="3"/>
  <c r="C89" i="3"/>
  <c r="D185" i="3"/>
  <c r="F162" i="3"/>
  <c r="I196" i="3"/>
  <c r="I106" i="3"/>
  <c r="I151" i="3"/>
  <c r="F14" i="3"/>
  <c r="H165" i="3"/>
  <c r="B191" i="3"/>
  <c r="E22" i="3"/>
  <c r="E100" i="3"/>
  <c r="E87" i="3"/>
  <c r="H128" i="3"/>
  <c r="I153" i="3"/>
  <c r="G23" i="3"/>
  <c r="B97" i="3"/>
  <c r="B153" i="3"/>
  <c r="F129" i="3"/>
  <c r="G93" i="3"/>
  <c r="H24" i="3"/>
  <c r="B114" i="3"/>
  <c r="H100" i="3"/>
  <c r="C21" i="3"/>
  <c r="C189" i="3"/>
  <c r="D193" i="3"/>
  <c r="E174" i="3"/>
  <c r="D81" i="3"/>
  <c r="G146" i="3"/>
  <c r="D175" i="3"/>
  <c r="H45" i="3"/>
  <c r="C93" i="3"/>
  <c r="H39" i="3"/>
  <c r="I27" i="3"/>
  <c r="G40" i="3"/>
  <c r="B120" i="3"/>
  <c r="B184" i="3"/>
  <c r="E180" i="3"/>
  <c r="H142" i="3"/>
  <c r="C137" i="3"/>
  <c r="G193" i="3"/>
  <c r="D92" i="3"/>
  <c r="H86" i="3"/>
  <c r="C40" i="3"/>
  <c r="I152" i="3"/>
  <c r="D16" i="3"/>
  <c r="G200" i="3"/>
  <c r="G151" i="3"/>
  <c r="H115" i="3"/>
  <c r="H193" i="3"/>
  <c r="G103" i="3"/>
  <c r="G96" i="3"/>
  <c r="D95" i="3"/>
  <c r="I103" i="3"/>
  <c r="D139" i="3"/>
  <c r="B130" i="3"/>
  <c r="C37" i="3"/>
  <c r="D38" i="3"/>
  <c r="G141" i="3"/>
  <c r="D191" i="3"/>
  <c r="B28" i="3"/>
  <c r="C152" i="3"/>
  <c r="F21" i="3"/>
  <c r="G155" i="3"/>
  <c r="B100" i="3"/>
  <c r="E194" i="3"/>
  <c r="C110" i="3"/>
  <c r="B125" i="3"/>
  <c r="B34" i="3"/>
  <c r="E23" i="3"/>
  <c r="D106" i="3"/>
  <c r="F103" i="3"/>
  <c r="F188" i="3"/>
  <c r="E200" i="3"/>
  <c r="G199" i="3"/>
  <c r="D158" i="3"/>
  <c r="D37" i="3"/>
  <c r="F183" i="3"/>
  <c r="F176" i="3"/>
  <c r="B38" i="3"/>
  <c r="E179" i="3"/>
  <c r="G127" i="3"/>
  <c r="G128" i="3"/>
  <c r="I140" i="3"/>
  <c r="E102" i="3"/>
  <c r="I135" i="3"/>
  <c r="G21" i="3"/>
  <c r="F193" i="3"/>
  <c r="H27" i="3"/>
  <c r="C132" i="3"/>
  <c r="G124" i="3"/>
  <c r="F123" i="3"/>
  <c r="B104" i="3"/>
  <c r="D31" i="3"/>
  <c r="B140" i="3"/>
  <c r="I101" i="3"/>
  <c r="C135" i="3"/>
  <c r="B88" i="3"/>
  <c r="D182" i="3"/>
  <c r="H200" i="3"/>
  <c r="I39" i="3"/>
  <c r="E147" i="3"/>
  <c r="H81" i="3"/>
  <c r="H118" i="3"/>
  <c r="C151" i="3"/>
  <c r="G204" i="3"/>
  <c r="F17" i="3"/>
  <c r="D152" i="3"/>
  <c r="C28" i="3"/>
  <c r="F94" i="3"/>
  <c r="G35" i="3"/>
  <c r="D144" i="3"/>
  <c r="G188" i="3"/>
  <c r="F155" i="3"/>
  <c r="H119" i="3"/>
  <c r="C39" i="3"/>
  <c r="C148" i="3"/>
  <c r="G156" i="3"/>
  <c r="G147" i="3"/>
  <c r="D114" i="3"/>
  <c r="H170" i="3"/>
  <c r="F192" i="3"/>
  <c r="D102" i="3"/>
  <c r="D17" i="3"/>
  <c r="G169" i="3"/>
  <c r="C113" i="3"/>
  <c r="F110" i="3"/>
  <c r="F139" i="3"/>
  <c r="G172" i="3"/>
  <c r="B148" i="3"/>
  <c r="B20" i="3"/>
</calcChain>
</file>

<file path=xl/sharedStrings.xml><?xml version="1.0" encoding="utf-8"?>
<sst xmlns="http://schemas.openxmlformats.org/spreadsheetml/2006/main" count="1949" uniqueCount="863">
  <si>
    <t>PROVINSI</t>
  </si>
  <si>
    <t>:</t>
  </si>
  <si>
    <t>Kalimantan Selatan</t>
  </si>
  <si>
    <t>DAERAH</t>
  </si>
  <si>
    <t>Kab. Hulu Sungai Selatan</t>
  </si>
  <si>
    <t>NO</t>
  </si>
  <si>
    <t>TAHUN</t>
  </si>
  <si>
    <t>NO RUAS</t>
  </si>
  <si>
    <t>NAMA RUAS JALAN</t>
  </si>
  <si>
    <t>KECAMATAN                                YANG DILALUI</t>
  </si>
  <si>
    <t>PANJANG RUAS
(Km)</t>
  </si>
  <si>
    <t>LEBAR RUAS
(M)</t>
  </si>
  <si>
    <t>JENIS PERKERASAN (KM)</t>
  </si>
  <si>
    <t xml:space="preserve">PANJANG TIAP KONDISI </t>
  </si>
  <si>
    <t xml:space="preserve">LHR </t>
  </si>
  <si>
    <t>AKSES KE
N/P/K</t>
  </si>
  <si>
    <t>KET</t>
  </si>
  <si>
    <t>HOTMIX</t>
  </si>
  <si>
    <t>Lapen / Makadam</t>
  </si>
  <si>
    <t>Perkerasan Beton</t>
  </si>
  <si>
    <t>Telford/ Kerikil</t>
  </si>
  <si>
    <t>Tanah/ Belum Tembus</t>
  </si>
  <si>
    <t>BAIK</t>
  </si>
  <si>
    <t>SEDANG</t>
  </si>
  <si>
    <t>RUSAK RINGAN</t>
  </si>
  <si>
    <t>RUSAK BERAT</t>
  </si>
  <si>
    <t>KM</t>
  </si>
  <si>
    <t>%</t>
  </si>
  <si>
    <t>Jl. Pangeran Antasari - Loklua</t>
  </si>
  <si>
    <t>Kandangan</t>
  </si>
  <si>
    <t>Jl. Soeprapto - Jl. H.M Rusli</t>
  </si>
  <si>
    <t>Jl. Pasar Kandangan - Oprit Jembt. Loklua</t>
  </si>
  <si>
    <t>Jl. Soetoyo - Teluk Mesjid</t>
  </si>
  <si>
    <t>Jl. Teluk Mesjid - Sp. 4 Muara Banta</t>
  </si>
  <si>
    <t>Jl. Merah Johansyah - Jl. Melati</t>
  </si>
  <si>
    <t>Jl. Menuju Stadion 2 Desember</t>
  </si>
  <si>
    <t>Jl. Aluh Idut</t>
  </si>
  <si>
    <t>Jl. Panglima Batur</t>
  </si>
  <si>
    <t>Jl. Nusa Indah</t>
  </si>
  <si>
    <t>Jl. Anggrek</t>
  </si>
  <si>
    <t>Jl. Kenanga</t>
  </si>
  <si>
    <t>Jl. Mawar</t>
  </si>
  <si>
    <t>Jl. Kamboja</t>
  </si>
  <si>
    <t>Jl. Dahlia</t>
  </si>
  <si>
    <t>Jl. KS. Tubun</t>
  </si>
  <si>
    <t>Jl. Pemuda</t>
  </si>
  <si>
    <t>Jl. Parindra</t>
  </si>
  <si>
    <t>Jl. Wahab Syahrani</t>
  </si>
  <si>
    <t>Jl. Musyawarah</t>
  </si>
  <si>
    <t>Jl. Sekolah Islam</t>
  </si>
  <si>
    <t>Jl. Rahmah Bahran</t>
  </si>
  <si>
    <t>Jl. Brigjen Katamso</t>
  </si>
  <si>
    <t>Jl. Kolonel Sugiono</t>
  </si>
  <si>
    <t>Singakarsa - Palas</t>
  </si>
  <si>
    <t>Singakarsa - Getek</t>
  </si>
  <si>
    <t>Parincahan - Singakarsa (Jl. Harapan)</t>
  </si>
  <si>
    <t>Budi Bakti - Tiga Desember</t>
  </si>
  <si>
    <t>Jl. Jafri Zamzam</t>
  </si>
  <si>
    <t>Sungai Damang - Amawang Kiri</t>
  </si>
  <si>
    <t>Amawang Muka - Getek</t>
  </si>
  <si>
    <t>Amawang Kanan - Wasah Hulu</t>
  </si>
  <si>
    <t>Jl. DI. Panjaitan - Loklua</t>
  </si>
  <si>
    <t>Jl. Jend. Sudirman</t>
  </si>
  <si>
    <t>Jl. AES Nasution</t>
  </si>
  <si>
    <t>Tembok Lama - Loklua</t>
  </si>
  <si>
    <t>Jl. Kesehatan - Komp. Rmh Dokter</t>
  </si>
  <si>
    <t>Jl. Samping Bappeda - Mesjid Darul Halik</t>
  </si>
  <si>
    <t>Jl.  Bina Bakat</t>
  </si>
  <si>
    <t>Baluti - Jambu Hulu (Paku)</t>
  </si>
  <si>
    <t>Kandangan - Padang Batung</t>
  </si>
  <si>
    <t>Sp. 3 Baluti - Amawang</t>
  </si>
  <si>
    <t>Sei Kupang Utara - Simp. Empat Lungau</t>
  </si>
  <si>
    <t>Sp. Empat Lungau - Bangkau</t>
  </si>
  <si>
    <t>Sp. Empat Lungau - Garis</t>
  </si>
  <si>
    <t>Gambir - Sp. Empat Lungau</t>
  </si>
  <si>
    <t>Bariang - Getek</t>
  </si>
  <si>
    <t>Muara Banta - Karang Jawa</t>
  </si>
  <si>
    <t>Sungai Paring - Sei Hanyar Pantai Ulin</t>
  </si>
  <si>
    <t>Kandangan - Simpur</t>
  </si>
  <si>
    <t>Kandangan Hulu - Sp. Tabihi</t>
  </si>
  <si>
    <t>Banyu Barau - Sei Kalang</t>
  </si>
  <si>
    <t>Tibung Raya - Asam Cangkuk</t>
  </si>
  <si>
    <t>Gambah Dalam - Rantauan</t>
  </si>
  <si>
    <t>Gambah Luar - Gambah Dalam</t>
  </si>
  <si>
    <t>Pegangsaan Timur - Teluk Aman</t>
  </si>
  <si>
    <t>Gambah Luar - Sungai Kudung</t>
  </si>
  <si>
    <t>Bakarung Tengah - Karang Jawa</t>
  </si>
  <si>
    <t>Jl. Papagaran/Palangsatan</t>
  </si>
  <si>
    <t>Jl. Tembok Kacil. Sei. Kudung</t>
  </si>
  <si>
    <t>Jl. Mesjid Quba</t>
  </si>
  <si>
    <t xml:space="preserve">Jl. Sungai Karuh </t>
  </si>
  <si>
    <t>Rambai - Bariang</t>
  </si>
  <si>
    <t>Jangkang - Pantai Ulin</t>
  </si>
  <si>
    <t>Jl. Padang Palas</t>
  </si>
  <si>
    <t>Tibung Dalam - Teratai</t>
  </si>
  <si>
    <t>Kandangan - Sungai Raya</t>
  </si>
  <si>
    <t>Jl. Kalaka Indah - Perumnas Tibung</t>
  </si>
  <si>
    <t>Jl. Teratai Menuju Komplek Perumnas Hamalau</t>
  </si>
  <si>
    <t>Teluk Pinang - Baluti</t>
  </si>
  <si>
    <t>Tibung Raya - Hamalau Dalam</t>
  </si>
  <si>
    <t>Jl. Baiturrahim Parincahan</t>
  </si>
  <si>
    <t>Jl. Newangsekarti - Ds. Gambah Luar Muka</t>
  </si>
  <si>
    <t>Jl. Tembok Baru (Asam Cangkok)</t>
  </si>
  <si>
    <t>Sungai Paring - Toba</t>
  </si>
  <si>
    <t>Jl. Tembok Baru - Ds. Baluti</t>
  </si>
  <si>
    <t>Jl. H. Jarkasi - Ds. Sungai Paring</t>
  </si>
  <si>
    <t>Bariang - Patigan</t>
  </si>
  <si>
    <t>Gambah Dalam Barat - Mahulung</t>
  </si>
  <si>
    <t>Kandangan - Angkinang</t>
  </si>
  <si>
    <t>Jl. Suriangpati - Gambah Dalam Barat</t>
  </si>
  <si>
    <t>Jl. Menuju SMP 7 - Ds. Gambah Dalam</t>
  </si>
  <si>
    <t>Telaga Banta - Patigan</t>
  </si>
  <si>
    <t xml:space="preserve">Jl. Nomura </t>
  </si>
  <si>
    <t>Jl. Lorong Bupati</t>
  </si>
  <si>
    <t xml:space="preserve">Jl. Biti - Sungai Kupang (Karya Bakti TNI) </t>
  </si>
  <si>
    <t>Jl. Palajau - Ds. Baluti</t>
  </si>
  <si>
    <t>Jl. RS. Hasan Basry II</t>
  </si>
  <si>
    <t xml:space="preserve">Sungai Raya </t>
  </si>
  <si>
    <t>Tajun - Sp.3 Muara Paring Agung</t>
  </si>
  <si>
    <t>Hamalau - Anjiran</t>
  </si>
  <si>
    <t>Tanjungan - Sp. 10 Batang Kulur - Sungai Kali</t>
  </si>
  <si>
    <t>Sungai Raya Selatan - Sarang Halang</t>
  </si>
  <si>
    <t>Sp. Batang Kulur Kiri - Tatas</t>
  </si>
  <si>
    <t>Taal Batang Kulur - Sp. 3 Muara Prg Agung</t>
  </si>
  <si>
    <t>Batang Kulur Kanan - Sarangan</t>
  </si>
  <si>
    <t>Bumi Berkat - Mungkur Galah</t>
  </si>
  <si>
    <t>Taal Jarau - Sp. Baru/Tampang</t>
  </si>
  <si>
    <t>Sungai Raya - Jambu Hulu/Paku</t>
  </si>
  <si>
    <t>Sungai Raya - Padang Batung</t>
  </si>
  <si>
    <t>Sungai Raya Selatan - Malutu - Goa Berangin</t>
  </si>
  <si>
    <t>Sp. 4 Baru/Tampang - Sp. Bilui Pamujaan</t>
  </si>
  <si>
    <t>Sungai Raya - Simpur</t>
  </si>
  <si>
    <t>Asam Cangkuk - Telaga Bidadari</t>
  </si>
  <si>
    <t>Hamalau - Pahampangan</t>
  </si>
  <si>
    <t>Ida Manggala - Padang Makmur</t>
  </si>
  <si>
    <t>Simpang Hamalau - Teluk Pinang</t>
  </si>
  <si>
    <t>Teluk Pinang - Pahampangan Utara</t>
  </si>
  <si>
    <t>Hamalau - Telaga Bidadari - Wasah Hilir</t>
  </si>
  <si>
    <t>Karasikan - Sarang Halang</t>
  </si>
  <si>
    <t>Tanjungan - Sp. 3 Sakijang</t>
  </si>
  <si>
    <t>Sarang Halang Padang - Sp. Batang Kulur</t>
  </si>
  <si>
    <t>Hamalau - Ganda</t>
  </si>
  <si>
    <t>Sungai Raya - Kandangan</t>
  </si>
  <si>
    <t>Tamiyang - Ds. Tamiyang (Eks TMMD)</t>
  </si>
  <si>
    <t>Tanah Bangkang Menuju Balai Benih Ikan</t>
  </si>
  <si>
    <t>Karang Intan - Tanah Bangkang</t>
  </si>
  <si>
    <t>Jl. Haritas (PT. Pertani)</t>
  </si>
  <si>
    <t>Paharuangan - Sei. Raya Selatan</t>
  </si>
  <si>
    <t>Jl. Bangga TMMD</t>
  </si>
  <si>
    <t>Batang Kulur Kiri - Durian Landung</t>
  </si>
  <si>
    <t>Jl. Taminung</t>
  </si>
  <si>
    <t>Matang Gadung - Halalang</t>
  </si>
  <si>
    <t xml:space="preserve">Sungai Raya Utara - Teluk Pinang 
				_x000D_
</t>
  </si>
  <si>
    <t>Jl. Mangunang - Ds. Sungai Raya Utara</t>
  </si>
  <si>
    <t>Hamalau - Asam Cangkok</t>
  </si>
  <si>
    <t>Hariti - Sungai Raya Selatan</t>
  </si>
  <si>
    <t>Mangaris - Limau Manis</t>
  </si>
  <si>
    <t>Jl. Munggu Raya - Ds. Hariti</t>
  </si>
  <si>
    <t>Paharuangan - Asam Dua</t>
  </si>
  <si>
    <t>Asam Seranggan - Asam Tamiyang</t>
  </si>
  <si>
    <t>Jl. Papancan - Ds. Tanah Bangkang</t>
  </si>
  <si>
    <t>Jl. Baru - Asam Desa Baru</t>
  </si>
  <si>
    <t>Jl. Sungai Namang - Ds. Tanah Bangkang</t>
  </si>
  <si>
    <t>Jarau - Parandakan</t>
  </si>
  <si>
    <t>Mungkur Galah - Lokpaikat</t>
  </si>
  <si>
    <t>Batang Kulur Kanan - Bumi Berkat (Jl. Kisung)</t>
  </si>
  <si>
    <t>Batang Kulur Kanan - Batang Kulur Kiri</t>
  </si>
  <si>
    <t>Jl. Manggis - Ds. Baru</t>
  </si>
  <si>
    <t>Jl. TPA - Ds. Sungai Raya Selatan</t>
  </si>
  <si>
    <t>Jl. Pembangunan - Ds. Sungai Raya Utara</t>
  </si>
  <si>
    <t>Jl. Kalaka Dayuh - Ds. Sungai Raya Utara</t>
  </si>
  <si>
    <t>Teluk Pinang - Padang Rasau</t>
  </si>
  <si>
    <t>Padang Batung</t>
  </si>
  <si>
    <t>Tanayung - Simp. Ambarai</t>
  </si>
  <si>
    <t>Tabihi - Telaga Langsat</t>
  </si>
  <si>
    <t>Padang Batung - Telaga Langsat</t>
  </si>
  <si>
    <t>Karang Jawa -Ambarai - Sungai Bungur</t>
  </si>
  <si>
    <t>Ambarai - Madang</t>
  </si>
  <si>
    <t>Padang Batung - Batulaki - Malilingin</t>
  </si>
  <si>
    <t>Malilingin - Lokbahan - Paniungan</t>
  </si>
  <si>
    <t>Mawangi - Bukuanin - Telaga Langsat</t>
  </si>
  <si>
    <t>Mandapai - Madang</t>
  </si>
  <si>
    <t>Kaliring - Sp. Padang Batung</t>
  </si>
  <si>
    <t>Pagar  Haur - Malutu</t>
  </si>
  <si>
    <t>Simpang Malutu - Pahampangan</t>
  </si>
  <si>
    <t>Padang Batung - Sungai Raya</t>
  </si>
  <si>
    <t>Simpang Malutu - Tambak</t>
  </si>
  <si>
    <t>Pagat Batu - Muara Hariang</t>
  </si>
  <si>
    <t>Paku (Jambu Hulu) - Ganda</t>
  </si>
  <si>
    <t>Padang Batung - Kandangan</t>
  </si>
  <si>
    <t>Sp.3 Bukuanin - Riam Talo</t>
  </si>
  <si>
    <t>Sp.3 Bukuanin - Tayub</t>
  </si>
  <si>
    <t>Madang - Ambutun</t>
  </si>
  <si>
    <t>Jl. Monumen 17 Mei - Mandapai</t>
  </si>
  <si>
    <t>Batu Laki - Muara Pipii</t>
  </si>
  <si>
    <t>Muara Pipii - Tambak Pipii</t>
  </si>
  <si>
    <t>Tambak Pipii - Malilingin</t>
  </si>
  <si>
    <t>Malilingin - Muara Hariang</t>
  </si>
  <si>
    <t>Mawangi - Pariangan</t>
  </si>
  <si>
    <t>Jambu Hulu - Paku Pantai</t>
  </si>
  <si>
    <t>Sungai Minting - Ds. Malutu</t>
  </si>
  <si>
    <t>Padang Rasau (Tambak Tamiang) - Paku Pantai</t>
  </si>
  <si>
    <t>Jl. Galuntang Tayub - Ds. Madang</t>
  </si>
  <si>
    <t>Jl. Menuju SMPN Malilingin</t>
  </si>
  <si>
    <t>Jl. Samping Mesjid Mandapai</t>
  </si>
  <si>
    <t>Muara Hariang - Bayumbung</t>
  </si>
  <si>
    <t>Padang Batung - Loksado</t>
  </si>
  <si>
    <t>Tambak Pipii - Batu Ampar</t>
  </si>
  <si>
    <t>Bakarung - Rantauan</t>
  </si>
  <si>
    <t>Angkinang</t>
  </si>
  <si>
    <t>Taniran Selatan - Rantauan</t>
  </si>
  <si>
    <t>Bakarung -Tabihi - Karang Jawa</t>
  </si>
  <si>
    <t>Angkinang - Padang Batung</t>
  </si>
  <si>
    <t>Pandulangan - Kalinduku</t>
  </si>
  <si>
    <t>Taniran Selatan Kubah - Buntut Taniran / Wawaran</t>
  </si>
  <si>
    <t>Angkinang - Kandangan</t>
  </si>
  <si>
    <t>Angkinang Selatan - Tawia - Wawaran</t>
  </si>
  <si>
    <t>Tawia - Kayu Abang</t>
  </si>
  <si>
    <t>Bamban Selatan - Tanggang - Panggang Hijau</t>
  </si>
  <si>
    <t>Angkinang - Telaga Langsat</t>
  </si>
  <si>
    <t>Bamban Selatan - Pakuan</t>
  </si>
  <si>
    <t>Bamban Utara - Longawang</t>
  </si>
  <si>
    <t>Angkinang - Kayu Abang - Panggang Hijau</t>
  </si>
  <si>
    <t>Sp. Mandampa Tel. Sili-Sili - Sp. Sei. Bungur</t>
  </si>
  <si>
    <t>Sungai Kudung - Kalinduku</t>
  </si>
  <si>
    <t>Bamban Tengah - Lok Nyiur</t>
  </si>
  <si>
    <t>Sp. Bakarung Selatan - Sungai Kudung</t>
  </si>
  <si>
    <t>Panggang Hijau - Ds. Tawar</t>
  </si>
  <si>
    <t>Taniran Tengah - Taniran Selatan</t>
  </si>
  <si>
    <t>Jl. Kayu Abang - Ds. Anjiran</t>
  </si>
  <si>
    <t>Jl. Rel Angkinang - TMMD Angkinang</t>
  </si>
  <si>
    <t>Jl. AMD - Ds. Lok Binuang</t>
  </si>
  <si>
    <t>Jl. Pandan Sari - Ds. Angkinang</t>
  </si>
  <si>
    <t>Bamban Selatan - Pakuan Balunan</t>
  </si>
  <si>
    <t>Kayu Abang - Paya</t>
  </si>
  <si>
    <t>Bamban (Tibung) - Martajiwa</t>
  </si>
  <si>
    <t>Rantauan - Sungai Baru (Jl. Pulau)</t>
  </si>
  <si>
    <t>Telaga Langsat - Pakuan Timur</t>
  </si>
  <si>
    <t>Telaga Langsat</t>
  </si>
  <si>
    <t>Longawang - Gumbil</t>
  </si>
  <si>
    <t>Mandampa - Longawang</t>
  </si>
  <si>
    <t>Gumbil - Masimpan</t>
  </si>
  <si>
    <t>Hamak Timur - Umpaya</t>
  </si>
  <si>
    <t>Hamak - Umbai</t>
  </si>
  <si>
    <t>Hamak Utara - Samaragi</t>
  </si>
  <si>
    <t>Umpaya - Tumarin</t>
  </si>
  <si>
    <t>Jl. Sungai Durian - Ds. Gumbil</t>
  </si>
  <si>
    <t xml:space="preserve">Pantai Langsat - Umpaya </t>
  </si>
  <si>
    <t>Halayung - Hantarukung</t>
  </si>
  <si>
    <t>Simpur</t>
  </si>
  <si>
    <t>Wasah Hulu - Amparaya - Simpur</t>
  </si>
  <si>
    <t>Wasah Hilir - Sarang Halang</t>
  </si>
  <si>
    <t>Simpur - Sungai Raya</t>
  </si>
  <si>
    <t>Simpur - Simp. Bilui</t>
  </si>
  <si>
    <t>Simpur - Sp. 3 Muara Paring Agung</t>
  </si>
  <si>
    <t>Wasah Tengah - Sungai Tarap</t>
  </si>
  <si>
    <t>Wasah Hilir - Amparaya</t>
  </si>
  <si>
    <t>Panjampang  Bahagia - Bayur</t>
  </si>
  <si>
    <t>Ulin - Tanggul (Balai Mas)</t>
  </si>
  <si>
    <t>Panjampang Bahagia - Hanau</t>
  </si>
  <si>
    <t>Jl. Halaban</t>
  </si>
  <si>
    <t>Amparaya - Karangan - Hanau</t>
  </si>
  <si>
    <t>Jl. Kalimput Desa Wasah Hilir</t>
  </si>
  <si>
    <t>Jl. Sungai Kacil I - Kapuh Padang</t>
  </si>
  <si>
    <t>Jl. Sungai Kacil II</t>
  </si>
  <si>
    <t>Jl. Papagaran - Ds. Amawang Kanan</t>
  </si>
  <si>
    <t>Balaimas - Hanau</t>
  </si>
  <si>
    <t>Garunggang - Hantamangu</t>
  </si>
  <si>
    <t>Jl. KH. Ramli - DS. Amparaya</t>
  </si>
  <si>
    <t>Jl. Tungkaran - Ds. Ulin</t>
  </si>
  <si>
    <t>Jl. Mondar (Ulin-Pantai Ulin) - Ds. Ulin</t>
  </si>
  <si>
    <t>Simpur - Kandangan</t>
  </si>
  <si>
    <t>Jl. Pendawa - Ds. Tebing Tinggi</t>
  </si>
  <si>
    <t>Jl. Mangamol - Ds. Pantai Ulin</t>
  </si>
  <si>
    <t>Jl. Guru H. Izim - Ds. Pantai Ulin</t>
  </si>
  <si>
    <t>Jl. Rawati - Ds. Panjampang Bahagia</t>
  </si>
  <si>
    <t>Jl. Pianggu</t>
  </si>
  <si>
    <t>Jl. Buluh - Ds. Tebing Tinggi</t>
  </si>
  <si>
    <t>Jl. H. Saim Garunggang - Kalimput</t>
  </si>
  <si>
    <t>Jl. Padang Haur - Ds. Wasah Tengah</t>
  </si>
  <si>
    <t>Jl. Gerilya - Ds. Simpur</t>
  </si>
  <si>
    <t>Jl. Jangkang - Ds. Wasah Hilir</t>
  </si>
  <si>
    <t>Jl. Air Miris - Ds. Wasah Hilir</t>
  </si>
  <si>
    <t>Jl. Tandik - Ds. Wasah Hilir</t>
  </si>
  <si>
    <t>Jl. Ds. Kapuh Tengah (Jl. Menuju Majelis Talim)</t>
  </si>
  <si>
    <t>Jl. Karampaci - Ds. Kapuh</t>
  </si>
  <si>
    <t>Jl. At-Taubah - Ds. Kapuh</t>
  </si>
  <si>
    <t>Jl. Firdaus - Ds. Kapuh</t>
  </si>
  <si>
    <t>Jl. Slasa Garih - Ds. Kapuh</t>
  </si>
  <si>
    <t>Jl. Palas - Ds. Wasah Tengah</t>
  </si>
  <si>
    <t>Jl. Tanah Habang - Ds. Simpur</t>
  </si>
  <si>
    <t>Jl. Banua Kambang - Ds. Wasah Tengah</t>
  </si>
  <si>
    <t>Jl. Pajah Api - Ds. Kapuh</t>
  </si>
  <si>
    <t>Jl. Talapak Manuk - Ds. Kapuh</t>
  </si>
  <si>
    <t>Sirih - Taro</t>
  </si>
  <si>
    <t>Kalumpang</t>
  </si>
  <si>
    <t>Kalumpang - Balimau</t>
  </si>
  <si>
    <t>Kalumpang (Ds. Balanti) - Teratai</t>
  </si>
  <si>
    <t>Bago Tanggul - Katilang - Teratai</t>
  </si>
  <si>
    <t>Binjai (Sirih Hulu) - Ds. Seranggan</t>
  </si>
  <si>
    <t>Kalumpang - Sungai Raya</t>
  </si>
  <si>
    <t>Balanti - (Ex. P3DT)</t>
  </si>
  <si>
    <t>Kalumpang - Baruh</t>
  </si>
  <si>
    <t>Sirih - Pacakan</t>
  </si>
  <si>
    <t>SP.4 Mesjid Sirih - Sarang Nyamuk - Asam Tamiyang</t>
  </si>
  <si>
    <t>Kalumpang Selatan - Ds. Asam Tamiyang</t>
  </si>
  <si>
    <t>Balimau - Murung Dalam</t>
  </si>
  <si>
    <t>Jl. Karya Bakti - Ds. Balimau</t>
  </si>
  <si>
    <t>Tanuhi - Ulang</t>
  </si>
  <si>
    <t>Loksado</t>
  </si>
  <si>
    <t>Loksado - Loklahung</t>
  </si>
  <si>
    <t>Loksado - Haratai</t>
  </si>
  <si>
    <t>Loklahung - Kamawakan</t>
  </si>
  <si>
    <t>Jl. Niagara (Ds. Halunuk) - Ayan</t>
  </si>
  <si>
    <t>Malinau - Katingin - Kamawakan</t>
  </si>
  <si>
    <t>Loklahung - Malaris</t>
  </si>
  <si>
    <t>Jl. Bubuih - Ds. Halunuk</t>
  </si>
  <si>
    <t>Halunuk - Riam Tajam/Talo - Hamak Umpaya</t>
  </si>
  <si>
    <t>Loksado - Telaga Langsat</t>
  </si>
  <si>
    <t>Jl. Muara Kitar - Desa Lumpangi</t>
  </si>
  <si>
    <t>Jl. Hulu Banyu - Pantai Langsat</t>
  </si>
  <si>
    <t>Jl. Bayampah - Tanuhi - Tugu Niih</t>
  </si>
  <si>
    <t>Jl. Kantor Camat Loksado II</t>
  </si>
  <si>
    <t>Jl. Buntu Muara Hatib - Bts. Kab. HST</t>
  </si>
  <si>
    <t>Tanuhi - Hulu Banyu</t>
  </si>
  <si>
    <t>Hulu Banyu - Datar Mangkung - Tumingki</t>
  </si>
  <si>
    <t>Lambuk - Ds. Tumingki</t>
  </si>
  <si>
    <t>Malaris - Loapanggang</t>
  </si>
  <si>
    <t>Jl. Haratai 3 (Balai Kedayang) / SDN Haratai 3</t>
  </si>
  <si>
    <t>Jl. Haratai 2 (Balai Ujung Atas) SDN Haratai2</t>
  </si>
  <si>
    <t>Jl. Bubuih (Ds. Halunuk) - Kandihin</t>
  </si>
  <si>
    <t>Jl. Makam Habib - Desa Lumpangi</t>
  </si>
  <si>
    <t>Jl. Datar Belimbing - Muara Kitar</t>
  </si>
  <si>
    <t>Jl. Tanginau - Balai Haruyan</t>
  </si>
  <si>
    <t>Jl. Tataian - (Ds. Ulang) - Loksado</t>
  </si>
  <si>
    <t>Jl. Ulang - Kacang Parang</t>
  </si>
  <si>
    <t>Jl. Kacang Parang (Ulang) - Balai Mawak-Kias</t>
  </si>
  <si>
    <t>Jl. Kacang Parang (Ulang) - Balai Wariung</t>
  </si>
  <si>
    <t>Jl. Loksado - Pantai Dusin</t>
  </si>
  <si>
    <t>Jl. Malinau - Kandihin</t>
  </si>
  <si>
    <t>Jl. Ulang - Bangkaun</t>
  </si>
  <si>
    <t>Bayanan - Habirau Tengah</t>
  </si>
  <si>
    <t>Daha Selatan</t>
  </si>
  <si>
    <t>Tumbukan Banyu - Banua Hanyar</t>
  </si>
  <si>
    <t xml:space="preserve">Jl. Satria </t>
  </si>
  <si>
    <t>Jl. Habib</t>
  </si>
  <si>
    <t>Jl. Inst. PDAM Negara</t>
  </si>
  <si>
    <t>Jl. Gerilya / (Depan PUSTU Habirau)</t>
  </si>
  <si>
    <t>Jl. Harapan (SDN Habirau II)/ Sei. Palangan</t>
  </si>
  <si>
    <t>Samuda - Bajayau</t>
  </si>
  <si>
    <t>Daha Selatan - Daha Barat</t>
  </si>
  <si>
    <t>Jl. Tambangan - Ds. Baruh Jaya</t>
  </si>
  <si>
    <t>Daha Selatan - Daha Utara</t>
  </si>
  <si>
    <t>Muning Tengah - Batang Alai (Pihanin Raya)</t>
  </si>
  <si>
    <t>Muning Tengah - Ds. Muning Dalam</t>
  </si>
  <si>
    <t>SP.4 Banjarbaru - Pasar Negara</t>
  </si>
  <si>
    <t>Negara - Tumbukan Banyu</t>
  </si>
  <si>
    <t>SP.4. Banjarbaru - Pihanin Raya</t>
  </si>
  <si>
    <t>Bayanan - Pihanin</t>
  </si>
  <si>
    <t>Jl. Kantor Camat Daha Selatan II</t>
  </si>
  <si>
    <t>Jl. Sungai Bugundi</t>
  </si>
  <si>
    <t>Jl. Tukang Garit (Tambangan)</t>
  </si>
  <si>
    <t>Pandak Daun - Baruh Jaya - Samuda</t>
  </si>
  <si>
    <t>Daha Utara - Daha Selatan</t>
  </si>
  <si>
    <t>Sei. Mandala Murung Raya</t>
  </si>
  <si>
    <t>Daha Utara</t>
  </si>
  <si>
    <t>Jl. Teluk Haur I</t>
  </si>
  <si>
    <t>Jl. Teluk Haur II</t>
  </si>
  <si>
    <t>Jl. H.M. Thaib</t>
  </si>
  <si>
    <t>Jl. Kenanga - Ds. Baruh Kambang</t>
  </si>
  <si>
    <t>Jl. SMAN Negara (KH. Abdullah)</t>
  </si>
  <si>
    <t>Jl. Pertukangan</t>
  </si>
  <si>
    <t>Jl. Silaturrahim</t>
  </si>
  <si>
    <t>Jl. Habib Ibrahim - Ds. Sei Mandala</t>
  </si>
  <si>
    <t>Jl. Sukaramai - Keramat</t>
  </si>
  <si>
    <t>Jl. Pakan Dalam I</t>
  </si>
  <si>
    <t>Jl. Pakan Dalam II</t>
  </si>
  <si>
    <t>Jl. Pakan Dalam III</t>
  </si>
  <si>
    <t>Jl. Paramaian</t>
  </si>
  <si>
    <t>Jl. MIN Pandak Daun</t>
  </si>
  <si>
    <t>Jl. Pesantren Muradiyah</t>
  </si>
  <si>
    <t>Pandak Daun (Buntut Muradiyah) - Pakan Dalam</t>
  </si>
  <si>
    <t>Pakan Dalam - Kaminting Batu</t>
  </si>
  <si>
    <t>Jl. Samping Kantor Camat Daha Utara</t>
  </si>
  <si>
    <t>Jl. Gang Bidan (Ds. Tambak Bitin)</t>
  </si>
  <si>
    <t>Jl. Cangkingan Herman</t>
  </si>
  <si>
    <t>Jl. Kampung Kawat</t>
  </si>
  <si>
    <t>Jl. Kaminting Batu</t>
  </si>
  <si>
    <t>Jl. Hamayung - Hakurung Dalam</t>
  </si>
  <si>
    <t>Simpang Jadi Makmur - Ds. Samuda</t>
  </si>
  <si>
    <t>Jl. Sakincung - Ds. Hakurung Dalam</t>
  </si>
  <si>
    <t>Jl. Hakurung Dalam - Ds. Sungai Haji</t>
  </si>
  <si>
    <t>Jl. Siang Gantung - Ds. Baru</t>
  </si>
  <si>
    <t>Daha Barat</t>
  </si>
  <si>
    <t>Jl. Baru - Ds. Bajayau</t>
  </si>
  <si>
    <t>Jl. Bajayau - Ds. Bajayau Tengah</t>
  </si>
  <si>
    <t>Jl. Banua Hanyar - Ds. Tanjung Selor</t>
  </si>
  <si>
    <t>Jl. Tanjung Selor - Ds. Badaun</t>
  </si>
  <si>
    <t>Jl. Badaun - Ds. Bjayau Lama</t>
  </si>
  <si>
    <t>Jl. Goha - Ds. Amawang Kanan</t>
  </si>
  <si>
    <t>Jl. Al - Ikhlas - Ds. Baluti</t>
  </si>
  <si>
    <t>Jl. Angkakai - Ds. Amawang Kiri</t>
  </si>
  <si>
    <t>Jl. Anjiran Rantauan - Ds. Taniran Tengah</t>
  </si>
  <si>
    <t>Jl. Asam Duhat - Ds. Pantai Ulin</t>
  </si>
  <si>
    <t>Jl. Pertanian - Ds. Wasah Tengah</t>
  </si>
  <si>
    <t>Jl. Keramat Sakti - Ds. Tebing Tinggi</t>
  </si>
  <si>
    <t>KECAMATAN</t>
  </si>
  <si>
    <t>PANJANG (KM)</t>
  </si>
  <si>
    <t>LEBAR (M)</t>
  </si>
  <si>
    <t>LHR</t>
  </si>
  <si>
    <t>AKSES N/P/K</t>
  </si>
  <si>
    <t>TAHUN DATA</t>
  </si>
  <si>
    <t>HOTMIX (KM)</t>
  </si>
  <si>
    <t>LAPEN/MAKADAM (KM)</t>
  </si>
  <si>
    <t>BETON (KM)</t>
  </si>
  <si>
    <t>TELFORD/KERIKIL (KM)</t>
  </si>
  <si>
    <t>TANAH/BELUM TEMBUS (KM)</t>
  </si>
  <si>
    <t>BAIK (KM)</t>
  </si>
  <si>
    <t>BAIK (%)</t>
  </si>
  <si>
    <t>SEDANG (KM)</t>
  </si>
  <si>
    <t>SEDANG (%)</t>
  </si>
  <si>
    <t>RUSAK RINGAN (KM)</t>
  </si>
  <si>
    <t>RUSAK RINGAN (%)</t>
  </si>
  <si>
    <t>RUSAK BERAT (KM)</t>
  </si>
  <si>
    <t>RUSAK BERAT (%)</t>
  </si>
  <si>
    <t>MANTAP (KM)</t>
  </si>
  <si>
    <t>MANTAP (%)</t>
  </si>
  <si>
    <t>TIDAK MANTAP (KM)</t>
  </si>
  <si>
    <t>TIDAK MANTAP (%)</t>
  </si>
  <si>
    <t>SKOR KERUSAKAN</t>
  </si>
  <si>
    <t>KATEGORI KONDISI</t>
  </si>
  <si>
    <t>METRIK AKTIF</t>
  </si>
  <si>
    <t>LOLOS FILTER</t>
  </si>
  <si>
    <t>URUTAN FILTER</t>
  </si>
  <si>
    <t>COCOK KEC. DASHBOARD</t>
  </si>
  <si>
    <t>PANJANG KEC. DASHBOARD</t>
  </si>
  <si>
    <t>MANTAP KM KEC. DASHBOARD</t>
  </si>
  <si>
    <t>TIDAK MANTAP KM KEC. DASHBOARD</t>
  </si>
  <si>
    <t>RUSAK BERAT KM KEC. DASHBOARD</t>
  </si>
  <si>
    <t>COCOK KEC. ANALITIK</t>
  </si>
  <si>
    <t>URUT KEC. ANALITIK</t>
  </si>
  <si>
    <t>PANJANG KEC. ANALITIK</t>
  </si>
  <si>
    <t>MANTAP KM KEC. ANALITIK</t>
  </si>
  <si>
    <t>TIDAK MANTAP KM KEC. ANALITIK</t>
  </si>
  <si>
    <t>RUSAK BERAT KM KEC. ANALITIK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</si>
  <si>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</si>
  <si>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</si>
  <si>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</si>
  <si>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</si>
  <si>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</si>
  <si>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</si>
  <si>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</si>
  <si>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</si>
  <si>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</si>
  <si>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</si>
  <si>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</si>
  <si>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</si>
  <si>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</si>
  <si>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</si>
  <si>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</si>
  <si>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</si>
  <si>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</si>
  <si>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</si>
  <si>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</si>
  <si>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</si>
  <si>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</si>
  <si>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</si>
  <si>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</si>
  <si>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</si>
  <si>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</si>
  <si>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</si>
  <si>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</si>
  <si>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</si>
  <si>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</si>
  <si>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</si>
  <si>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</si>
  <si>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</si>
  <si>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</si>
  <si>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</si>
  <si>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</si>
  <si>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</si>
  <si>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</si>
  <si>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</si>
  <si>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</si>
  <si>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</si>
  <si>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</si>
  <si>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</si>
  <si>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</si>
  <si>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</si>
  <si>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</si>
  <si>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</si>
  <si>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</si>
  <si>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</si>
  <si>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</si>
  <si>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</si>
  <si>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</si>
  <si>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</si>
  <si>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</si>
  <si>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</si>
  <si>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</si>
  <si>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</si>
  <si>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</si>
  <si>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</si>
  <si>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</si>
  <si>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</si>
  <si>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Jl. Sungai Karuh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</si>
  <si>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</si>
  <si>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</si>
  <si>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</si>
  <si>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</si>
  <si>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</si>
  <si>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</si>
  <si>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</si>
  <si>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</si>
  <si>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</si>
  <si>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</si>
  <si>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</si>
  <si>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</si>
  <si>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</si>
  <si>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</si>
  <si>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</si>
  <si>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</si>
  <si>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</si>
  <si>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</si>
  <si>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</si>
  <si>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</si>
  <si>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Jl. Nomura</t>
  </si>
  <si>
    <t>081</t>
  </si>
  <si>
    <t>082</t>
  </si>
  <si>
    <t>Jl. Biti - Sungai Kupang (Karya Bakti TNI)</t>
  </si>
  <si>
    <t>083</t>
  </si>
  <si>
    <t>084</t>
  </si>
  <si>
    <t>Sungai Raya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</si>
  <si>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</si>
  <si>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</si>
  <si>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</si>
  <si>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</si>
  <si>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</si>
  <si>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</si>
  <si>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</si>
  <si>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</si>
  <si>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</si>
  <si>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</si>
  <si>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</si>
  <si>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</si>
  <si>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</si>
  <si>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</si>
  <si>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</si>
  <si>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</si>
  <si>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</si>
  <si>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</si>
  <si>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</si>
  <si>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</si>
  <si>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</si>
  <si>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</si>
  <si>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</si>
  <si>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</si>
  <si>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</si>
  <si>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</si>
  <si>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</si>
  <si>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</si>
  <si>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</si>
  <si>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</si>
  <si>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</si>
  <si>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</si>
  <si>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Sungai Raya Utara - Teluk Pinang 
				_x000D_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</si>
  <si>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</si>
  <si>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</si>
  <si>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</si>
  <si>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</si>
  <si>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</si>
  <si>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</si>
  <si>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</si>
  <si>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</si>
  <si>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</si>
  <si>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</si>
  <si>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</si>
  <si>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</si>
  <si>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</si>
  <si>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</si>
  <si>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</si>
  <si>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</si>
  <si>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</si>
  <si>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</si>
  <si>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</si>
  <si>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</si>
  <si>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</si>
  <si>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</si>
  <si>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</si>
  <si>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</si>
  <si>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</si>
  <si>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</si>
  <si>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</si>
  <si>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</si>
  <si>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</si>
  <si>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</si>
  <si>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</si>
  <si>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</si>
  <si>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</si>
  <si>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</si>
  <si>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</si>
  <si>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</si>
  <si>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</si>
  <si>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</si>
  <si>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</si>
  <si>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</si>
  <si>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</si>
  <si>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</si>
  <si>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</si>
  <si>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</si>
  <si>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</si>
  <si>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</si>
  <si>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</si>
  <si>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</si>
  <si>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</si>
  <si>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</si>
  <si>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</si>
  <si>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</si>
  <si>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</si>
  <si>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</si>
  <si>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</si>
  <si>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</si>
  <si>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</si>
  <si>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</si>
  <si>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</si>
  <si>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</si>
  <si>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</si>
  <si>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</si>
  <si>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</si>
  <si>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</si>
  <si>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</si>
  <si>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</si>
  <si>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</si>
  <si>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</si>
  <si>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</si>
  <si>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</si>
  <si>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</si>
  <si>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</si>
  <si>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</si>
  <si>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</si>
  <si>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</si>
  <si>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</si>
  <si>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</si>
  <si>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</si>
  <si>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</si>
  <si>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</si>
  <si>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</si>
  <si>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</si>
  <si>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</si>
  <si>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</si>
  <si>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</si>
  <si>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</si>
  <si>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Pantai Langsat - Umpaya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</si>
  <si>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</si>
  <si>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</si>
  <si>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</si>
  <si>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</si>
  <si>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</si>
  <si>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</si>
  <si>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</si>
  <si>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</si>
  <si>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</si>
  <si>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</si>
  <si>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</si>
  <si>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</si>
  <si>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</si>
  <si>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</si>
  <si>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</si>
  <si>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</si>
  <si>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</si>
  <si>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</si>
  <si>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</si>
  <si>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</si>
  <si>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</si>
  <si>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</si>
  <si>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</si>
  <si>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</si>
  <si>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</si>
  <si>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</si>
  <si>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</si>
  <si>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</si>
  <si>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</si>
  <si>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</si>
  <si>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</si>
  <si>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</si>
  <si>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</si>
  <si>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</si>
  <si>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</si>
  <si>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</si>
  <si>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</si>
  <si>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</si>
  <si>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</si>
  <si>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</si>
  <si>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</si>
  <si>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</si>
  <si>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</si>
  <si>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</si>
  <si>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</si>
  <si>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</si>
  <si>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</si>
  <si>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</si>
  <si>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</si>
  <si>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</si>
  <si>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</si>
  <si>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</si>
  <si>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</si>
  <si>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</si>
  <si>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</si>
  <si>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</si>
  <si>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</si>
  <si>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</si>
  <si>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</si>
  <si>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</si>
  <si>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</si>
  <si>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</si>
  <si>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</si>
  <si>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</si>
  <si>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</si>
  <si>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</si>
  <si>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</si>
  <si>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</si>
  <si>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</si>
  <si>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</si>
  <si>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</si>
  <si>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</si>
  <si>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</si>
  <si>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</si>
  <si>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</si>
  <si>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</si>
  <si>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</si>
  <si>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</si>
  <si>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</si>
  <si>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</si>
  <si>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</si>
  <si>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</si>
  <si>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</si>
  <si>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</si>
  <si>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</si>
  <si>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</si>
  <si>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</si>
  <si>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</si>
  <si>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</si>
  <si>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Jl. Satria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</si>
  <si>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</si>
  <si>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</si>
  <si>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</si>
  <si>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</si>
  <si>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</si>
  <si>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</si>
  <si>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</si>
  <si>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</si>
  <si>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</si>
  <si>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</si>
  <si>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</si>
  <si>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</si>
  <si>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</si>
  <si>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</si>
  <si>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</si>
  <si>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</si>
  <si>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</si>
  <si>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</si>
  <si>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</si>
  <si>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</si>
  <si>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</si>
  <si>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</si>
  <si>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</si>
  <si>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</si>
  <si>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</si>
  <si>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</si>
  <si>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</si>
  <si>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</si>
  <si>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</si>
  <si>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</si>
  <si>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</si>
  <si>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</si>
  <si>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</si>
  <si>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</si>
  <si>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</si>
  <si>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</si>
  <si>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</si>
  <si>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</si>
  <si>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</si>
  <si>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</si>
  <si>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</si>
  <si>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</si>
  <si>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</si>
  <si>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</si>
  <si>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</si>
  <si>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</si>
  <si>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</si>
  <si>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</si>
  <si>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</si>
  <si>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</si>
  <si>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</si>
  <si>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</si>
  <si>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</si>
  <si>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</si>
  <si>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</si>
  <si>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</si>
  <si>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</si>
  <si>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</si>
  <si>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</si>
  <si>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DASHBOARD ANALITIK KONDISI JALAN KABUPATEN HULU SUNGAI SELATAN</t>
  </si>
  <si>
    <t>Filter dapat diubah pada panel kiri; tabel prioritas dan KPI akan mengikuti secara otomatis.</t>
  </si>
  <si>
    <t>PANEL FILTER</t>
  </si>
  <si>
    <t>TOTAL RUAS</t>
  </si>
  <si>
    <t>TOTAL PANJANG</t>
  </si>
  <si>
    <t>KEMANTAPAN JARINGAN</t>
  </si>
  <si>
    <t>Kecamatan</t>
  </si>
  <si>
    <t>Semua</t>
  </si>
  <si>
    <t>Metrik threshold</t>
  </si>
  <si>
    <t>Tidak Mantap (%)</t>
  </si>
  <si>
    <t>Nilai threshold</t>
  </si>
  <si>
    <t>TIDAK MANTAP</t>
  </si>
  <si>
    <t>LOLOS THRESHOLD</t>
  </si>
  <si>
    <t>Arah threshold</t>
  </si>
  <si>
    <t>≥ Minimum</t>
  </si>
  <si>
    <t>Panjang minimum (km)</t>
  </si>
  <si>
    <t>Jumlah ruas ditampilkan</t>
  </si>
  <si>
    <t>DAFTAR RUAS PRIORITAS BERDASARKAN FILTER DAN THRESHOLD</t>
  </si>
  <si>
    <t>RANK</t>
  </si>
  <si>
    <t>NAMA RUAS</t>
  </si>
  <si>
    <t>KATEGORI</t>
  </si>
  <si>
    <t>Cara membaca threshold:
• ≥ Minimum: nilai sama dengan atau di atas ambang.
• ≤ Maksimum: nilai sama dengan atau di bawah ambang.
• Untuk mencari ruas berkondisi rendah, Mantap/Baik biasanya dipakai dengan ≤ Maksimum.
• Tidak Mantap/Rusak Ringan/Rusak Berat biasanya dipakai dengan ≥ Minimum.
• Ranking selalu mengikuti nilai metrik aktif.</t>
  </si>
  <si>
    <t>RINGKASAN KONDISI PER KECAMATAN</t>
  </si>
  <si>
    <t>JUMLAH RUAS</t>
  </si>
  <si>
    <t>SKOR RATA-RATA</t>
  </si>
  <si>
    <t>KABUPATEN HSS</t>
  </si>
  <si>
    <t>PANDUAN DASHBOARD ANALITIK DATA JALAN 2025</t>
  </si>
  <si>
    <t>Daftar Kecamatan</t>
  </si>
  <si>
    <t>Daftar Metrik</t>
  </si>
  <si>
    <t>Jumlah Ruas</t>
  </si>
  <si>
    <t>Arah Threshold</t>
  </si>
  <si>
    <t>Mantap (%)</t>
  </si>
  <si>
    <t>≤ Maksimum</t>
  </si>
  <si>
    <t>Tujuan</t>
  </si>
  <si>
    <t>Dashboard menyaring, mengurutkan, dan menampilkan hingga seluruh 350 ruas jalan.</t>
  </si>
  <si>
    <t>Baik (%)</t>
  </si>
  <si>
    <t>Filter kecamatan</t>
  </si>
  <si>
    <t>Ruas lintas kecamatan ikut muncul apabila nama kecamatan terpilih tercantum pada kolom Kecamatan yang Dilalui.</t>
  </si>
  <si>
    <t>Sedang (%)</t>
  </si>
  <si>
    <t>Pilihan: Mantap, Tidak Mantap, Baik, Sedang, Rusak Ringan, Rusak Berat, dan Skor Kerusakan.</t>
  </si>
  <si>
    <t>Rusak Ringan (%)</t>
  </si>
  <si>
    <t>≥ Minimum menampilkan nilai sama dengan atau di atas ambang. ≤ Maksimum menampilkan nilai sama dengan atau di bawah ambang.</t>
  </si>
  <si>
    <t>Rusak Berat (%)</t>
  </si>
  <si>
    <t>Panjang minimum</t>
  </si>
  <si>
    <t>Menyaring ruas dengan panjang sekurang-kurangnya nilai yang dimasukkan.</t>
  </si>
  <si>
    <t>Skor Kerusakan</t>
  </si>
  <si>
    <t>Jumlah ditampilkan</t>
  </si>
  <si>
    <t>Bisa diisi atau dipilih dari 1 sampai 350 ruas.</t>
  </si>
  <si>
    <t>Ruas per kecamatan</t>
  </si>
  <si>
    <t>Gunakan sheet Ruas_Per_Kecamatan untuk melihat seluruh ruas pada kecamatan tertentu tanpa dibatasi threshold.</t>
  </si>
  <si>
    <t>Kemantapan</t>
  </si>
  <si>
    <t>Mantap (%) = (Baik + Sedang) / Panjang Ruas.</t>
  </si>
  <si>
    <t>Tidak mantap</t>
  </si>
  <si>
    <t>Tidak Mantap (%) = (Rusak Ringan + Rusak Berat) / Panjang Ruas.</t>
  </si>
  <si>
    <t>Catatan</t>
  </si>
  <si>
    <t>Hasil adalah alat screening analitik. Penetapan program tetap memerlukan fungsi jaringan, lalu lintas, biaya, dan verifikasi lapangan.</t>
  </si>
  <si>
    <t>ANALITIK DAFTAR RUAS PER KECAMATAN</t>
  </si>
  <si>
    <t>Pilih kecamatan untuk melihat seluruh ruas yang melintasi kecamatan tersebut. Ruas lintas kecamatan tetap disertakan.</t>
  </si>
  <si>
    <t>KEMANTAPAN</t>
  </si>
  <si>
    <t>URUT</t>
  </si>
  <si>
    <t>KECAMATAN YANG DILALUI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</si>
</sst>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 &quot;km&quot;"/>
  </numFmts>
  <fonts count="16" x14ac:knownFonts="1">
    <font>
      <sz val="11"/>
      <color rgb="FF000000"/>
      <name val="Calibri"/>
    </font>
    <font>
      <sz val="10"/>
      <color rgb="FF000000"/>
      <name val="Arial Narrow"/>
      <family val="2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b/>
      <sz val="10"/>
      <color rgb="FFFFFFFF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  <font>
      <b/>
      <sz val="19"/>
      <color rgb="FFFFFFFF"/>
      <name val="Calibri"/>
      <family val="2"/>
    </font>
    <font>
      <i/>
      <sz val="11"/>
      <color rgb="FF075985"/>
      <name val="Calibri"/>
      <family val="2"/>
    </font>
    <font>
      <b/>
      <sz val="11"/>
      <color rgb="FF334155"/>
      <name val="Calibri"/>
      <family val="2"/>
    </font>
    <font>
      <b/>
      <sz val="18"/>
      <color rgb="FF0F172A"/>
      <name val="Calibri"/>
      <family val="2"/>
    </font>
    <font>
      <b/>
      <sz val="11"/>
      <color rgb="FF0C4A6E"/>
      <name val="Calibri"/>
      <family val="2"/>
    </font>
    <font>
      <sz val="11"/>
      <color rgb="FF7C2D12"/>
      <name val="Calibri"/>
      <family val="2"/>
    </font>
    <font>
      <b/>
      <sz val="9"/>
      <color rgb="FFFFFFFF"/>
      <name val="Calibri"/>
      <family val="2"/>
    </font>
    <font>
      <b/>
      <sz val="17"/>
      <color rgb="FF0F172A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0E7490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155E75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FFF7ED"/>
      </patternFill>
    </fill>
    <fill>
      <patternFill patternType="solid">
        <fgColor rgb="FFE0F2FE"/>
      </patternFill>
    </fill>
    <fill>
      <patternFill patternType="solid">
        <fgColor rgb="FF0F172A"/>
      </patternFill>
    </fill>
    <fill>
      <patternFill patternType="solid">
        <fgColor rgb="FF0E7490"/>
      </patternFill>
    </fill>
    <fill>
      <patternFill patternType="solid">
        <fgColor rgb="FFF8FAFC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FDBA74"/>
      </left>
      <right/>
      <top style="thin">
        <color rgb="FFFDBA74"/>
      </top>
      <bottom/>
      <diagonal/>
    </border>
    <border>
      <left/>
      <right/>
      <top style="thin">
        <color rgb="FFFDBA74"/>
      </top>
      <bottom/>
      <diagonal/>
    </border>
    <border>
      <left/>
      <right style="thin">
        <color rgb="FFFDBA74"/>
      </right>
      <top style="thin">
        <color rgb="FFFDBA74"/>
      </top>
      <bottom/>
      <diagonal/>
    </border>
    <border>
      <left style="thin">
        <color rgb="FFFDBA74"/>
      </left>
      <right/>
      <top/>
      <bottom/>
      <diagonal/>
    </border>
    <border>
      <left/>
      <right style="thin">
        <color rgb="FFFDBA74"/>
      </right>
      <top/>
      <bottom/>
      <diagonal/>
    </border>
    <border>
      <left style="thin">
        <color rgb="FFFDBA74"/>
      </left>
      <right/>
      <top/>
      <bottom style="thin">
        <color rgb="FFFDBA74"/>
      </bottom>
      <diagonal/>
    </border>
    <border>
      <left/>
      <right/>
      <top/>
      <bottom style="thin">
        <color rgb="FFFDBA74"/>
      </bottom>
      <diagonal/>
    </border>
    <border>
      <left/>
      <right style="thin">
        <color rgb="FFFDBA74"/>
      </right>
      <top/>
      <bottom style="thin">
        <color rgb="FFFDBA74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1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0" fontId="1" fillId="0" borderId="2" xfId="1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0" fontId="1" fillId="0" borderId="3" xfId="1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Border="1"/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16" xfId="0" applyNumberFormat="1" applyFont="1" applyFill="1" applyBorder="1" applyAlignment="1">
      <alignment wrapText="1"/>
    </xf>
    <xf numFmtId="0" fontId="0" fillId="0" borderId="18" xfId="0" applyNumberFormat="1" applyFont="1" applyFill="1" applyBorder="1" applyAlignment="1">
      <alignment wrapText="1"/>
    </xf>
    <xf numFmtId="0" fontId="0" fillId="0" borderId="20" xfId="0" applyNumberFormat="1" applyFont="1" applyFill="1" applyBorder="1" applyAlignment="1">
      <alignment wrapText="1"/>
    </xf>
    <xf numFmtId="0" fontId="7" fillId="2" borderId="0" xfId="0" applyNumberFormat="1" applyFont="1" applyFill="1" applyBorder="1"/>
    <xf numFmtId="0" fontId="0" fillId="0" borderId="23" xfId="0" applyNumberFormat="1" applyFont="1" applyFill="1" applyBorder="1"/>
    <xf numFmtId="0" fontId="0" fillId="0" borderId="24" xfId="0" applyNumberFormat="1" applyFont="1" applyFill="1" applyBorder="1"/>
    <xf numFmtId="0" fontId="0" fillId="0" borderId="24" xfId="0" applyNumberFormat="1" applyFont="1" applyFill="1" applyBorder="1" applyAlignment="1">
      <alignment wrapText="1"/>
    </xf>
    <xf numFmtId="2" fontId="0" fillId="0" borderId="24" xfId="0" applyNumberFormat="1" applyFont="1" applyFill="1" applyBorder="1"/>
    <xf numFmtId="164" fontId="0" fillId="0" borderId="24" xfId="0" applyNumberFormat="1" applyFont="1" applyFill="1" applyBorder="1"/>
    <xf numFmtId="0" fontId="0" fillId="0" borderId="25" xfId="0" applyNumberFormat="1" applyFont="1" applyFill="1" applyBorder="1"/>
    <xf numFmtId="0" fontId="0" fillId="0" borderId="26" xfId="0" applyNumberFormat="1" applyFont="1" applyFill="1" applyBorder="1"/>
    <xf numFmtId="0" fontId="0" fillId="0" borderId="27" xfId="0" applyNumberFormat="1" applyFont="1" applyFill="1" applyBorder="1"/>
    <xf numFmtId="0" fontId="0" fillId="0" borderId="28" xfId="0" applyNumberFormat="1" applyFont="1" applyFill="1" applyBorder="1"/>
    <xf numFmtId="0" fontId="0" fillId="0" borderId="29" xfId="0" applyNumberFormat="1" applyFont="1" applyFill="1" applyBorder="1"/>
    <xf numFmtId="0" fontId="0" fillId="0" borderId="29" xfId="0" applyNumberFormat="1" applyFont="1" applyFill="1" applyBorder="1" applyAlignment="1">
      <alignment wrapText="1"/>
    </xf>
    <xf numFmtId="2" fontId="0" fillId="0" borderId="29" xfId="0" applyNumberFormat="1" applyFont="1" applyFill="1" applyBorder="1"/>
    <xf numFmtId="164" fontId="0" fillId="0" borderId="29" xfId="0" applyNumberFormat="1" applyFont="1" applyFill="1" applyBorder="1"/>
    <xf numFmtId="0" fontId="0" fillId="0" borderId="30" xfId="0" applyNumberFormat="1" applyFont="1" applyFill="1" applyBorder="1"/>
    <xf numFmtId="164" fontId="0" fillId="0" borderId="25" xfId="0" applyNumberFormat="1" applyFont="1" applyFill="1" applyBorder="1"/>
    <xf numFmtId="164" fontId="0" fillId="0" borderId="27" xfId="0" applyNumberFormat="1" applyFont="1" applyFill="1" applyBorder="1"/>
    <xf numFmtId="0" fontId="12" fillId="4" borderId="28" xfId="0" applyNumberFormat="1" applyFont="1" applyFill="1" applyBorder="1"/>
    <xf numFmtId="164" fontId="12" fillId="4" borderId="29" xfId="0" applyNumberFormat="1" applyFont="1" applyFill="1" applyBorder="1"/>
    <xf numFmtId="0" fontId="12" fillId="4" borderId="29" xfId="0" applyNumberFormat="1" applyFont="1" applyFill="1" applyBorder="1"/>
    <xf numFmtId="2" fontId="12" fillId="4" borderId="29" xfId="0" applyNumberFormat="1" applyFont="1" applyFill="1" applyBorder="1"/>
    <xf numFmtId="164" fontId="12" fillId="4" borderId="30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0" fillId="0" borderId="16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/>
    </xf>
    <xf numFmtId="164" fontId="0" fillId="0" borderId="18" xfId="0" applyNumberFormat="1" applyFont="1" applyFill="1" applyBorder="1" applyAlignment="1">
      <alignment vertical="center"/>
    </xf>
    <xf numFmtId="2" fontId="0" fillId="0" borderId="18" xfId="0" applyNumberFormat="1" applyFont="1" applyFill="1" applyBorder="1" applyAlignment="1">
      <alignment vertical="center"/>
    </xf>
    <xf numFmtId="1" fontId="0" fillId="0" borderId="20" xfId="0" applyNumberFormat="1" applyFont="1" applyFill="1" applyBorder="1" applyAlignment="1">
      <alignment vertical="center"/>
    </xf>
    <xf numFmtId="0" fontId="0" fillId="0" borderId="23" xfId="0" applyNumberFormat="1" applyFont="1" applyFill="1" applyBorder="1" applyAlignment="1">
      <alignment vertical="center"/>
    </xf>
    <xf numFmtId="0" fontId="0" fillId="0" borderId="24" xfId="0" applyNumberFormat="1" applyFont="1" applyFill="1" applyBorder="1" applyAlignment="1">
      <alignment vertical="center"/>
    </xf>
    <xf numFmtId="0" fontId="0" fillId="0" borderId="24" xfId="0" applyNumberFormat="1" applyFont="1" applyFill="1" applyBorder="1" applyAlignment="1">
      <alignment vertical="center" wrapText="1"/>
    </xf>
    <xf numFmtId="2" fontId="0" fillId="0" borderId="24" xfId="0" applyNumberFormat="1" applyFont="1" applyFill="1" applyBorder="1" applyAlignment="1">
      <alignment vertical="center"/>
    </xf>
    <xf numFmtId="164" fontId="0" fillId="0" borderId="24" xfId="0" applyNumberFormat="1" applyFont="1" applyFill="1" applyBorder="1" applyAlignment="1">
      <alignment vertical="center"/>
    </xf>
    <xf numFmtId="0" fontId="0" fillId="0" borderId="25" xfId="0" applyNumberFormat="1" applyFont="1" applyFill="1" applyBorder="1" applyAlignment="1">
      <alignment vertical="center"/>
    </xf>
    <xf numFmtId="0" fontId="0" fillId="0" borderId="26" xfId="0" applyNumberFormat="1" applyFont="1" applyFill="1" applyBorder="1" applyAlignment="1">
      <alignment vertical="center"/>
    </xf>
    <xf numFmtId="0" fontId="0" fillId="0" borderId="27" xfId="0" applyNumberFormat="1" applyFont="1" applyFill="1" applyBorder="1" applyAlignment="1">
      <alignment vertical="center"/>
    </xf>
    <xf numFmtId="0" fontId="0" fillId="0" borderId="28" xfId="0" applyNumberFormat="1" applyFont="1" applyFill="1" applyBorder="1" applyAlignment="1">
      <alignment vertical="center"/>
    </xf>
    <xf numFmtId="0" fontId="0" fillId="0" borderId="29" xfId="0" applyNumberFormat="1" applyFont="1" applyFill="1" applyBorder="1" applyAlignment="1">
      <alignment vertical="center"/>
    </xf>
    <xf numFmtId="0" fontId="0" fillId="0" borderId="29" xfId="0" applyNumberFormat="1" applyFont="1" applyFill="1" applyBorder="1" applyAlignment="1">
      <alignment vertical="center" wrapText="1"/>
    </xf>
    <xf numFmtId="2" fontId="0" fillId="0" borderId="29" xfId="0" applyNumberFormat="1" applyFont="1" applyFill="1" applyBorder="1" applyAlignment="1">
      <alignment vertical="center"/>
    </xf>
    <xf numFmtId="164" fontId="0" fillId="0" borderId="29" xfId="0" applyNumberFormat="1" applyFont="1" applyFill="1" applyBorder="1" applyAlignment="1">
      <alignment vertical="center"/>
    </xf>
    <xf numFmtId="0" fontId="0" fillId="0" borderId="30" xfId="0" applyNumberFormat="1" applyFont="1" applyFill="1" applyBorder="1" applyAlignment="1">
      <alignment vertical="center"/>
    </xf>
    <xf numFmtId="164" fontId="0" fillId="0" borderId="25" xfId="0" applyNumberFormat="1" applyFont="1" applyFill="1" applyBorder="1" applyAlignment="1">
      <alignment vertical="center"/>
    </xf>
    <xf numFmtId="164" fontId="0" fillId="0" borderId="27" xfId="0" applyNumberFormat="1" applyFont="1" applyFill="1" applyBorder="1" applyAlignment="1">
      <alignment vertical="center"/>
    </xf>
    <xf numFmtId="0" fontId="12" fillId="4" borderId="28" xfId="0" applyNumberFormat="1" applyFont="1" applyFill="1" applyBorder="1" applyAlignment="1">
      <alignment vertical="center"/>
    </xf>
    <xf numFmtId="164" fontId="12" fillId="4" borderId="29" xfId="0" applyNumberFormat="1" applyFont="1" applyFill="1" applyBorder="1" applyAlignment="1">
      <alignment vertical="center"/>
    </xf>
    <xf numFmtId="0" fontId="12" fillId="4" borderId="29" xfId="0" applyNumberFormat="1" applyFont="1" applyFill="1" applyBorder="1" applyAlignment="1">
      <alignment vertical="center"/>
    </xf>
    <xf numFmtId="2" fontId="12" fillId="4" borderId="29" xfId="0" applyNumberFormat="1" applyFont="1" applyFill="1" applyBorder="1" applyAlignment="1">
      <alignment vertical="center"/>
    </xf>
    <xf numFmtId="164" fontId="12" fillId="4" borderId="30" xfId="0" applyNumberFormat="1" applyFont="1" applyFill="1" applyBorder="1" applyAlignment="1">
      <alignment vertical="center"/>
    </xf>
    <xf numFmtId="0" fontId="14" fillId="7" borderId="0" xfId="0" applyNumberFormat="1" applyFont="1" applyFill="1" applyBorder="1" applyAlignment="1">
      <alignment horizontal="center" vertical="center" wrapText="1"/>
    </xf>
    <xf numFmtId="0" fontId="7" fillId="8" borderId="0" xfId="0" applyNumberFormat="1" applyFont="1" applyFill="1" applyBorder="1" applyAlignment="1">
      <alignment horizontal="center"/>
    </xf>
    <xf numFmtId="0" fontId="6" fillId="9" borderId="15" xfId="0" applyNumberFormat="1" applyFont="1" applyFill="1" applyBorder="1" applyAlignment="1">
      <alignment vertical="top"/>
    </xf>
    <xf numFmtId="0" fontId="6" fillId="9" borderId="17" xfId="0" applyNumberFormat="1" applyFont="1" applyFill="1" applyBorder="1" applyAlignment="1">
      <alignment vertical="top"/>
    </xf>
    <xf numFmtId="0" fontId="6" fillId="9" borderId="19" xfId="0" applyNumberFormat="1" applyFont="1" applyFill="1" applyBorder="1" applyAlignment="1">
      <alignment vertical="top"/>
    </xf>
    <xf numFmtId="0" fontId="10" fillId="10" borderId="15" xfId="0" applyNumberFormat="1" applyFont="1" applyFill="1" applyBorder="1" applyAlignment="1">
      <alignment vertical="center"/>
    </xf>
    <xf numFmtId="0" fontId="10" fillId="10" borderId="17" xfId="0" applyNumberFormat="1" applyFont="1" applyFill="1" applyBorder="1" applyAlignment="1">
      <alignment vertical="center"/>
    </xf>
    <xf numFmtId="0" fontId="10" fillId="10" borderId="19" xfId="0" applyNumberFormat="1" applyFont="1" applyFill="1" applyBorder="1" applyAlignment="1">
      <alignment vertical="center"/>
    </xf>
    <xf numFmtId="2" fontId="0" fillId="0" borderId="20" xfId="0" applyNumberFormat="1" applyFont="1" applyFill="1" applyBorder="1" applyAlignment="1">
      <alignment vertical="center"/>
    </xf>
    <xf numFmtId="0" fontId="4" fillId="8" borderId="0" xfId="0" applyNumberFormat="1" applyFont="1" applyFill="1" applyBorder="1" applyAlignment="1">
      <alignment horizontal="center" vertical="center" wrapText="1"/>
    </xf>
    <xf numFmtId="164" fontId="0" fillId="0" borderId="24" xfId="0" applyNumberFormat="1" applyFont="1" applyFill="1" applyBorder="1" applyAlignment="1">
      <alignment vertical="center" wrapText="1"/>
    </xf>
    <xf numFmtId="164" fontId="12" fillId="4" borderId="29" xfId="0" applyNumberFormat="1" applyFont="1" applyFill="1" applyBorder="1" applyAlignment="1">
      <alignment vertical="center" wrapText="1"/>
    </xf>
    <xf numFmtId="164" fontId="12" fillId="4" borderId="29" xfId="0" applyNumberFormat="1" applyFont="1" applyFill="1" applyBorder="1" applyAlignment="1">
      <alignment wrapText="1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 wrapText="1"/>
    </xf>
    <xf numFmtId="2" fontId="0" fillId="0" borderId="0" xfId="0" applyNumberFormat="1" applyFont="1" applyFill="1" applyAlignment="1">
      <alignment vertical="center"/>
    </xf>
    <xf numFmtId="164" fontId="0" fillId="0" borderId="0" xfId="0" applyNumberFormat="1" applyFont="1" applyFill="1" applyAlignment="1">
      <alignment vertical="center"/>
    </xf>
    <xf numFmtId="0" fontId="4" fillId="2" borderId="26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2" borderId="27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Alignment="1">
      <alignment vertical="center" wrapText="1"/>
    </xf>
    <xf numFmtId="164" fontId="0" fillId="0" borderId="0" xfId="0" applyNumberFormat="1" applyFont="1" applyFill="1"/>
    <xf numFmtId="164" fontId="0" fillId="0" borderId="0" xfId="0" applyNumberFormat="1" applyFont="1" applyFill="1" applyAlignment="1">
      <alignment wrapText="1"/>
    </xf>
    <xf numFmtId="0" fontId="0" fillId="0" borderId="0" xfId="0" applyNumberFormat="1" applyFont="1" applyFill="1"/>
    <xf numFmtId="2" fontId="0" fillId="0" borderId="0" xfId="0" applyNumberFormat="1" applyFont="1" applyFill="1"/>
    <xf numFmtId="0" fontId="0" fillId="0" borderId="0" xfId="0" applyNumberFormat="1" applyFont="1" applyFill="1" applyAlignment="1">
      <alignment wrapText="1"/>
    </xf>
    <xf numFmtId="0" fontId="13" fillId="11" borderId="33" xfId="0" applyNumberFormat="1" applyFont="1" applyFill="1" applyBorder="1" applyAlignment="1">
      <alignment vertical="top" wrapText="1"/>
    </xf>
    <xf numFmtId="0" fontId="13" fillId="11" borderId="35" xfId="0" applyNumberFormat="1" applyFont="1" applyFill="1" applyBorder="1" applyAlignment="1">
      <alignment vertical="top" wrapText="1"/>
    </xf>
    <xf numFmtId="0" fontId="13" fillId="11" borderId="38" xfId="0" applyNumberFormat="1" applyFont="1" applyFill="1" applyBorder="1" applyAlignment="1">
      <alignment vertical="top" wrapText="1"/>
    </xf>
    <xf numFmtId="0" fontId="14" fillId="8" borderId="0" xfId="0" applyNumberFormat="1" applyFont="1" applyFill="1" applyBorder="1" applyAlignment="1">
      <alignment horizontal="center" vertical="center" wrapText="1"/>
    </xf>
    <xf numFmtId="0" fontId="12" fillId="12" borderId="28" xfId="0" applyNumberFormat="1" applyFont="1" applyFill="1" applyBorder="1" applyAlignment="1">
      <alignment vertical="center"/>
    </xf>
    <xf numFmtId="164" fontId="12" fillId="12" borderId="29" xfId="0" applyNumberFormat="1" applyFont="1" applyFill="1" applyBorder="1" applyAlignment="1">
      <alignment vertical="center"/>
    </xf>
    <xf numFmtId="0" fontId="12" fillId="12" borderId="29" xfId="0" applyNumberFormat="1" applyFont="1" applyFill="1" applyBorder="1" applyAlignment="1">
      <alignment vertical="center"/>
    </xf>
    <xf numFmtId="2" fontId="12" fillId="12" borderId="29" xfId="0" applyNumberFormat="1" applyFont="1" applyFill="1" applyBorder="1" applyAlignment="1">
      <alignment vertical="center"/>
    </xf>
    <xf numFmtId="164" fontId="12" fillId="12" borderId="30" xfId="0" applyNumberFormat="1" applyFont="1" applyFill="1" applyBorder="1"/>
    <xf numFmtId="0" fontId="7" fillId="8" borderId="39" xfId="0" applyNumberFormat="1" applyFont="1" applyFill="1" applyBorder="1" applyAlignment="1">
      <alignment horizontal="center"/>
    </xf>
    <xf numFmtId="0" fontId="0" fillId="0" borderId="40" xfId="0" applyNumberFormat="1" applyFont="1" applyFill="1" applyBorder="1"/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horizontal="center" vertical="center"/>
    </xf>
    <xf numFmtId="1" fontId="11" fillId="6" borderId="15" xfId="0" applyNumberFormat="1" applyFont="1" applyFill="1" applyBorder="1" applyAlignment="1">
      <alignment horizontal="center" vertical="center"/>
    </xf>
    <xf numFmtId="1" fontId="11" fillId="6" borderId="21" xfId="0" applyNumberFormat="1" applyFont="1" applyFill="1" applyBorder="1" applyAlignment="1">
      <alignment horizontal="center" vertical="center"/>
    </xf>
    <xf numFmtId="1" fontId="11" fillId="6" borderId="16" xfId="0" applyNumberFormat="1" applyFont="1" applyFill="1" applyBorder="1" applyAlignment="1">
      <alignment horizontal="center" vertical="center"/>
    </xf>
    <xf numFmtId="1" fontId="11" fillId="6" borderId="19" xfId="0" applyNumberFormat="1" applyFont="1" applyFill="1" applyBorder="1" applyAlignment="1">
      <alignment horizontal="center" vertical="center"/>
    </xf>
    <xf numFmtId="1" fontId="11" fillId="6" borderId="22" xfId="0" applyNumberFormat="1" applyFont="1" applyFill="1" applyBorder="1" applyAlignment="1">
      <alignment horizontal="center" vertical="center"/>
    </xf>
    <xf numFmtId="1" fontId="11" fillId="6" borderId="20" xfId="0" applyNumberFormat="1" applyFont="1" applyFill="1" applyBorder="1" applyAlignment="1">
      <alignment horizontal="center" vertical="center"/>
    </xf>
    <xf numFmtId="165" fontId="11" fillId="6" borderId="15" xfId="0" applyNumberFormat="1" applyFont="1" applyFill="1" applyBorder="1" applyAlignment="1">
      <alignment horizontal="center" vertical="center"/>
    </xf>
    <xf numFmtId="165" fontId="11" fillId="6" borderId="21" xfId="0" applyNumberFormat="1" applyFont="1" applyFill="1" applyBorder="1" applyAlignment="1">
      <alignment horizontal="center" vertical="center"/>
    </xf>
    <xf numFmtId="165" fontId="11" fillId="6" borderId="16" xfId="0" applyNumberFormat="1" applyFont="1" applyFill="1" applyBorder="1" applyAlignment="1">
      <alignment horizontal="center" vertical="center"/>
    </xf>
    <xf numFmtId="165" fontId="11" fillId="6" borderId="19" xfId="0" applyNumberFormat="1" applyFont="1" applyFill="1" applyBorder="1" applyAlignment="1">
      <alignment horizontal="center" vertical="center"/>
    </xf>
    <xf numFmtId="165" fontId="11" fillId="6" borderId="22" xfId="0" applyNumberFormat="1" applyFont="1" applyFill="1" applyBorder="1" applyAlignment="1">
      <alignment horizontal="center" vertical="center"/>
    </xf>
    <xf numFmtId="165" fontId="11" fillId="6" borderId="20" xfId="0" applyNumberFormat="1" applyFont="1" applyFill="1" applyBorder="1" applyAlignment="1">
      <alignment horizontal="center" vertical="center"/>
    </xf>
    <xf numFmtId="164" fontId="11" fillId="6" borderId="15" xfId="0" applyNumberFormat="1" applyFont="1" applyFill="1" applyBorder="1" applyAlignment="1">
      <alignment horizontal="center" vertical="center"/>
    </xf>
    <xf numFmtId="164" fontId="11" fillId="6" borderId="21" xfId="0" applyNumberFormat="1" applyFont="1" applyFill="1" applyBorder="1" applyAlignment="1">
      <alignment horizontal="center" vertical="center"/>
    </xf>
    <xf numFmtId="164" fontId="11" fillId="6" borderId="16" xfId="0" applyNumberFormat="1" applyFont="1" applyFill="1" applyBorder="1" applyAlignment="1">
      <alignment horizontal="center" vertical="center"/>
    </xf>
    <xf numFmtId="164" fontId="11" fillId="6" borderId="19" xfId="0" applyNumberFormat="1" applyFont="1" applyFill="1" applyBorder="1" applyAlignment="1">
      <alignment horizontal="center" vertical="center"/>
    </xf>
    <xf numFmtId="164" fontId="11" fillId="6" borderId="22" xfId="0" applyNumberFormat="1" applyFont="1" applyFill="1" applyBorder="1" applyAlignment="1">
      <alignment horizontal="center" vertical="center"/>
    </xf>
    <xf numFmtId="164" fontId="11" fillId="6" borderId="20" xfId="0" applyNumberFormat="1" applyFont="1" applyFill="1" applyBorder="1" applyAlignment="1">
      <alignment horizontal="center" vertical="center"/>
    </xf>
    <xf numFmtId="0" fontId="7" fillId="2" borderId="26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2" borderId="27" xfId="0" applyNumberFormat="1" applyFont="1" applyFill="1" applyBorder="1" applyAlignment="1">
      <alignment horizontal="center" vertical="center"/>
    </xf>
    <xf numFmtId="0" fontId="13" fillId="11" borderId="31" xfId="0" applyNumberFormat="1" applyFont="1" applyFill="1" applyBorder="1" applyAlignment="1">
      <alignment vertical="top" wrapText="1"/>
    </xf>
    <xf numFmtId="0" fontId="13" fillId="11" borderId="32" xfId="0" applyNumberFormat="1" applyFont="1" applyFill="1" applyBorder="1" applyAlignment="1">
      <alignment vertical="top" wrapText="1"/>
    </xf>
    <xf numFmtId="0" fontId="13" fillId="11" borderId="33" xfId="0" applyNumberFormat="1" applyFont="1" applyFill="1" applyBorder="1" applyAlignment="1">
      <alignment vertical="top" wrapText="1"/>
    </xf>
    <xf numFmtId="0" fontId="13" fillId="11" borderId="34" xfId="0" applyNumberFormat="1" applyFont="1" applyFill="1" applyBorder="1" applyAlignment="1">
      <alignment vertical="top" wrapText="1"/>
    </xf>
    <xf numFmtId="0" fontId="13" fillId="11" borderId="0" xfId="0" applyNumberFormat="1" applyFont="1" applyFill="1" applyAlignment="1">
      <alignment vertical="top" wrapText="1"/>
    </xf>
    <xf numFmtId="0" fontId="13" fillId="11" borderId="35" xfId="0" applyNumberFormat="1" applyFont="1" applyFill="1" applyBorder="1" applyAlignment="1">
      <alignment vertical="top" wrapText="1"/>
    </xf>
    <xf numFmtId="0" fontId="13" fillId="11" borderId="36" xfId="0" applyNumberFormat="1" applyFont="1" applyFill="1" applyBorder="1" applyAlignment="1">
      <alignment vertical="top" wrapText="1"/>
    </xf>
    <xf numFmtId="0" fontId="13" fillId="11" borderId="37" xfId="0" applyNumberFormat="1" applyFont="1" applyFill="1" applyBorder="1" applyAlignment="1">
      <alignment vertical="top" wrapText="1"/>
    </xf>
    <xf numFmtId="0" fontId="13" fillId="11" borderId="38" xfId="0" applyNumberFormat="1" applyFont="1" applyFill="1" applyBorder="1" applyAlignment="1">
      <alignment vertical="top" wrapText="1"/>
    </xf>
    <xf numFmtId="0" fontId="8" fillId="3" borderId="0" xfId="0" applyNumberFormat="1" applyFont="1" applyFill="1" applyBorder="1" applyAlignment="1">
      <alignment horizontal="center" vertical="center"/>
    </xf>
    <xf numFmtId="0" fontId="0" fillId="0" borderId="0" xfId="0"/>
    <xf numFmtId="0" fontId="9" fillId="4" borderId="0" xfId="0" applyNumberFormat="1" applyFont="1" applyFill="1" applyBorder="1" applyAlignment="1">
      <alignment horizontal="center" vertical="center"/>
    </xf>
    <xf numFmtId="0" fontId="7" fillId="8" borderId="0" xfId="0" applyNumberFormat="1" applyFont="1" applyFill="1" applyBorder="1" applyAlignment="1">
      <alignment horizontal="center" vertical="center"/>
    </xf>
    <xf numFmtId="0" fontId="7" fillId="8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13" borderId="0" xfId="0" applyNumberFormat="1" applyFont="1" applyFill="1" applyBorder="1" applyAlignment="1">
      <alignment horizontal="center" vertical="center"/>
    </xf>
    <xf numFmtId="0" fontId="9" fillId="12" borderId="0" xfId="0" applyNumberFormat="1" applyFont="1" applyFill="1" applyBorder="1" applyAlignment="1">
      <alignment horizontal="center"/>
    </xf>
    <xf numFmtId="0" fontId="7" fillId="14" borderId="0" xfId="0" applyNumberFormat="1" applyFont="1" applyFill="1" applyBorder="1" applyAlignment="1">
      <alignment horizontal="center"/>
    </xf>
    <xf numFmtId="1" fontId="15" fillId="15" borderId="15" xfId="0" applyNumberFormat="1" applyFont="1" applyFill="1" applyBorder="1" applyAlignment="1">
      <alignment horizontal="center" vertical="center"/>
    </xf>
    <xf numFmtId="1" fontId="15" fillId="15" borderId="21" xfId="0" applyNumberFormat="1" applyFont="1" applyFill="1" applyBorder="1" applyAlignment="1">
      <alignment horizontal="center" vertical="center"/>
    </xf>
    <xf numFmtId="1" fontId="15" fillId="15" borderId="16" xfId="0" applyNumberFormat="1" applyFont="1" applyFill="1" applyBorder="1" applyAlignment="1">
      <alignment horizontal="center" vertical="center"/>
    </xf>
    <xf numFmtId="1" fontId="15" fillId="15" borderId="19" xfId="0" applyNumberFormat="1" applyFont="1" applyFill="1" applyBorder="1" applyAlignment="1">
      <alignment horizontal="center" vertical="center"/>
    </xf>
    <xf numFmtId="1" fontId="15" fillId="15" borderId="22" xfId="0" applyNumberFormat="1" applyFont="1" applyFill="1" applyBorder="1" applyAlignment="1">
      <alignment horizontal="center" vertical="center"/>
    </xf>
    <xf numFmtId="1" fontId="15" fillId="15" borderId="20" xfId="0" applyNumberFormat="1" applyFont="1" applyFill="1" applyBorder="1" applyAlignment="1">
      <alignment horizontal="center" vertical="center"/>
    </xf>
    <xf numFmtId="165" fontId="15" fillId="15" borderId="15" xfId="0" applyNumberFormat="1" applyFont="1" applyFill="1" applyBorder="1" applyAlignment="1">
      <alignment horizontal="center" vertical="center"/>
    </xf>
    <xf numFmtId="165" fontId="15" fillId="15" borderId="21" xfId="0" applyNumberFormat="1" applyFont="1" applyFill="1" applyBorder="1" applyAlignment="1">
      <alignment horizontal="center" vertical="center"/>
    </xf>
    <xf numFmtId="165" fontId="15" fillId="15" borderId="16" xfId="0" applyNumberFormat="1" applyFont="1" applyFill="1" applyBorder="1" applyAlignment="1">
      <alignment horizontal="center" vertical="center"/>
    </xf>
    <xf numFmtId="165" fontId="15" fillId="15" borderId="19" xfId="0" applyNumberFormat="1" applyFont="1" applyFill="1" applyBorder="1" applyAlignment="1">
      <alignment horizontal="center" vertical="center"/>
    </xf>
    <xf numFmtId="165" fontId="15" fillId="15" borderId="22" xfId="0" applyNumberFormat="1" applyFont="1" applyFill="1" applyBorder="1" applyAlignment="1">
      <alignment horizontal="center" vertical="center"/>
    </xf>
    <xf numFmtId="165" fontId="15" fillId="15" borderId="20" xfId="0" applyNumberFormat="1" applyFont="1" applyFill="1" applyBorder="1" applyAlignment="1">
      <alignment horizontal="center" vertical="center"/>
    </xf>
    <xf numFmtId="164" fontId="15" fillId="15" borderId="15" xfId="0" applyNumberFormat="1" applyFont="1" applyFill="1" applyBorder="1" applyAlignment="1">
      <alignment horizontal="center" vertical="center"/>
    </xf>
    <xf numFmtId="164" fontId="15" fillId="15" borderId="21" xfId="0" applyNumberFormat="1" applyFont="1" applyFill="1" applyBorder="1" applyAlignment="1">
      <alignment horizontal="center" vertical="center"/>
    </xf>
    <xf numFmtId="164" fontId="15" fillId="15" borderId="16" xfId="0" applyNumberFormat="1" applyFont="1" applyFill="1" applyBorder="1" applyAlignment="1">
      <alignment horizontal="center" vertical="center"/>
    </xf>
    <xf numFmtId="164" fontId="15" fillId="15" borderId="19" xfId="0" applyNumberFormat="1" applyFont="1" applyFill="1" applyBorder="1" applyAlignment="1">
      <alignment horizontal="center" vertical="center"/>
    </xf>
    <xf numFmtId="164" fontId="15" fillId="15" borderId="22" xfId="0" applyNumberFormat="1" applyFont="1" applyFill="1" applyBorder="1" applyAlignment="1">
      <alignment horizontal="center" vertical="center"/>
    </xf>
    <xf numFmtId="164" fontId="15" fillId="15" borderId="20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xr:uid="{00000000-0005-0000-0000-000001000000}"/>
  </cellStyles>
  <dxfs count="1"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Perbandingan Kemantapan per Kecamatan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MANTAP (%)</c:v>
          </c:tx>
          <c:invertIfNegative val="1"/>
          <c:cat>
            <c:strRef>
              <c:f>Dashboard!$K$48:$K$58</c:f>
              <c:strCache>
                <c:ptCount val="11"/>
                <c:pt idx="0">
                  <c:v>Angkinang</c:v>
                </c:pt>
                <c:pt idx="1">
                  <c:v>Daha Barat</c:v>
                </c:pt>
                <c:pt idx="2">
                  <c:v>Daha Selatan</c:v>
                </c:pt>
                <c:pt idx="3">
                  <c:v>Daha Utara</c:v>
                </c:pt>
                <c:pt idx="4">
                  <c:v>Kalumpang</c:v>
                </c:pt>
                <c:pt idx="5">
                  <c:v>Kandangan</c:v>
                </c:pt>
                <c:pt idx="6">
                  <c:v>Loksado</c:v>
                </c:pt>
                <c:pt idx="7">
                  <c:v>Padang Batung</c:v>
                </c:pt>
                <c:pt idx="8">
                  <c:v>Simpur</c:v>
                </c:pt>
                <c:pt idx="9">
                  <c:v>Sungai Raya</c:v>
                </c:pt>
                <c:pt idx="10">
                  <c:v>Telaga Langsat</c:v>
                </c:pt>
              </c:strCache>
            </c:strRef>
          </c:cat>
          <c:val>
            <c:numRef>
              <c:f>Dashboard!$L$48:$L$58</c:f>
              <c:numCache>
                <c:formatCode>0.0%</c:formatCode>
                <c:ptCount val="11"/>
                <c:pt idx="0">
                  <c:v>0.55132719424764098</c:v>
                </c:pt>
                <c:pt idx="1">
                  <c:v>0.24073193550903083</c:v>
                </c:pt>
                <c:pt idx="2">
                  <c:v>0.39968039491213858</c:v>
                </c:pt>
                <c:pt idx="3">
                  <c:v>0.44160454402081634</c:v>
                </c:pt>
                <c:pt idx="4">
                  <c:v>0.63232022643914065</c:v>
                </c:pt>
                <c:pt idx="5">
                  <c:v>0.6184704440960781</c:v>
                </c:pt>
                <c:pt idx="6">
                  <c:v>0.44379514787319208</c:v>
                </c:pt>
                <c:pt idx="7">
                  <c:v>0.5288651638755264</c:v>
                </c:pt>
                <c:pt idx="8">
                  <c:v>0.61303072715997231</c:v>
                </c:pt>
                <c:pt idx="9">
                  <c:v>0.60909609095128092</c:v>
                </c:pt>
                <c:pt idx="10">
                  <c:v>0.71359429410343922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7-4F13-80EE-3CA14697BE23}"/>
            </c:ext>
          </c:extLst>
        </c:ser>
        <c:ser>
          <c:idx val="1"/>
          <c:order val="1"/>
          <c:tx>
            <c:v>TIDAK MANTAP (%)</c:v>
          </c:tx>
          <c:invertIfNegative val="1"/>
          <c:cat>
            <c:strRef>
              <c:f>Dashboard!$K$48:$K$58</c:f>
              <c:strCache>
                <c:ptCount val="11"/>
                <c:pt idx="0">
                  <c:v>Angkinang</c:v>
                </c:pt>
                <c:pt idx="1">
                  <c:v>Daha Barat</c:v>
                </c:pt>
                <c:pt idx="2">
                  <c:v>Daha Selatan</c:v>
                </c:pt>
                <c:pt idx="3">
                  <c:v>Daha Utara</c:v>
                </c:pt>
                <c:pt idx="4">
                  <c:v>Kalumpang</c:v>
                </c:pt>
                <c:pt idx="5">
                  <c:v>Kandangan</c:v>
                </c:pt>
                <c:pt idx="6">
                  <c:v>Loksado</c:v>
                </c:pt>
                <c:pt idx="7">
                  <c:v>Padang Batung</c:v>
                </c:pt>
                <c:pt idx="8">
                  <c:v>Simpur</c:v>
                </c:pt>
                <c:pt idx="9">
                  <c:v>Sungai Raya</c:v>
                </c:pt>
                <c:pt idx="10">
                  <c:v>Telaga Langsat</c:v>
                </c:pt>
              </c:strCache>
            </c:strRef>
          </c:cat>
          <c:val>
            <c:numRef>
              <c:f>Dashboard!$M$48:$M$58</c:f>
              <c:numCache>
                <c:formatCode>0.0%</c:formatCode>
                <c:ptCount val="11"/>
                <c:pt idx="0">
                  <c:v>0.44867280913054747</c:v>
                </c:pt>
                <c:pt idx="1">
                  <c:v>0.75926804939858594</c:v>
                </c:pt>
                <c:pt idx="2">
                  <c:v>0.60031961461804295</c:v>
                </c:pt>
                <c:pt idx="3">
                  <c:v>0.55839545776182176</c:v>
                </c:pt>
                <c:pt idx="4">
                  <c:v>0.36767976607529945</c:v>
                </c:pt>
                <c:pt idx="5">
                  <c:v>0.38152956370291091</c:v>
                </c:pt>
                <c:pt idx="6">
                  <c:v>0.55620484817986837</c:v>
                </c:pt>
                <c:pt idx="7">
                  <c:v>0.47113483950163793</c:v>
                </c:pt>
                <c:pt idx="8">
                  <c:v>0.38696926903636508</c:v>
                </c:pt>
                <c:pt idx="9">
                  <c:v>0.39090390491504057</c:v>
                </c:pt>
                <c:pt idx="10">
                  <c:v>0.28640569343473565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D7-4F13-80EE-3CA14697B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0</xdr:rowOff>
    </xdr:from>
    <xdr:to>
      <xdr:col>19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JalanAnalitik" displayName="TabelJalanAnalitik" ref="A1:AE351">
  <tableColumns count="31">
    <tableColumn id="1" xr3:uid="{00000000-0010-0000-0000-000001000000}" name="NO"/>
    <tableColumn id="2" xr3:uid="{00000000-0010-0000-0000-000002000000}" name="NO RUAS"/>
    <tableColumn id="3" xr3:uid="{00000000-0010-0000-0000-000003000000}" name="NAMA RUAS JALAN"/>
    <tableColumn id="4" xr3:uid="{00000000-0010-0000-0000-000004000000}" name="KECAMATAN"/>
    <tableColumn id="5" xr3:uid="{00000000-0010-0000-0000-000005000000}" name="PANJANG (KM)"/>
    <tableColumn id="6" xr3:uid="{00000000-0010-0000-0000-000006000000}" name="LEBAR (M)"/>
    <tableColumn id="7" xr3:uid="{00000000-0010-0000-0000-000007000000}" name="LHR"/>
    <tableColumn id="8" xr3:uid="{00000000-0010-0000-0000-000008000000}" name="AKSES N/P/K"/>
    <tableColumn id="9" xr3:uid="{00000000-0010-0000-0000-000009000000}" name="TAHUN DATA"/>
    <tableColumn id="10" xr3:uid="{00000000-0010-0000-0000-00000A000000}" name="HOTMIX (KM)"/>
    <tableColumn id="11" xr3:uid="{00000000-0010-0000-0000-00000B000000}" name="LAPEN/MAKADAM (KM)"/>
    <tableColumn id="12" xr3:uid="{00000000-0010-0000-0000-00000C000000}" name="BETON (KM)"/>
    <tableColumn id="13" xr3:uid="{00000000-0010-0000-0000-00000D000000}" name="TELFORD/KERIKIL (KM)"/>
    <tableColumn id="14" xr3:uid="{00000000-0010-0000-0000-00000E000000}" name="TANAH/BELUM TEMBUS (KM)"/>
    <tableColumn id="15" xr3:uid="{00000000-0010-0000-0000-00000F000000}" name="BAIK (KM)"/>
    <tableColumn id="16" xr3:uid="{00000000-0010-0000-0000-000010000000}" name="BAIK (%)"/>
    <tableColumn id="17" xr3:uid="{00000000-0010-0000-0000-000011000000}" name="SEDANG (KM)"/>
    <tableColumn id="18" xr3:uid="{00000000-0010-0000-0000-000012000000}" name="SEDANG (%)"/>
    <tableColumn id="19" xr3:uid="{00000000-0010-0000-0000-000013000000}" name="RUSAK RINGAN (KM)"/>
    <tableColumn id="20" xr3:uid="{00000000-0010-0000-0000-000014000000}" name="RUSAK RINGAN (%)"/>
    <tableColumn id="21" xr3:uid="{00000000-0010-0000-0000-000015000000}" name="RUSAK BERAT (KM)"/>
    <tableColumn id="22" xr3:uid="{00000000-0010-0000-0000-000016000000}" name="RUSAK BERAT (%)"/>
    <tableColumn id="23" xr3:uid="{00000000-0010-0000-0000-000017000000}" name="MANTAP (KM)"/>
    <tableColumn id="24" xr3:uid="{00000000-0010-0000-0000-000018000000}" name="MANTAP (%)"/>
    <tableColumn id="25" xr3:uid="{00000000-0010-0000-0000-000019000000}" name="TIDAK MANTAP (KM)"/>
    <tableColumn id="26" xr3:uid="{00000000-0010-0000-0000-00001A000000}" name="TIDAK MANTAP (%)"/>
    <tableColumn id="27" xr3:uid="{00000000-0010-0000-0000-00001B000000}" name="SKOR KERUSAKAN"/>
    <tableColumn id="28" xr3:uid="{00000000-0010-0000-0000-00001C000000}" name="KATEGORI KONDISI"/>
    <tableColumn id="29" xr3:uid="{00000000-0010-0000-0000-00001D000000}" name="METRIK AKTIF"/>
    <tableColumn id="30" xr3:uid="{00000000-0010-0000-0000-00001E000000}" name="LOLOS FILTER"/>
    <tableColumn id="31" xr3:uid="{00000000-0010-0000-0000-00001F000000}" name="URUTAN FIL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9"/>
  <sheetViews>
    <sheetView workbookViewId="0"/>
  </sheetViews>
  <sheetFormatPr defaultColWidth="9.140625" defaultRowHeight="15" x14ac:dyDescent="0.25"/>
  <cols>
    <col min="1" max="1" width="5.85546875" style="1" customWidth="1"/>
    <col min="2" max="3" width="5.28515625" style="1" customWidth="1"/>
    <col min="4" max="4" width="57.140625" style="1" customWidth="1"/>
    <col min="5" max="5" width="25.140625" style="1" customWidth="1"/>
    <col min="6" max="6" width="16.5703125" style="1" customWidth="1"/>
    <col min="7" max="7" width="12.140625" style="1" customWidth="1"/>
    <col min="8" max="8" width="12" style="1" customWidth="1"/>
    <col min="9" max="12" width="17.85546875" style="1" customWidth="1"/>
    <col min="13" max="13" width="13.140625" style="1" customWidth="1"/>
    <col min="14" max="14" width="12" style="1" customWidth="1"/>
    <col min="15" max="15" width="10.85546875" style="1" customWidth="1"/>
    <col min="16" max="16" width="10.140625" style="1" customWidth="1"/>
    <col min="17" max="17" width="12" style="1" customWidth="1"/>
    <col min="18" max="18" width="10.140625" style="1" customWidth="1"/>
    <col min="19" max="19" width="10.85546875" style="1" customWidth="1"/>
    <col min="20" max="20" width="10.140625" style="1" customWidth="1"/>
    <col min="21" max="21" width="13.28515625" style="1" customWidth="1"/>
    <col min="22" max="22" width="7" style="1" customWidth="1"/>
    <col min="23" max="23" width="7.7109375" style="1" customWidth="1"/>
    <col min="24" max="24" width="9.140625" style="1"/>
  </cols>
  <sheetData>
    <row r="1" spans="1:23" x14ac:dyDescent="0.25">
      <c r="A1" s="13" t="s">
        <v>0</v>
      </c>
      <c r="B1" s="15"/>
      <c r="C1" s="14" t="s">
        <v>1</v>
      </c>
      <c r="D1" s="13" t="s">
        <v>2</v>
      </c>
    </row>
    <row r="2" spans="1:23" s="1" customFormat="1" ht="12.75" x14ac:dyDescent="0.25">
      <c r="A2" s="13" t="s">
        <v>3</v>
      </c>
      <c r="B2" s="15"/>
      <c r="C2" s="14" t="s">
        <v>1</v>
      </c>
      <c r="D2" s="13" t="s">
        <v>4</v>
      </c>
    </row>
    <row r="3" spans="1:23" s="1" customFormat="1" ht="12.75" x14ac:dyDescent="0.25">
      <c r="A3" s="13" t="s">
        <v>5</v>
      </c>
      <c r="B3" s="15"/>
      <c r="C3" s="14" t="s">
        <v>1</v>
      </c>
      <c r="D3" s="13"/>
    </row>
    <row r="4" spans="1:23" x14ac:dyDescent="0.25">
      <c r="A4" s="13" t="s">
        <v>6</v>
      </c>
      <c r="B4" s="13"/>
      <c r="C4" s="14" t="s">
        <v>1</v>
      </c>
      <c r="D4" s="13">
        <v>2026</v>
      </c>
      <c r="E4" s="12"/>
      <c r="F4" s="11"/>
      <c r="G4" s="11"/>
    </row>
    <row r="6" spans="1:23" x14ac:dyDescent="0.25">
      <c r="A6" s="123" t="s">
        <v>7</v>
      </c>
      <c r="B6" s="124"/>
      <c r="C6" s="115"/>
      <c r="D6" s="113" t="s">
        <v>8</v>
      </c>
      <c r="E6" s="113" t="s">
        <v>9</v>
      </c>
      <c r="F6" s="113" t="s">
        <v>10</v>
      </c>
      <c r="G6" s="113" t="s">
        <v>11</v>
      </c>
      <c r="H6" s="121" t="s">
        <v>12</v>
      </c>
      <c r="I6" s="121"/>
      <c r="J6" s="121"/>
      <c r="K6" s="121"/>
      <c r="L6" s="121"/>
      <c r="M6" s="117" t="s">
        <v>13</v>
      </c>
      <c r="N6" s="122"/>
      <c r="O6" s="122"/>
      <c r="P6" s="122"/>
      <c r="Q6" s="122"/>
      <c r="R6" s="122"/>
      <c r="S6" s="122"/>
      <c r="T6" s="118"/>
      <c r="U6" s="115" t="s">
        <v>14</v>
      </c>
      <c r="V6" s="113" t="s">
        <v>15</v>
      </c>
      <c r="W6" s="113" t="s">
        <v>16</v>
      </c>
    </row>
    <row r="7" spans="1:23" ht="12.75" customHeight="1" x14ac:dyDescent="0.25">
      <c r="A7" s="125"/>
      <c r="B7" s="126"/>
      <c r="C7" s="116"/>
      <c r="D7" s="114"/>
      <c r="E7" s="114"/>
      <c r="F7" s="114"/>
      <c r="G7" s="114"/>
      <c r="H7" s="113" t="s">
        <v>17</v>
      </c>
      <c r="I7" s="113" t="s">
        <v>18</v>
      </c>
      <c r="J7" s="113" t="s">
        <v>19</v>
      </c>
      <c r="K7" s="127" t="s">
        <v>20</v>
      </c>
      <c r="L7" s="113" t="s">
        <v>21</v>
      </c>
      <c r="M7" s="117" t="s">
        <v>22</v>
      </c>
      <c r="N7" s="118"/>
      <c r="O7" s="117" t="s">
        <v>23</v>
      </c>
      <c r="P7" s="118"/>
      <c r="Q7" s="119" t="s">
        <v>24</v>
      </c>
      <c r="R7" s="120"/>
      <c r="S7" s="119" t="s">
        <v>25</v>
      </c>
      <c r="T7" s="120"/>
      <c r="U7" s="116"/>
      <c r="V7" s="114"/>
      <c r="W7" s="114"/>
    </row>
    <row r="8" spans="1:23" x14ac:dyDescent="0.25">
      <c r="A8" s="125"/>
      <c r="B8" s="126"/>
      <c r="C8" s="116"/>
      <c r="D8" s="114"/>
      <c r="E8" s="114"/>
      <c r="F8" s="114"/>
      <c r="G8" s="114"/>
      <c r="H8" s="114"/>
      <c r="I8" s="114"/>
      <c r="J8" s="114"/>
      <c r="K8" s="128"/>
      <c r="L8" s="114"/>
      <c r="M8" s="10" t="s">
        <v>26</v>
      </c>
      <c r="N8" s="10" t="s">
        <v>27</v>
      </c>
      <c r="O8" s="10" t="s">
        <v>26</v>
      </c>
      <c r="P8" s="10" t="s">
        <v>27</v>
      </c>
      <c r="Q8" s="9" t="s">
        <v>26</v>
      </c>
      <c r="R8" s="9" t="s">
        <v>27</v>
      </c>
      <c r="S8" s="9" t="s">
        <v>26</v>
      </c>
      <c r="T8" s="9" t="s">
        <v>27</v>
      </c>
      <c r="U8" s="116"/>
      <c r="V8" s="114"/>
      <c r="W8" s="114"/>
    </row>
    <row r="9" spans="1:23" x14ac:dyDescent="0.25">
      <c r="A9" s="4">
        <v>0</v>
      </c>
      <c r="B9" s="4">
        <v>0</v>
      </c>
      <c r="C9" s="4">
        <v>1</v>
      </c>
      <c r="D9" s="4" t="s">
        <v>28</v>
      </c>
      <c r="E9" s="4" t="s">
        <v>29</v>
      </c>
      <c r="F9" s="4">
        <v>0.56000000000000005</v>
      </c>
      <c r="G9" s="8">
        <v>12</v>
      </c>
      <c r="H9" s="8">
        <v>0.56000000238418579</v>
      </c>
      <c r="I9" s="8">
        <v>0</v>
      </c>
      <c r="J9" s="8">
        <v>0</v>
      </c>
      <c r="K9" s="8">
        <v>0</v>
      </c>
      <c r="L9" s="8">
        <v>0</v>
      </c>
      <c r="M9" s="6">
        <v>0</v>
      </c>
      <c r="N9" s="5">
        <v>0</v>
      </c>
      <c r="O9" s="6">
        <v>0.36000001430511475</v>
      </c>
      <c r="P9" s="5">
        <v>0.64285716840199059</v>
      </c>
      <c r="Q9" s="6">
        <v>0.20000000298023224</v>
      </c>
      <c r="R9" s="5">
        <v>0.35714286246470039</v>
      </c>
      <c r="S9" s="6">
        <v>0</v>
      </c>
      <c r="T9" s="5">
        <v>0</v>
      </c>
      <c r="U9" s="4">
        <v>0</v>
      </c>
      <c r="V9" s="4">
        <v>0</v>
      </c>
      <c r="W9" s="4">
        <v>2025</v>
      </c>
    </row>
    <row r="10" spans="1:23" x14ac:dyDescent="0.25">
      <c r="A10" s="4">
        <v>0</v>
      </c>
      <c r="B10" s="4">
        <v>0</v>
      </c>
      <c r="C10" s="4">
        <v>2</v>
      </c>
      <c r="D10" s="4" t="s">
        <v>30</v>
      </c>
      <c r="E10" s="4" t="s">
        <v>29</v>
      </c>
      <c r="F10" s="4">
        <v>0.52</v>
      </c>
      <c r="G10" s="8">
        <v>6</v>
      </c>
      <c r="H10" s="8">
        <v>0.51999998092651367</v>
      </c>
      <c r="I10" s="8">
        <v>0</v>
      </c>
      <c r="J10" s="8">
        <v>0</v>
      </c>
      <c r="K10" s="8">
        <v>0</v>
      </c>
      <c r="L10" s="8">
        <v>0</v>
      </c>
      <c r="M10" s="6">
        <v>0</v>
      </c>
      <c r="N10" s="5">
        <v>0</v>
      </c>
      <c r="O10" s="6">
        <v>0.51999998092651367</v>
      </c>
      <c r="P10" s="5">
        <v>0.99999996332021857</v>
      </c>
      <c r="Q10" s="6">
        <v>0</v>
      </c>
      <c r="R10" s="5">
        <v>0</v>
      </c>
      <c r="S10" s="6">
        <v>0</v>
      </c>
      <c r="T10" s="5">
        <v>0</v>
      </c>
      <c r="U10" s="4">
        <v>0</v>
      </c>
      <c r="V10" s="4">
        <v>0</v>
      </c>
      <c r="W10" s="4">
        <v>2025</v>
      </c>
    </row>
    <row r="11" spans="1:23" x14ac:dyDescent="0.25">
      <c r="A11" s="4">
        <v>0</v>
      </c>
      <c r="B11" s="4">
        <v>0</v>
      </c>
      <c r="C11" s="4">
        <v>3</v>
      </c>
      <c r="D11" s="4" t="s">
        <v>31</v>
      </c>
      <c r="E11" s="4" t="s">
        <v>29</v>
      </c>
      <c r="F11" s="4">
        <v>0.28000000000000003</v>
      </c>
      <c r="G11" s="8">
        <v>6</v>
      </c>
      <c r="H11" s="8">
        <v>0</v>
      </c>
      <c r="I11" s="8">
        <v>0</v>
      </c>
      <c r="J11" s="8">
        <v>0.2800000011920929</v>
      </c>
      <c r="K11" s="8">
        <v>0</v>
      </c>
      <c r="L11" s="8">
        <v>0</v>
      </c>
      <c r="M11" s="6">
        <v>0.2800000011920929</v>
      </c>
      <c r="N11" s="5">
        <v>1.0000000042574746</v>
      </c>
      <c r="O11" s="6">
        <v>0</v>
      </c>
      <c r="P11" s="5">
        <v>0</v>
      </c>
      <c r="Q11" s="6">
        <v>0</v>
      </c>
      <c r="R11" s="5">
        <v>0</v>
      </c>
      <c r="S11" s="6">
        <v>0</v>
      </c>
      <c r="T11" s="5">
        <v>0</v>
      </c>
      <c r="U11" s="4">
        <v>0</v>
      </c>
      <c r="V11" s="4">
        <v>0</v>
      </c>
      <c r="W11" s="4">
        <v>2025</v>
      </c>
    </row>
    <row r="12" spans="1:23" x14ac:dyDescent="0.25">
      <c r="A12" s="4">
        <v>0</v>
      </c>
      <c r="B12" s="4">
        <v>0</v>
      </c>
      <c r="C12" s="4">
        <v>4</v>
      </c>
      <c r="D12" s="4" t="s">
        <v>32</v>
      </c>
      <c r="E12" s="4" t="s">
        <v>29</v>
      </c>
      <c r="F12" s="4">
        <v>0.26</v>
      </c>
      <c r="G12" s="8">
        <v>5</v>
      </c>
      <c r="H12" s="8">
        <v>0.25999999046325684</v>
      </c>
      <c r="I12" s="8">
        <v>0</v>
      </c>
      <c r="J12" s="8">
        <v>0</v>
      </c>
      <c r="K12" s="8">
        <v>0</v>
      </c>
      <c r="L12" s="8">
        <v>0</v>
      </c>
      <c r="M12" s="6">
        <v>0.25999999046325684</v>
      </c>
      <c r="N12" s="5">
        <v>0.99999996332021857</v>
      </c>
      <c r="O12" s="6">
        <v>0</v>
      </c>
      <c r="P12" s="5">
        <v>0</v>
      </c>
      <c r="Q12" s="6">
        <v>0</v>
      </c>
      <c r="R12" s="5">
        <v>0</v>
      </c>
      <c r="S12" s="6">
        <v>0</v>
      </c>
      <c r="T12" s="5">
        <v>0</v>
      </c>
      <c r="U12" s="4">
        <v>0</v>
      </c>
      <c r="V12" s="4">
        <v>0</v>
      </c>
      <c r="W12" s="4">
        <v>2025</v>
      </c>
    </row>
    <row r="13" spans="1:23" x14ac:dyDescent="0.25">
      <c r="A13" s="4">
        <v>0</v>
      </c>
      <c r="B13" s="4">
        <v>0</v>
      </c>
      <c r="C13" s="4">
        <v>5</v>
      </c>
      <c r="D13" s="4" t="s">
        <v>33</v>
      </c>
      <c r="E13" s="4" t="s">
        <v>29</v>
      </c>
      <c r="F13" s="4">
        <v>1.43</v>
      </c>
      <c r="G13" s="8">
        <v>5</v>
      </c>
      <c r="H13" s="8">
        <v>1.4299999475479126</v>
      </c>
      <c r="I13" s="8">
        <v>0</v>
      </c>
      <c r="J13" s="8">
        <v>0</v>
      </c>
      <c r="K13" s="8">
        <v>0</v>
      </c>
      <c r="L13" s="8">
        <v>0</v>
      </c>
      <c r="M13" s="6">
        <v>0</v>
      </c>
      <c r="N13" s="5">
        <v>0</v>
      </c>
      <c r="O13" s="6">
        <v>1.2300000190734863</v>
      </c>
      <c r="P13" s="5">
        <v>0.8601398734779625</v>
      </c>
      <c r="Q13" s="6">
        <v>0.20000000298023224</v>
      </c>
      <c r="R13" s="5">
        <v>0.13986014194421836</v>
      </c>
      <c r="S13" s="6">
        <v>0</v>
      </c>
      <c r="T13" s="5">
        <v>0</v>
      </c>
      <c r="U13" s="4">
        <v>0</v>
      </c>
      <c r="V13" s="4">
        <v>0</v>
      </c>
      <c r="W13" s="4">
        <v>2025</v>
      </c>
    </row>
    <row r="14" spans="1:23" x14ac:dyDescent="0.25">
      <c r="A14" s="4">
        <v>0</v>
      </c>
      <c r="B14" s="4">
        <v>0</v>
      </c>
      <c r="C14" s="4">
        <v>6</v>
      </c>
      <c r="D14" s="4" t="s">
        <v>34</v>
      </c>
      <c r="E14" s="4" t="s">
        <v>29</v>
      </c>
      <c r="F14" s="4">
        <v>0.82</v>
      </c>
      <c r="G14" s="8">
        <v>6</v>
      </c>
      <c r="H14" s="8">
        <v>0.81999999284744263</v>
      </c>
      <c r="I14" s="8">
        <v>0</v>
      </c>
      <c r="J14" s="8">
        <v>0</v>
      </c>
      <c r="K14" s="8">
        <v>0</v>
      </c>
      <c r="L14" s="8">
        <v>0</v>
      </c>
      <c r="M14" s="6">
        <v>0.81999999284744263</v>
      </c>
      <c r="N14" s="5">
        <v>0.99999999127736916</v>
      </c>
      <c r="O14" s="6">
        <v>0</v>
      </c>
      <c r="P14" s="5">
        <v>0</v>
      </c>
      <c r="Q14" s="6">
        <v>0</v>
      </c>
      <c r="R14" s="5">
        <v>0</v>
      </c>
      <c r="S14" s="6">
        <v>0</v>
      </c>
      <c r="T14" s="5">
        <v>0</v>
      </c>
      <c r="U14" s="4">
        <v>0</v>
      </c>
      <c r="V14" s="4">
        <v>0</v>
      </c>
      <c r="W14" s="4">
        <v>2025</v>
      </c>
    </row>
    <row r="15" spans="1:23" x14ac:dyDescent="0.25">
      <c r="A15" s="4">
        <v>0</v>
      </c>
      <c r="B15" s="4">
        <v>0</v>
      </c>
      <c r="C15" s="4">
        <v>7</v>
      </c>
      <c r="D15" s="4" t="s">
        <v>35</v>
      </c>
      <c r="E15" s="4" t="s">
        <v>29</v>
      </c>
      <c r="F15" s="4">
        <v>0.28999999999999998</v>
      </c>
      <c r="G15" s="8">
        <v>12</v>
      </c>
      <c r="H15" s="8">
        <v>0.28999999165534973</v>
      </c>
      <c r="I15" s="8">
        <v>0</v>
      </c>
      <c r="J15" s="8">
        <v>0</v>
      </c>
      <c r="K15" s="8">
        <v>0</v>
      </c>
      <c r="L15" s="8">
        <v>0</v>
      </c>
      <c r="M15" s="6">
        <v>0</v>
      </c>
      <c r="N15" s="5">
        <v>0</v>
      </c>
      <c r="O15" s="6">
        <v>0.28999999165534973</v>
      </c>
      <c r="P15" s="5">
        <v>0.99999997122534401</v>
      </c>
      <c r="Q15" s="6">
        <v>0</v>
      </c>
      <c r="R15" s="5">
        <v>0</v>
      </c>
      <c r="S15" s="6">
        <v>0</v>
      </c>
      <c r="T15" s="5">
        <v>0</v>
      </c>
      <c r="U15" s="4">
        <v>0</v>
      </c>
      <c r="V15" s="4">
        <v>0</v>
      </c>
      <c r="W15" s="4">
        <v>2025</v>
      </c>
    </row>
    <row r="16" spans="1:23" x14ac:dyDescent="0.25">
      <c r="A16" s="4">
        <v>0</v>
      </c>
      <c r="B16" s="4">
        <v>0</v>
      </c>
      <c r="C16" s="4">
        <v>8</v>
      </c>
      <c r="D16" s="4" t="s">
        <v>36</v>
      </c>
      <c r="E16" s="4" t="s">
        <v>29</v>
      </c>
      <c r="F16" s="4">
        <v>1.34</v>
      </c>
      <c r="G16" s="8">
        <v>5</v>
      </c>
      <c r="H16" s="8">
        <v>1.3400000333786011</v>
      </c>
      <c r="I16" s="8">
        <v>0</v>
      </c>
      <c r="J16" s="8">
        <v>0</v>
      </c>
      <c r="K16" s="8">
        <v>0</v>
      </c>
      <c r="L16" s="8">
        <v>0</v>
      </c>
      <c r="M16" s="6">
        <v>0.5</v>
      </c>
      <c r="N16" s="5">
        <v>0.37313432835820892</v>
      </c>
      <c r="O16" s="6">
        <v>0.8399999737739563</v>
      </c>
      <c r="P16" s="5">
        <v>0.62686565207011657</v>
      </c>
      <c r="Q16" s="6">
        <v>0</v>
      </c>
      <c r="R16" s="5">
        <v>0</v>
      </c>
      <c r="S16" s="6">
        <v>0</v>
      </c>
      <c r="T16" s="5">
        <v>0</v>
      </c>
      <c r="U16" s="4">
        <v>0</v>
      </c>
      <c r="V16" s="4">
        <v>0</v>
      </c>
      <c r="W16" s="4">
        <v>2025</v>
      </c>
    </row>
    <row r="17" spans="1:23" x14ac:dyDescent="0.25">
      <c r="A17" s="4">
        <v>0</v>
      </c>
      <c r="B17" s="4">
        <v>0</v>
      </c>
      <c r="C17" s="4">
        <v>9</v>
      </c>
      <c r="D17" s="4" t="s">
        <v>37</v>
      </c>
      <c r="E17" s="4" t="s">
        <v>29</v>
      </c>
      <c r="F17" s="4">
        <v>1.0900000000000001</v>
      </c>
      <c r="G17" s="8">
        <v>5</v>
      </c>
      <c r="H17" s="8">
        <v>1.0900000333786011</v>
      </c>
      <c r="I17" s="8">
        <v>0</v>
      </c>
      <c r="J17" s="8">
        <v>0</v>
      </c>
      <c r="K17" s="8">
        <v>0</v>
      </c>
      <c r="L17" s="8">
        <v>0</v>
      </c>
      <c r="M17" s="6">
        <v>0.80000001192092896</v>
      </c>
      <c r="N17" s="5">
        <v>0.73394496506507234</v>
      </c>
      <c r="O17" s="6">
        <v>0.28999999165534973</v>
      </c>
      <c r="P17" s="5">
        <v>0.26605503821591714</v>
      </c>
      <c r="Q17" s="6">
        <v>0</v>
      </c>
      <c r="R17" s="5">
        <v>0</v>
      </c>
      <c r="S17" s="6">
        <v>0</v>
      </c>
      <c r="T17" s="5">
        <v>0</v>
      </c>
      <c r="U17" s="4">
        <v>0</v>
      </c>
      <c r="V17" s="4">
        <v>0</v>
      </c>
      <c r="W17" s="4">
        <v>2025</v>
      </c>
    </row>
    <row r="18" spans="1:23" x14ac:dyDescent="0.25">
      <c r="A18" s="4">
        <v>0</v>
      </c>
      <c r="B18" s="4">
        <v>1</v>
      </c>
      <c r="C18" s="4">
        <v>0</v>
      </c>
      <c r="D18" s="4" t="s">
        <v>38</v>
      </c>
      <c r="E18" s="4" t="s">
        <v>29</v>
      </c>
      <c r="F18" s="4">
        <v>0.38</v>
      </c>
      <c r="G18" s="8">
        <v>5</v>
      </c>
      <c r="H18" s="8">
        <v>0.37999999523162842</v>
      </c>
      <c r="I18" s="8">
        <v>0</v>
      </c>
      <c r="J18" s="8">
        <v>0</v>
      </c>
      <c r="K18" s="8">
        <v>0</v>
      </c>
      <c r="L18" s="8">
        <v>0</v>
      </c>
      <c r="M18" s="6">
        <v>0.20000000298023224</v>
      </c>
      <c r="N18" s="5">
        <v>0.52631579731640066</v>
      </c>
      <c r="O18" s="6">
        <v>0.18000000715255737</v>
      </c>
      <c r="P18" s="5">
        <v>0.4736842293488352</v>
      </c>
      <c r="Q18" s="6">
        <v>0</v>
      </c>
      <c r="R18" s="5">
        <v>0</v>
      </c>
      <c r="S18" s="6">
        <v>0</v>
      </c>
      <c r="T18" s="5">
        <v>0</v>
      </c>
      <c r="U18" s="4">
        <v>0</v>
      </c>
      <c r="V18" s="4">
        <v>0</v>
      </c>
      <c r="W18" s="4">
        <v>2025</v>
      </c>
    </row>
    <row r="19" spans="1:23" x14ac:dyDescent="0.25">
      <c r="A19" s="4">
        <v>0</v>
      </c>
      <c r="B19" s="4">
        <v>1</v>
      </c>
      <c r="C19" s="4">
        <v>1</v>
      </c>
      <c r="D19" s="4" t="s">
        <v>39</v>
      </c>
      <c r="E19" s="4" t="s">
        <v>29</v>
      </c>
      <c r="F19" s="4">
        <v>0.23</v>
      </c>
      <c r="G19" s="8">
        <v>3</v>
      </c>
      <c r="H19" s="8">
        <v>0.23000000417232513</v>
      </c>
      <c r="I19" s="8">
        <v>0</v>
      </c>
      <c r="J19" s="8">
        <v>0</v>
      </c>
      <c r="K19" s="8">
        <v>0</v>
      </c>
      <c r="L19" s="8">
        <v>0</v>
      </c>
      <c r="M19" s="6">
        <v>0.23000000417232513</v>
      </c>
      <c r="N19" s="5">
        <v>1.000000018140544</v>
      </c>
      <c r="O19" s="6">
        <v>0</v>
      </c>
      <c r="P19" s="5">
        <v>0</v>
      </c>
      <c r="Q19" s="6">
        <v>0</v>
      </c>
      <c r="R19" s="5">
        <v>0</v>
      </c>
      <c r="S19" s="6">
        <v>0</v>
      </c>
      <c r="T19" s="5">
        <v>0</v>
      </c>
      <c r="U19" s="4">
        <v>0</v>
      </c>
      <c r="V19" s="4">
        <v>0</v>
      </c>
      <c r="W19" s="4">
        <v>2025</v>
      </c>
    </row>
    <row r="20" spans="1:23" x14ac:dyDescent="0.25">
      <c r="A20" s="4">
        <v>0</v>
      </c>
      <c r="B20" s="4">
        <v>1</v>
      </c>
      <c r="C20" s="4">
        <v>2</v>
      </c>
      <c r="D20" s="4" t="s">
        <v>40</v>
      </c>
      <c r="E20" s="4" t="s">
        <v>29</v>
      </c>
      <c r="F20" s="4">
        <v>0.23</v>
      </c>
      <c r="G20" s="8">
        <v>3</v>
      </c>
      <c r="H20" s="8">
        <v>0.23000000417232513</v>
      </c>
      <c r="I20" s="8">
        <v>0</v>
      </c>
      <c r="J20" s="8">
        <v>0</v>
      </c>
      <c r="K20" s="8">
        <v>0</v>
      </c>
      <c r="L20" s="8">
        <v>0</v>
      </c>
      <c r="M20" s="6">
        <v>0.23000000417232513</v>
      </c>
      <c r="N20" s="5">
        <v>1.000000018140544</v>
      </c>
      <c r="O20" s="6">
        <v>0</v>
      </c>
      <c r="P20" s="5">
        <v>0</v>
      </c>
      <c r="Q20" s="6">
        <v>0</v>
      </c>
      <c r="R20" s="5">
        <v>0</v>
      </c>
      <c r="S20" s="6">
        <v>0</v>
      </c>
      <c r="T20" s="5">
        <v>0</v>
      </c>
      <c r="U20" s="4">
        <v>0</v>
      </c>
      <c r="V20" s="4">
        <v>0</v>
      </c>
      <c r="W20" s="4">
        <v>2025</v>
      </c>
    </row>
    <row r="21" spans="1:23" x14ac:dyDescent="0.25">
      <c r="A21" s="4">
        <v>0</v>
      </c>
      <c r="B21" s="4">
        <v>1</v>
      </c>
      <c r="C21" s="4">
        <v>3</v>
      </c>
      <c r="D21" s="4" t="s">
        <v>41</v>
      </c>
      <c r="E21" s="4" t="s">
        <v>29</v>
      </c>
      <c r="F21" s="4">
        <v>0.23</v>
      </c>
      <c r="G21" s="8">
        <v>7</v>
      </c>
      <c r="H21" s="8">
        <v>0.23000000417232513</v>
      </c>
      <c r="I21" s="8">
        <v>0</v>
      </c>
      <c r="J21" s="8">
        <v>0</v>
      </c>
      <c r="K21" s="8">
        <v>0</v>
      </c>
      <c r="L21" s="8">
        <v>0</v>
      </c>
      <c r="M21" s="6">
        <v>0</v>
      </c>
      <c r="N21" s="5">
        <v>0</v>
      </c>
      <c r="O21" s="6">
        <v>0.23000000417232513</v>
      </c>
      <c r="P21" s="5">
        <v>1.000000018140544</v>
      </c>
      <c r="Q21" s="6">
        <v>0</v>
      </c>
      <c r="R21" s="5">
        <v>0</v>
      </c>
      <c r="S21" s="6">
        <v>0</v>
      </c>
      <c r="T21" s="5">
        <v>0</v>
      </c>
      <c r="U21" s="4">
        <v>0</v>
      </c>
      <c r="V21" s="4">
        <v>0</v>
      </c>
      <c r="W21" s="4">
        <v>2025</v>
      </c>
    </row>
    <row r="22" spans="1:23" x14ac:dyDescent="0.25">
      <c r="A22" s="4">
        <v>0</v>
      </c>
      <c r="B22" s="4">
        <v>1</v>
      </c>
      <c r="C22" s="4">
        <v>4</v>
      </c>
      <c r="D22" s="4" t="s">
        <v>42</v>
      </c>
      <c r="E22" s="4" t="s">
        <v>29</v>
      </c>
      <c r="F22" s="4">
        <v>0.21</v>
      </c>
      <c r="G22" s="8">
        <v>4</v>
      </c>
      <c r="H22" s="8">
        <v>0.20999999344348907</v>
      </c>
      <c r="I22" s="8">
        <v>0</v>
      </c>
      <c r="J22" s="8">
        <v>0</v>
      </c>
      <c r="K22" s="8">
        <v>0</v>
      </c>
      <c r="L22" s="8">
        <v>0</v>
      </c>
      <c r="M22" s="6">
        <v>0</v>
      </c>
      <c r="N22" s="5">
        <v>0</v>
      </c>
      <c r="O22" s="6">
        <v>0.20999999344348907</v>
      </c>
      <c r="P22" s="5">
        <v>0.99999996877851949</v>
      </c>
      <c r="Q22" s="6">
        <v>0</v>
      </c>
      <c r="R22" s="5">
        <v>0</v>
      </c>
      <c r="S22" s="6">
        <v>0</v>
      </c>
      <c r="T22" s="5">
        <v>0</v>
      </c>
      <c r="U22" s="4">
        <v>0</v>
      </c>
      <c r="V22" s="4">
        <v>0</v>
      </c>
      <c r="W22" s="4">
        <v>2025</v>
      </c>
    </row>
    <row r="23" spans="1:23" x14ac:dyDescent="0.25">
      <c r="A23" s="4">
        <v>0</v>
      </c>
      <c r="B23" s="4">
        <v>1</v>
      </c>
      <c r="C23" s="4">
        <v>5</v>
      </c>
      <c r="D23" s="4" t="s">
        <v>43</v>
      </c>
      <c r="E23" s="4" t="s">
        <v>29</v>
      </c>
      <c r="F23" s="4">
        <v>0.18</v>
      </c>
      <c r="G23" s="8">
        <v>3</v>
      </c>
      <c r="H23" s="8">
        <v>0.18000000715255737</v>
      </c>
      <c r="I23" s="8">
        <v>0</v>
      </c>
      <c r="J23" s="8">
        <v>0</v>
      </c>
      <c r="K23" s="8">
        <v>0</v>
      </c>
      <c r="L23" s="8">
        <v>0</v>
      </c>
      <c r="M23" s="6">
        <v>0</v>
      </c>
      <c r="N23" s="5">
        <v>0</v>
      </c>
      <c r="O23" s="6">
        <v>0</v>
      </c>
      <c r="P23" s="5">
        <v>0</v>
      </c>
      <c r="Q23" s="6">
        <v>0.10000000149011612</v>
      </c>
      <c r="R23" s="5">
        <v>0.55555556383397842</v>
      </c>
      <c r="S23" s="6">
        <v>7.9999998211860657E-2</v>
      </c>
      <c r="T23" s="5">
        <v>0.44444443451033699</v>
      </c>
      <c r="U23" s="4">
        <v>0</v>
      </c>
      <c r="V23" s="4">
        <v>0</v>
      </c>
      <c r="W23" s="4">
        <v>2025</v>
      </c>
    </row>
    <row r="24" spans="1:23" x14ac:dyDescent="0.25">
      <c r="A24" s="4">
        <v>0</v>
      </c>
      <c r="B24" s="4">
        <v>1</v>
      </c>
      <c r="C24" s="4">
        <v>6</v>
      </c>
      <c r="D24" s="4" t="s">
        <v>44</v>
      </c>
      <c r="E24" s="4" t="s">
        <v>29</v>
      </c>
      <c r="F24" s="4">
        <v>0.96</v>
      </c>
      <c r="G24" s="8">
        <v>3</v>
      </c>
      <c r="H24" s="8">
        <v>0.95999997854232788</v>
      </c>
      <c r="I24" s="8">
        <v>0</v>
      </c>
      <c r="J24" s="8">
        <v>0</v>
      </c>
      <c r="K24" s="8">
        <v>0</v>
      </c>
      <c r="L24" s="8">
        <v>0</v>
      </c>
      <c r="M24" s="6">
        <v>0.15999999642372131</v>
      </c>
      <c r="N24" s="5">
        <v>0.16666666294137639</v>
      </c>
      <c r="O24" s="6">
        <v>0.30000001192092896</v>
      </c>
      <c r="P24" s="5">
        <v>0.31250001241763437</v>
      </c>
      <c r="Q24" s="6">
        <v>0.5</v>
      </c>
      <c r="R24" s="5">
        <v>0.52083333333333337</v>
      </c>
      <c r="S24" s="6">
        <v>0</v>
      </c>
      <c r="T24" s="5">
        <v>0</v>
      </c>
      <c r="U24" s="4">
        <v>0</v>
      </c>
      <c r="V24" s="4">
        <v>0</v>
      </c>
      <c r="W24" s="4">
        <v>2025</v>
      </c>
    </row>
    <row r="25" spans="1:23" x14ac:dyDescent="0.25">
      <c r="A25" s="4">
        <v>0</v>
      </c>
      <c r="B25" s="4">
        <v>1</v>
      </c>
      <c r="C25" s="4">
        <v>7</v>
      </c>
      <c r="D25" s="4" t="s">
        <v>45</v>
      </c>
      <c r="E25" s="4" t="s">
        <v>29</v>
      </c>
      <c r="F25" s="4">
        <v>0.26</v>
      </c>
      <c r="G25" s="8">
        <v>6</v>
      </c>
      <c r="H25" s="8">
        <v>0.25999999046325684</v>
      </c>
      <c r="I25" s="8">
        <v>0</v>
      </c>
      <c r="J25" s="8">
        <v>0</v>
      </c>
      <c r="K25" s="8">
        <v>0</v>
      </c>
      <c r="L25" s="8">
        <v>0</v>
      </c>
      <c r="M25" s="6">
        <v>0.25999999046325684</v>
      </c>
      <c r="N25" s="5">
        <v>0.99999996332021857</v>
      </c>
      <c r="O25" s="6">
        <v>0</v>
      </c>
      <c r="P25" s="5">
        <v>0</v>
      </c>
      <c r="Q25" s="6">
        <v>0</v>
      </c>
      <c r="R25" s="5">
        <v>0</v>
      </c>
      <c r="S25" s="6">
        <v>0</v>
      </c>
      <c r="T25" s="5">
        <v>0</v>
      </c>
      <c r="U25" s="4">
        <v>0</v>
      </c>
      <c r="V25" s="4">
        <v>0</v>
      </c>
      <c r="W25" s="4">
        <v>2025</v>
      </c>
    </row>
    <row r="26" spans="1:23" x14ac:dyDescent="0.25">
      <c r="A26" s="4">
        <v>0</v>
      </c>
      <c r="B26" s="4">
        <v>1</v>
      </c>
      <c r="C26" s="4">
        <v>8</v>
      </c>
      <c r="D26" s="4" t="s">
        <v>46</v>
      </c>
      <c r="E26" s="4" t="s">
        <v>29</v>
      </c>
      <c r="F26" s="4">
        <v>0.28000000000000003</v>
      </c>
      <c r="G26" s="8">
        <v>6</v>
      </c>
      <c r="H26" s="8">
        <v>0.2800000011920929</v>
      </c>
      <c r="I26" s="8">
        <v>0</v>
      </c>
      <c r="J26" s="8">
        <v>0</v>
      </c>
      <c r="K26" s="8">
        <v>0</v>
      </c>
      <c r="L26" s="8">
        <v>0</v>
      </c>
      <c r="M26" s="6">
        <v>0.18000000715255737</v>
      </c>
      <c r="N26" s="5">
        <v>0.64285716840199059</v>
      </c>
      <c r="O26" s="6">
        <v>0.10000000149011612</v>
      </c>
      <c r="P26" s="5">
        <v>0.35714286246470039</v>
      </c>
      <c r="Q26" s="6">
        <v>0</v>
      </c>
      <c r="R26" s="5">
        <v>0</v>
      </c>
      <c r="S26" s="6">
        <v>0</v>
      </c>
      <c r="T26" s="5">
        <v>0</v>
      </c>
      <c r="U26" s="4">
        <v>0</v>
      </c>
      <c r="V26" s="4">
        <v>0</v>
      </c>
      <c r="W26" s="4">
        <v>2025</v>
      </c>
    </row>
    <row r="27" spans="1:23" x14ac:dyDescent="0.25">
      <c r="A27" s="4">
        <v>0</v>
      </c>
      <c r="B27" s="4">
        <v>1</v>
      </c>
      <c r="C27" s="4">
        <v>9</v>
      </c>
      <c r="D27" s="4" t="s">
        <v>47</v>
      </c>
      <c r="E27" s="4" t="s">
        <v>29</v>
      </c>
      <c r="F27" s="4">
        <v>0.12</v>
      </c>
      <c r="G27" s="8">
        <v>6</v>
      </c>
      <c r="H27" s="8">
        <v>0.11999999731779099</v>
      </c>
      <c r="I27" s="8">
        <v>0</v>
      </c>
      <c r="J27" s="8">
        <v>0</v>
      </c>
      <c r="K27" s="8">
        <v>0</v>
      </c>
      <c r="L27" s="8">
        <v>0</v>
      </c>
      <c r="M27" s="6">
        <v>0</v>
      </c>
      <c r="N27" s="5">
        <v>0</v>
      </c>
      <c r="O27" s="6">
        <v>0.11999999731779099</v>
      </c>
      <c r="P27" s="5">
        <v>0.99999997764825821</v>
      </c>
      <c r="Q27" s="6">
        <v>0</v>
      </c>
      <c r="R27" s="5">
        <v>0</v>
      </c>
      <c r="S27" s="6">
        <v>0</v>
      </c>
      <c r="T27" s="5">
        <v>0</v>
      </c>
      <c r="U27" s="4">
        <v>0</v>
      </c>
      <c r="V27" s="4">
        <v>0</v>
      </c>
      <c r="W27" s="4">
        <v>2025</v>
      </c>
    </row>
    <row r="28" spans="1:23" x14ac:dyDescent="0.25">
      <c r="A28" s="4">
        <v>0</v>
      </c>
      <c r="B28" s="4">
        <v>2</v>
      </c>
      <c r="C28" s="4">
        <v>0</v>
      </c>
      <c r="D28" s="4" t="s">
        <v>48</v>
      </c>
      <c r="E28" s="4" t="s">
        <v>29</v>
      </c>
      <c r="F28" s="4">
        <v>0.32</v>
      </c>
      <c r="G28" s="8">
        <v>6</v>
      </c>
      <c r="H28" s="8">
        <v>0.31999999284744263</v>
      </c>
      <c r="I28" s="8">
        <v>0</v>
      </c>
      <c r="J28" s="8">
        <v>0</v>
      </c>
      <c r="K28" s="8">
        <v>0</v>
      </c>
      <c r="L28" s="8">
        <v>0</v>
      </c>
      <c r="M28" s="6">
        <v>0.10000000149011612</v>
      </c>
      <c r="N28" s="5">
        <v>0.31250000465661287</v>
      </c>
      <c r="O28" s="6">
        <v>0.2199999988079071</v>
      </c>
      <c r="P28" s="5">
        <v>0.6874999962747097</v>
      </c>
      <c r="Q28" s="6">
        <v>0</v>
      </c>
      <c r="R28" s="5">
        <v>0</v>
      </c>
      <c r="S28" s="6">
        <v>0</v>
      </c>
      <c r="T28" s="5">
        <v>0</v>
      </c>
      <c r="U28" s="4">
        <v>0</v>
      </c>
      <c r="V28" s="4">
        <v>0</v>
      </c>
      <c r="W28" s="4">
        <v>2025</v>
      </c>
    </row>
    <row r="29" spans="1:23" x14ac:dyDescent="0.25">
      <c r="A29" s="4">
        <v>0</v>
      </c>
      <c r="B29" s="4">
        <v>2</v>
      </c>
      <c r="C29" s="4">
        <v>1</v>
      </c>
      <c r="D29" s="4" t="s">
        <v>49</v>
      </c>
      <c r="E29" s="4" t="s">
        <v>29</v>
      </c>
      <c r="F29" s="4">
        <v>0.2</v>
      </c>
      <c r="G29" s="8">
        <v>6</v>
      </c>
      <c r="H29" s="8">
        <v>0.20000000298023224</v>
      </c>
      <c r="I29" s="8">
        <v>0</v>
      </c>
      <c r="J29" s="8">
        <v>0</v>
      </c>
      <c r="K29" s="8">
        <v>0</v>
      </c>
      <c r="L29" s="8">
        <v>0</v>
      </c>
      <c r="M29" s="6">
        <v>0.20000000298023224</v>
      </c>
      <c r="N29" s="5">
        <v>1.0000000149011612</v>
      </c>
      <c r="O29" s="6">
        <v>0</v>
      </c>
      <c r="P29" s="5">
        <v>0</v>
      </c>
      <c r="Q29" s="6">
        <v>0</v>
      </c>
      <c r="R29" s="5">
        <v>0</v>
      </c>
      <c r="S29" s="6">
        <v>0</v>
      </c>
      <c r="T29" s="5">
        <v>0</v>
      </c>
      <c r="U29" s="4">
        <v>0</v>
      </c>
      <c r="V29" s="4">
        <v>0</v>
      </c>
      <c r="W29" s="4">
        <v>2025</v>
      </c>
    </row>
    <row r="30" spans="1:23" x14ac:dyDescent="0.25">
      <c r="A30" s="4">
        <v>0</v>
      </c>
      <c r="B30" s="4">
        <v>2</v>
      </c>
      <c r="C30" s="4">
        <v>2</v>
      </c>
      <c r="D30" s="4" t="s">
        <v>50</v>
      </c>
      <c r="E30" s="4" t="s">
        <v>29</v>
      </c>
      <c r="F30" s="4">
        <v>0.22</v>
      </c>
      <c r="G30" s="8">
        <v>4</v>
      </c>
      <c r="H30" s="8">
        <v>0.2199999988079071</v>
      </c>
      <c r="I30" s="8">
        <v>0</v>
      </c>
      <c r="J30" s="8">
        <v>0</v>
      </c>
      <c r="K30" s="8">
        <v>0</v>
      </c>
      <c r="L30" s="8">
        <v>0</v>
      </c>
      <c r="M30" s="6">
        <v>0</v>
      </c>
      <c r="N30" s="5">
        <v>0</v>
      </c>
      <c r="O30" s="6">
        <v>0.2199999988079071</v>
      </c>
      <c r="P30" s="5">
        <v>0.99999999458139588</v>
      </c>
      <c r="Q30" s="6">
        <v>0</v>
      </c>
      <c r="R30" s="5">
        <v>0</v>
      </c>
      <c r="S30" s="6">
        <v>0</v>
      </c>
      <c r="T30" s="5">
        <v>0</v>
      </c>
      <c r="U30" s="4">
        <v>0</v>
      </c>
      <c r="V30" s="4">
        <v>0</v>
      </c>
      <c r="W30" s="4">
        <v>2025</v>
      </c>
    </row>
    <row r="31" spans="1:23" x14ac:dyDescent="0.25">
      <c r="A31" s="4">
        <v>0</v>
      </c>
      <c r="B31" s="4">
        <v>2</v>
      </c>
      <c r="C31" s="4">
        <v>3</v>
      </c>
      <c r="D31" s="4" t="s">
        <v>51</v>
      </c>
      <c r="E31" s="4" t="s">
        <v>29</v>
      </c>
      <c r="F31" s="4">
        <v>0.35</v>
      </c>
      <c r="G31" s="8">
        <v>3.5</v>
      </c>
      <c r="H31" s="8">
        <v>0.34999999403953552</v>
      </c>
      <c r="I31" s="8">
        <v>0</v>
      </c>
      <c r="J31" s="8">
        <v>0</v>
      </c>
      <c r="K31" s="8">
        <v>0</v>
      </c>
      <c r="L31" s="8">
        <v>0</v>
      </c>
      <c r="M31" s="6">
        <v>0</v>
      </c>
      <c r="N31" s="5">
        <v>0</v>
      </c>
      <c r="O31" s="6">
        <v>0.34999999403953552</v>
      </c>
      <c r="P31" s="5">
        <v>0.99999998297010151</v>
      </c>
      <c r="Q31" s="6">
        <v>0</v>
      </c>
      <c r="R31" s="5">
        <v>0</v>
      </c>
      <c r="S31" s="6">
        <v>0</v>
      </c>
      <c r="T31" s="5">
        <v>0</v>
      </c>
      <c r="U31" s="4">
        <v>0</v>
      </c>
      <c r="V31" s="4">
        <v>0</v>
      </c>
      <c r="W31" s="4">
        <v>2025</v>
      </c>
    </row>
    <row r="32" spans="1:23" x14ac:dyDescent="0.25">
      <c r="A32" s="4">
        <v>0</v>
      </c>
      <c r="B32" s="4">
        <v>2</v>
      </c>
      <c r="C32" s="4">
        <v>4</v>
      </c>
      <c r="D32" s="4" t="s">
        <v>52</v>
      </c>
      <c r="E32" s="4" t="s">
        <v>29</v>
      </c>
      <c r="F32" s="4">
        <v>0.22</v>
      </c>
      <c r="G32" s="8">
        <v>3</v>
      </c>
      <c r="H32" s="8">
        <v>0.2199999988079071</v>
      </c>
      <c r="I32" s="8">
        <v>0</v>
      </c>
      <c r="J32" s="8">
        <v>0</v>
      </c>
      <c r="K32" s="8">
        <v>0</v>
      </c>
      <c r="L32" s="8">
        <v>0</v>
      </c>
      <c r="M32" s="6">
        <v>0.2199999988079071</v>
      </c>
      <c r="N32" s="5">
        <v>0.99999999458139588</v>
      </c>
      <c r="O32" s="6">
        <v>0</v>
      </c>
      <c r="P32" s="5">
        <v>0</v>
      </c>
      <c r="Q32" s="6">
        <v>0</v>
      </c>
      <c r="R32" s="5">
        <v>0</v>
      </c>
      <c r="S32" s="6">
        <v>0</v>
      </c>
      <c r="T32" s="5">
        <v>0</v>
      </c>
      <c r="U32" s="4">
        <v>0</v>
      </c>
      <c r="V32" s="4">
        <v>0</v>
      </c>
      <c r="W32" s="4">
        <v>2025</v>
      </c>
    </row>
    <row r="33" spans="1:23" x14ac:dyDescent="0.25">
      <c r="A33" s="4">
        <v>0</v>
      </c>
      <c r="B33" s="4">
        <v>2</v>
      </c>
      <c r="C33" s="4">
        <v>5</v>
      </c>
      <c r="D33" s="4" t="s">
        <v>53</v>
      </c>
      <c r="E33" s="4" t="s">
        <v>29</v>
      </c>
      <c r="F33" s="4">
        <v>5.32</v>
      </c>
      <c r="G33" s="8">
        <v>4</v>
      </c>
      <c r="H33" s="8">
        <v>5.320000171661377</v>
      </c>
      <c r="I33" s="8">
        <v>0</v>
      </c>
      <c r="J33" s="8">
        <v>0</v>
      </c>
      <c r="K33" s="8">
        <v>0</v>
      </c>
      <c r="L33" s="8">
        <v>0</v>
      </c>
      <c r="M33" s="6">
        <v>1.1000000238418579</v>
      </c>
      <c r="N33" s="5">
        <v>0.20676692177478531</v>
      </c>
      <c r="O33" s="6">
        <v>1.7000000476837158</v>
      </c>
      <c r="P33" s="5">
        <v>0.31954888114355556</v>
      </c>
      <c r="Q33" s="6">
        <v>1.3200000524520874</v>
      </c>
      <c r="R33" s="5">
        <v>0.24812031061129461</v>
      </c>
      <c r="S33" s="6">
        <v>1.2000000476837158</v>
      </c>
      <c r="T33" s="5">
        <v>0.22556391873754056</v>
      </c>
      <c r="U33" s="4">
        <v>0</v>
      </c>
      <c r="V33" s="4">
        <v>0</v>
      </c>
      <c r="W33" s="4">
        <v>2025</v>
      </c>
    </row>
    <row r="34" spans="1:23" x14ac:dyDescent="0.25">
      <c r="A34" s="4">
        <v>0</v>
      </c>
      <c r="B34" s="4">
        <v>2</v>
      </c>
      <c r="C34" s="4">
        <v>6</v>
      </c>
      <c r="D34" s="4" t="s">
        <v>54</v>
      </c>
      <c r="E34" s="4" t="s">
        <v>29</v>
      </c>
      <c r="F34" s="4">
        <v>0.2</v>
      </c>
      <c r="G34" s="8">
        <v>4</v>
      </c>
      <c r="H34" s="8">
        <v>0.20000000298023224</v>
      </c>
      <c r="I34" s="8">
        <v>0</v>
      </c>
      <c r="J34" s="8">
        <v>0</v>
      </c>
      <c r="K34" s="8">
        <v>0</v>
      </c>
      <c r="L34" s="8">
        <v>0</v>
      </c>
      <c r="M34" s="6">
        <v>0</v>
      </c>
      <c r="N34" s="5">
        <v>0</v>
      </c>
      <c r="O34" s="6">
        <v>0.20000000298023224</v>
      </c>
      <c r="P34" s="5">
        <v>1.0000000149011612</v>
      </c>
      <c r="Q34" s="6">
        <v>0</v>
      </c>
      <c r="R34" s="5">
        <v>0</v>
      </c>
      <c r="S34" s="6">
        <v>0</v>
      </c>
      <c r="T34" s="5">
        <v>0</v>
      </c>
      <c r="U34" s="4">
        <v>0</v>
      </c>
      <c r="V34" s="4">
        <v>0</v>
      </c>
      <c r="W34" s="4">
        <v>2025</v>
      </c>
    </row>
    <row r="35" spans="1:23" x14ac:dyDescent="0.25">
      <c r="A35" s="4">
        <v>0</v>
      </c>
      <c r="B35" s="4">
        <v>2</v>
      </c>
      <c r="C35" s="4">
        <v>7</v>
      </c>
      <c r="D35" s="4" t="s">
        <v>55</v>
      </c>
      <c r="E35" s="4" t="s">
        <v>29</v>
      </c>
      <c r="F35" s="4">
        <v>0.66</v>
      </c>
      <c r="G35" s="8">
        <v>3.5</v>
      </c>
      <c r="H35" s="8">
        <v>0.6600000262260437</v>
      </c>
      <c r="I35" s="8">
        <v>0</v>
      </c>
      <c r="J35" s="8">
        <v>0</v>
      </c>
      <c r="K35" s="8">
        <v>0</v>
      </c>
      <c r="L35" s="8">
        <v>0</v>
      </c>
      <c r="M35" s="6">
        <v>0</v>
      </c>
      <c r="N35" s="5">
        <v>0</v>
      </c>
      <c r="O35" s="6">
        <v>0.6600000262260437</v>
      </c>
      <c r="P35" s="5">
        <v>1.0000000397364297</v>
      </c>
      <c r="Q35" s="6">
        <v>0</v>
      </c>
      <c r="R35" s="5">
        <v>0</v>
      </c>
      <c r="S35" s="6">
        <v>0</v>
      </c>
      <c r="T35" s="5">
        <v>0</v>
      </c>
      <c r="U35" s="4">
        <v>0</v>
      </c>
      <c r="V35" s="4">
        <v>0</v>
      </c>
      <c r="W35" s="4">
        <v>2025</v>
      </c>
    </row>
    <row r="36" spans="1:23" x14ac:dyDescent="0.25">
      <c r="A36" s="4">
        <v>0</v>
      </c>
      <c r="B36" s="4">
        <v>2</v>
      </c>
      <c r="C36" s="4">
        <v>8</v>
      </c>
      <c r="D36" s="4" t="s">
        <v>56</v>
      </c>
      <c r="E36" s="4" t="s">
        <v>29</v>
      </c>
      <c r="F36" s="4">
        <v>0.81</v>
      </c>
      <c r="G36" s="8">
        <v>5</v>
      </c>
      <c r="H36" s="8">
        <v>0.81000000238418579</v>
      </c>
      <c r="I36" s="8">
        <v>0</v>
      </c>
      <c r="J36" s="8">
        <v>0</v>
      </c>
      <c r="K36" s="8">
        <v>0</v>
      </c>
      <c r="L36" s="8">
        <v>0</v>
      </c>
      <c r="M36" s="6">
        <v>0</v>
      </c>
      <c r="N36" s="5">
        <v>0</v>
      </c>
      <c r="O36" s="6">
        <v>0.81000000238418579</v>
      </c>
      <c r="P36" s="5">
        <v>1.0000000029434393</v>
      </c>
      <c r="Q36" s="6">
        <v>0</v>
      </c>
      <c r="R36" s="5">
        <v>0</v>
      </c>
      <c r="S36" s="6">
        <v>0</v>
      </c>
      <c r="T36" s="5">
        <v>0</v>
      </c>
      <c r="U36" s="4">
        <v>0</v>
      </c>
      <c r="V36" s="4">
        <v>0</v>
      </c>
      <c r="W36" s="4">
        <v>2025</v>
      </c>
    </row>
    <row r="37" spans="1:23" x14ac:dyDescent="0.25">
      <c r="A37" s="4">
        <v>0</v>
      </c>
      <c r="B37" s="4">
        <v>2</v>
      </c>
      <c r="C37" s="4">
        <v>9</v>
      </c>
      <c r="D37" s="4" t="s">
        <v>57</v>
      </c>
      <c r="E37" s="4" t="s">
        <v>29</v>
      </c>
      <c r="F37" s="4">
        <v>1.07</v>
      </c>
      <c r="G37" s="8">
        <v>3.0299999713897705</v>
      </c>
      <c r="H37" s="8">
        <v>1.0700000524520874</v>
      </c>
      <c r="I37" s="8">
        <v>0</v>
      </c>
      <c r="J37" s="8">
        <v>0</v>
      </c>
      <c r="K37" s="8">
        <v>0</v>
      </c>
      <c r="L37" s="8">
        <v>0</v>
      </c>
      <c r="M37" s="6">
        <v>0</v>
      </c>
      <c r="N37" s="5">
        <v>0</v>
      </c>
      <c r="O37" s="6">
        <v>0.67000001668930054</v>
      </c>
      <c r="P37" s="5">
        <v>0.62616823989654247</v>
      </c>
      <c r="Q37" s="6">
        <v>0.20000000298023224</v>
      </c>
      <c r="R37" s="5">
        <v>0.18691589063573105</v>
      </c>
      <c r="S37" s="6">
        <v>0.20000000298023224</v>
      </c>
      <c r="T37" s="5">
        <v>0.18691589063573105</v>
      </c>
      <c r="U37" s="4">
        <v>0</v>
      </c>
      <c r="V37" s="4">
        <v>0</v>
      </c>
      <c r="W37" s="4">
        <v>2025</v>
      </c>
    </row>
    <row r="38" spans="1:23" x14ac:dyDescent="0.25">
      <c r="A38" s="4">
        <v>0</v>
      </c>
      <c r="B38" s="4">
        <v>3</v>
      </c>
      <c r="C38" s="4">
        <v>0</v>
      </c>
      <c r="D38" s="4" t="s">
        <v>58</v>
      </c>
      <c r="E38" s="4" t="s">
        <v>29</v>
      </c>
      <c r="F38" s="4">
        <v>2.5099999999999998</v>
      </c>
      <c r="G38" s="8">
        <v>3.5</v>
      </c>
      <c r="H38" s="8">
        <v>2.5099999904632568</v>
      </c>
      <c r="I38" s="8">
        <v>0</v>
      </c>
      <c r="J38" s="8">
        <v>0</v>
      </c>
      <c r="K38" s="8">
        <v>0</v>
      </c>
      <c r="L38" s="8">
        <v>0</v>
      </c>
      <c r="M38" s="6">
        <v>0.60000002384185791</v>
      </c>
      <c r="N38" s="5">
        <v>0.23904383419994341</v>
      </c>
      <c r="O38" s="6">
        <v>1.7100000381469727</v>
      </c>
      <c r="P38" s="5">
        <v>0.68127491559640352</v>
      </c>
      <c r="Q38" s="6">
        <v>0.20000000298023224</v>
      </c>
      <c r="R38" s="5">
        <v>7.9681276087741934E-2</v>
      </c>
      <c r="S38" s="6">
        <v>0</v>
      </c>
      <c r="T38" s="5">
        <v>0</v>
      </c>
      <c r="U38" s="4">
        <v>0</v>
      </c>
      <c r="V38" s="4">
        <v>0</v>
      </c>
      <c r="W38" s="4">
        <v>2025</v>
      </c>
    </row>
    <row r="39" spans="1:23" x14ac:dyDescent="0.25">
      <c r="A39" s="4">
        <v>0</v>
      </c>
      <c r="B39" s="4">
        <v>3</v>
      </c>
      <c r="C39" s="4">
        <v>1</v>
      </c>
      <c r="D39" s="4" t="s">
        <v>59</v>
      </c>
      <c r="E39" s="4" t="s">
        <v>29</v>
      </c>
      <c r="F39" s="4">
        <v>5.41</v>
      </c>
      <c r="G39" s="8">
        <v>3.5</v>
      </c>
      <c r="H39" s="8">
        <v>5.4099998474121094</v>
      </c>
      <c r="I39" s="8">
        <v>0</v>
      </c>
      <c r="J39" s="8">
        <v>0</v>
      </c>
      <c r="K39" s="8">
        <v>0</v>
      </c>
      <c r="L39" s="8">
        <v>0</v>
      </c>
      <c r="M39" s="6">
        <v>4.5</v>
      </c>
      <c r="N39" s="5">
        <v>0.83179297597042512</v>
      </c>
      <c r="O39" s="6">
        <v>0.40999999642372131</v>
      </c>
      <c r="P39" s="5">
        <v>7.5785581594033508E-2</v>
      </c>
      <c r="Q39" s="6">
        <v>0.5</v>
      </c>
      <c r="R39" s="5">
        <v>9.2421441774491686E-2</v>
      </c>
      <c r="S39" s="6">
        <v>0</v>
      </c>
      <c r="T39" s="5">
        <v>0</v>
      </c>
      <c r="U39" s="4">
        <v>0</v>
      </c>
      <c r="V39" s="4">
        <v>0</v>
      </c>
      <c r="W39" s="4">
        <v>2025</v>
      </c>
    </row>
    <row r="40" spans="1:23" x14ac:dyDescent="0.25">
      <c r="A40" s="4">
        <v>0</v>
      </c>
      <c r="B40" s="4">
        <v>3</v>
      </c>
      <c r="C40" s="4">
        <v>2</v>
      </c>
      <c r="D40" s="4" t="s">
        <v>60</v>
      </c>
      <c r="E40" s="4" t="s">
        <v>29</v>
      </c>
      <c r="F40" s="4">
        <v>3.17</v>
      </c>
      <c r="G40" s="8">
        <v>3.5</v>
      </c>
      <c r="H40" s="8">
        <v>3.1700000762939453</v>
      </c>
      <c r="I40" s="8">
        <v>0</v>
      </c>
      <c r="J40" s="8">
        <v>0</v>
      </c>
      <c r="K40" s="8">
        <v>0</v>
      </c>
      <c r="L40" s="8">
        <v>0</v>
      </c>
      <c r="M40" s="6">
        <v>0</v>
      </c>
      <c r="N40" s="5">
        <v>0</v>
      </c>
      <c r="O40" s="6">
        <v>2.4700000286102295</v>
      </c>
      <c r="P40" s="5">
        <v>0.77917981975086104</v>
      </c>
      <c r="Q40" s="6">
        <v>0.69999998807907104</v>
      </c>
      <c r="R40" s="5">
        <v>0.22082018551390253</v>
      </c>
      <c r="S40" s="6">
        <v>0</v>
      </c>
      <c r="T40" s="5">
        <v>0</v>
      </c>
      <c r="U40" s="4">
        <v>0</v>
      </c>
      <c r="V40" s="4">
        <v>0</v>
      </c>
      <c r="W40" s="4">
        <v>2025</v>
      </c>
    </row>
    <row r="41" spans="1:23" x14ac:dyDescent="0.25">
      <c r="A41" s="4">
        <v>0</v>
      </c>
      <c r="B41" s="4">
        <v>3</v>
      </c>
      <c r="C41" s="4">
        <v>3</v>
      </c>
      <c r="D41" s="4" t="s">
        <v>61</v>
      </c>
      <c r="E41" s="4" t="s">
        <v>29</v>
      </c>
      <c r="F41" s="4">
        <v>0.41</v>
      </c>
      <c r="G41" s="8">
        <v>4.5</v>
      </c>
      <c r="H41" s="8">
        <v>0.40999999642372131</v>
      </c>
      <c r="I41" s="8">
        <v>0</v>
      </c>
      <c r="J41" s="8">
        <v>0</v>
      </c>
      <c r="K41" s="8">
        <v>0</v>
      </c>
      <c r="L41" s="8">
        <v>0</v>
      </c>
      <c r="M41" s="6">
        <v>0</v>
      </c>
      <c r="N41" s="5">
        <v>0</v>
      </c>
      <c r="O41" s="6">
        <v>0.40999999642372131</v>
      </c>
      <c r="P41" s="5">
        <v>0.99999999127736916</v>
      </c>
      <c r="Q41" s="6">
        <v>0</v>
      </c>
      <c r="R41" s="5">
        <v>0</v>
      </c>
      <c r="S41" s="6">
        <v>0</v>
      </c>
      <c r="T41" s="5">
        <v>0</v>
      </c>
      <c r="U41" s="4">
        <v>0</v>
      </c>
      <c r="V41" s="4">
        <v>0</v>
      </c>
      <c r="W41" s="4">
        <v>2025</v>
      </c>
    </row>
    <row r="42" spans="1:23" x14ac:dyDescent="0.25">
      <c r="A42" s="4">
        <v>0</v>
      </c>
      <c r="B42" s="4">
        <v>3</v>
      </c>
      <c r="C42" s="4">
        <v>4</v>
      </c>
      <c r="D42" s="4" t="s">
        <v>62</v>
      </c>
      <c r="E42" s="4" t="s">
        <v>29</v>
      </c>
      <c r="F42" s="4">
        <v>2.44</v>
      </c>
      <c r="G42" s="8">
        <v>8</v>
      </c>
      <c r="H42" s="8">
        <v>2.440000057220459</v>
      </c>
      <c r="I42" s="8">
        <v>0</v>
      </c>
      <c r="J42" s="8">
        <v>0</v>
      </c>
      <c r="K42" s="8">
        <v>0</v>
      </c>
      <c r="L42" s="8">
        <v>0</v>
      </c>
      <c r="M42" s="6">
        <v>0</v>
      </c>
      <c r="N42" s="5">
        <v>0</v>
      </c>
      <c r="O42" s="6">
        <v>2.440000057220459</v>
      </c>
      <c r="P42" s="5">
        <v>1.0000000234510078</v>
      </c>
      <c r="Q42" s="6">
        <v>0</v>
      </c>
      <c r="R42" s="5">
        <v>0</v>
      </c>
      <c r="S42" s="6">
        <v>0</v>
      </c>
      <c r="T42" s="5">
        <v>0</v>
      </c>
      <c r="U42" s="4">
        <v>0</v>
      </c>
      <c r="V42" s="4">
        <v>0</v>
      </c>
      <c r="W42" s="4">
        <v>2025</v>
      </c>
    </row>
    <row r="43" spans="1:23" x14ac:dyDescent="0.25">
      <c r="A43" s="4">
        <v>0</v>
      </c>
      <c r="B43" s="4">
        <v>3</v>
      </c>
      <c r="C43" s="4">
        <v>5</v>
      </c>
      <c r="D43" s="4" t="s">
        <v>63</v>
      </c>
      <c r="E43" s="4" t="s">
        <v>29</v>
      </c>
      <c r="F43" s="4">
        <v>0.24</v>
      </c>
      <c r="G43" s="8">
        <v>3.5</v>
      </c>
      <c r="H43" s="8">
        <v>0.23999999463558197</v>
      </c>
      <c r="I43" s="8">
        <v>0</v>
      </c>
      <c r="J43" s="8">
        <v>0</v>
      </c>
      <c r="K43" s="8">
        <v>0</v>
      </c>
      <c r="L43" s="8">
        <v>0</v>
      </c>
      <c r="M43" s="6">
        <v>0.23999999463558197</v>
      </c>
      <c r="N43" s="5">
        <v>0.99999997764825821</v>
      </c>
      <c r="O43" s="6">
        <v>0</v>
      </c>
      <c r="P43" s="5">
        <v>0</v>
      </c>
      <c r="Q43" s="6">
        <v>0</v>
      </c>
      <c r="R43" s="5">
        <v>0</v>
      </c>
      <c r="S43" s="6">
        <v>0</v>
      </c>
      <c r="T43" s="5">
        <v>0</v>
      </c>
      <c r="U43" s="4">
        <v>0</v>
      </c>
      <c r="V43" s="4">
        <v>0</v>
      </c>
      <c r="W43" s="4">
        <v>2025</v>
      </c>
    </row>
    <row r="44" spans="1:23" x14ac:dyDescent="0.25">
      <c r="A44" s="4">
        <v>0</v>
      </c>
      <c r="B44" s="4">
        <v>3</v>
      </c>
      <c r="C44" s="4">
        <v>6</v>
      </c>
      <c r="D44" s="4" t="s">
        <v>64</v>
      </c>
      <c r="E44" s="4" t="s">
        <v>29</v>
      </c>
      <c r="F44" s="4">
        <v>0.84</v>
      </c>
      <c r="G44" s="8">
        <v>3</v>
      </c>
      <c r="H44" s="8">
        <v>0.8399999737739563</v>
      </c>
      <c r="I44" s="8">
        <v>0</v>
      </c>
      <c r="J44" s="8">
        <v>0</v>
      </c>
      <c r="K44" s="8">
        <v>0</v>
      </c>
      <c r="L44" s="8">
        <v>0</v>
      </c>
      <c r="M44" s="6">
        <v>0</v>
      </c>
      <c r="N44" s="5">
        <v>0</v>
      </c>
      <c r="O44" s="6">
        <v>0.43999999761581421</v>
      </c>
      <c r="P44" s="5">
        <v>0.52380952097120737</v>
      </c>
      <c r="Q44" s="6">
        <v>0.30000001192092896</v>
      </c>
      <c r="R44" s="5">
        <v>0.35714287133443923</v>
      </c>
      <c r="S44" s="6">
        <v>0.10000000149011612</v>
      </c>
      <c r="T44" s="5">
        <v>0.11904762082156681</v>
      </c>
      <c r="U44" s="4">
        <v>0</v>
      </c>
      <c r="V44" s="4">
        <v>0</v>
      </c>
      <c r="W44" s="4">
        <v>2025</v>
      </c>
    </row>
    <row r="45" spans="1:23" x14ac:dyDescent="0.25">
      <c r="A45" s="4">
        <v>0</v>
      </c>
      <c r="B45" s="4">
        <v>3</v>
      </c>
      <c r="C45" s="4">
        <v>7</v>
      </c>
      <c r="D45" s="4" t="s">
        <v>65</v>
      </c>
      <c r="E45" s="4" t="s">
        <v>29</v>
      </c>
      <c r="F45" s="4">
        <v>0.28000000000000003</v>
      </c>
      <c r="G45" s="8">
        <v>3.5</v>
      </c>
      <c r="H45" s="8">
        <v>0.2800000011920929</v>
      </c>
      <c r="I45" s="8">
        <v>0</v>
      </c>
      <c r="J45" s="8">
        <v>0</v>
      </c>
      <c r="K45" s="8">
        <v>0</v>
      </c>
      <c r="L45" s="8">
        <v>0</v>
      </c>
      <c r="M45" s="6">
        <v>0.2800000011920929</v>
      </c>
      <c r="N45" s="5">
        <v>1.0000000042574746</v>
      </c>
      <c r="O45" s="6">
        <v>0</v>
      </c>
      <c r="P45" s="5">
        <v>0</v>
      </c>
      <c r="Q45" s="6">
        <v>0</v>
      </c>
      <c r="R45" s="5">
        <v>0</v>
      </c>
      <c r="S45" s="6">
        <v>0</v>
      </c>
      <c r="T45" s="5">
        <v>0</v>
      </c>
      <c r="U45" s="4">
        <v>0</v>
      </c>
      <c r="V45" s="4">
        <v>0</v>
      </c>
      <c r="W45" s="4">
        <v>2025</v>
      </c>
    </row>
    <row r="46" spans="1:23" x14ac:dyDescent="0.25">
      <c r="A46" s="4">
        <v>0</v>
      </c>
      <c r="B46" s="4">
        <v>3</v>
      </c>
      <c r="C46" s="4">
        <v>8</v>
      </c>
      <c r="D46" s="4" t="s">
        <v>66</v>
      </c>
      <c r="E46" s="4" t="s">
        <v>29</v>
      </c>
      <c r="F46" s="4">
        <v>0.19</v>
      </c>
      <c r="G46" s="8">
        <v>3.5</v>
      </c>
      <c r="H46" s="8">
        <v>0.18999999761581421</v>
      </c>
      <c r="I46" s="8">
        <v>0</v>
      </c>
      <c r="J46" s="8">
        <v>0</v>
      </c>
      <c r="K46" s="8">
        <v>0</v>
      </c>
      <c r="L46" s="8">
        <v>0</v>
      </c>
      <c r="M46" s="6">
        <v>0</v>
      </c>
      <c r="N46" s="5">
        <v>0</v>
      </c>
      <c r="O46" s="6">
        <v>0</v>
      </c>
      <c r="P46" s="5">
        <v>0</v>
      </c>
      <c r="Q46" s="6">
        <v>0.18999999761581421</v>
      </c>
      <c r="R46" s="5">
        <v>0.99999998745165375</v>
      </c>
      <c r="S46" s="6">
        <v>0</v>
      </c>
      <c r="T46" s="5">
        <v>0</v>
      </c>
      <c r="U46" s="4">
        <v>0</v>
      </c>
      <c r="V46" s="4">
        <v>0</v>
      </c>
      <c r="W46" s="4">
        <v>2025</v>
      </c>
    </row>
    <row r="47" spans="1:23" x14ac:dyDescent="0.25">
      <c r="A47" s="4">
        <v>0</v>
      </c>
      <c r="B47" s="4">
        <v>3</v>
      </c>
      <c r="C47" s="4">
        <v>9</v>
      </c>
      <c r="D47" s="4" t="s">
        <v>67</v>
      </c>
      <c r="E47" s="4" t="s">
        <v>29</v>
      </c>
      <c r="F47" s="4">
        <v>0.24</v>
      </c>
      <c r="G47" s="8">
        <v>3</v>
      </c>
      <c r="H47" s="8">
        <v>0.23999999463558197</v>
      </c>
      <c r="I47" s="8">
        <v>0</v>
      </c>
      <c r="J47" s="8">
        <v>0</v>
      </c>
      <c r="K47" s="8">
        <v>0</v>
      </c>
      <c r="L47" s="8">
        <v>0</v>
      </c>
      <c r="M47" s="6">
        <v>0.23999999463558197</v>
      </c>
      <c r="N47" s="5">
        <v>0.99999997764825821</v>
      </c>
      <c r="O47" s="6">
        <v>0</v>
      </c>
      <c r="P47" s="5">
        <v>0</v>
      </c>
      <c r="Q47" s="6">
        <v>0</v>
      </c>
      <c r="R47" s="5">
        <v>0</v>
      </c>
      <c r="S47" s="6">
        <v>0</v>
      </c>
      <c r="T47" s="5">
        <v>0</v>
      </c>
      <c r="U47" s="4">
        <v>0</v>
      </c>
      <c r="V47" s="4">
        <v>0</v>
      </c>
      <c r="W47" s="4">
        <v>2025</v>
      </c>
    </row>
    <row r="48" spans="1:23" x14ac:dyDescent="0.25">
      <c r="A48" s="4">
        <v>0</v>
      </c>
      <c r="B48" s="4">
        <v>4</v>
      </c>
      <c r="C48" s="4">
        <v>0</v>
      </c>
      <c r="D48" s="4" t="s">
        <v>68</v>
      </c>
      <c r="E48" s="4" t="s">
        <v>69</v>
      </c>
      <c r="F48" s="4">
        <v>4.07</v>
      </c>
      <c r="G48" s="8">
        <v>3.5</v>
      </c>
      <c r="H48" s="8">
        <v>4.070000171661377</v>
      </c>
      <c r="I48" s="8">
        <v>0</v>
      </c>
      <c r="J48" s="8">
        <v>0</v>
      </c>
      <c r="K48" s="8">
        <v>0</v>
      </c>
      <c r="L48" s="8">
        <v>0</v>
      </c>
      <c r="M48" s="6">
        <v>0.5</v>
      </c>
      <c r="N48" s="5">
        <v>0.12285012285012284</v>
      </c>
      <c r="O48" s="6">
        <v>1.7999999523162842</v>
      </c>
      <c r="P48" s="5">
        <v>0.44226043054454156</v>
      </c>
      <c r="Q48" s="6">
        <v>1.2699999809265137</v>
      </c>
      <c r="R48" s="5">
        <v>0.31203930735295177</v>
      </c>
      <c r="S48" s="6">
        <v>0.5</v>
      </c>
      <c r="T48" s="5">
        <v>0.12285012285012284</v>
      </c>
      <c r="U48" s="4">
        <v>0</v>
      </c>
      <c r="V48" s="4">
        <v>0</v>
      </c>
      <c r="W48" s="4">
        <v>2025</v>
      </c>
    </row>
    <row r="49" spans="1:23" x14ac:dyDescent="0.25">
      <c r="A49" s="4">
        <v>0</v>
      </c>
      <c r="B49" s="4">
        <v>4</v>
      </c>
      <c r="C49" s="4">
        <v>1</v>
      </c>
      <c r="D49" s="4" t="s">
        <v>70</v>
      </c>
      <c r="E49" s="4" t="s">
        <v>29</v>
      </c>
      <c r="F49" s="4">
        <v>1.57</v>
      </c>
      <c r="G49" s="8">
        <v>3</v>
      </c>
      <c r="H49" s="8">
        <v>1.5700000524520874</v>
      </c>
      <c r="I49" s="8">
        <v>0</v>
      </c>
      <c r="J49" s="8">
        <v>0</v>
      </c>
      <c r="K49" s="8">
        <v>0</v>
      </c>
      <c r="L49" s="8">
        <v>0</v>
      </c>
      <c r="M49" s="6">
        <v>0.40000000596046448</v>
      </c>
      <c r="N49" s="5">
        <v>0.25477707386016846</v>
      </c>
      <c r="O49" s="6">
        <v>1.0700000524520874</v>
      </c>
      <c r="P49" s="5">
        <v>0.68152869582935505</v>
      </c>
      <c r="Q49" s="6">
        <v>0.10000000149011612</v>
      </c>
      <c r="R49" s="5">
        <v>6.3694268465042114E-2</v>
      </c>
      <c r="S49" s="6">
        <v>0</v>
      </c>
      <c r="T49" s="5">
        <v>0</v>
      </c>
      <c r="U49" s="4">
        <v>0</v>
      </c>
      <c r="V49" s="4">
        <v>0</v>
      </c>
      <c r="W49" s="4">
        <v>2025</v>
      </c>
    </row>
    <row r="50" spans="1:23" x14ac:dyDescent="0.25">
      <c r="A50" s="4">
        <v>0</v>
      </c>
      <c r="B50" s="4">
        <v>4</v>
      </c>
      <c r="C50" s="4">
        <v>2</v>
      </c>
      <c r="D50" s="4" t="s">
        <v>71</v>
      </c>
      <c r="E50" s="4" t="s">
        <v>29</v>
      </c>
      <c r="F50" s="4">
        <v>2.36</v>
      </c>
      <c r="G50" s="8">
        <v>3.5</v>
      </c>
      <c r="H50" s="8">
        <v>2.2999999523162842</v>
      </c>
      <c r="I50" s="8">
        <v>0</v>
      </c>
      <c r="J50" s="8">
        <v>5.9999998658895493E-2</v>
      </c>
      <c r="K50" s="8">
        <v>0</v>
      </c>
      <c r="L50" s="8">
        <v>0</v>
      </c>
      <c r="M50" s="6">
        <v>1.5</v>
      </c>
      <c r="N50" s="5">
        <v>0.63559322033898313</v>
      </c>
      <c r="O50" s="6">
        <v>0.86000001430511475</v>
      </c>
      <c r="P50" s="5">
        <v>0.36440678572250629</v>
      </c>
      <c r="Q50" s="6">
        <v>0</v>
      </c>
      <c r="R50" s="5">
        <v>0</v>
      </c>
      <c r="S50" s="6">
        <v>0</v>
      </c>
      <c r="T50" s="5">
        <v>0</v>
      </c>
      <c r="U50" s="4">
        <v>0</v>
      </c>
      <c r="V50" s="4">
        <v>0</v>
      </c>
      <c r="W50" s="4">
        <v>2025</v>
      </c>
    </row>
    <row r="51" spans="1:23" x14ac:dyDescent="0.25">
      <c r="A51" s="4">
        <v>0</v>
      </c>
      <c r="B51" s="4">
        <v>4</v>
      </c>
      <c r="C51" s="4">
        <v>3</v>
      </c>
      <c r="D51" s="4" t="s">
        <v>72</v>
      </c>
      <c r="E51" s="4" t="s">
        <v>29</v>
      </c>
      <c r="F51" s="4">
        <v>8.1</v>
      </c>
      <c r="G51" s="8">
        <v>3</v>
      </c>
      <c r="H51" s="8">
        <v>2.2000000476837158</v>
      </c>
      <c r="I51" s="8">
        <v>0</v>
      </c>
      <c r="J51" s="8">
        <v>0</v>
      </c>
      <c r="K51" s="8">
        <v>0</v>
      </c>
      <c r="L51" s="8">
        <v>5.9000000953674316</v>
      </c>
      <c r="M51" s="6">
        <v>0</v>
      </c>
      <c r="N51" s="5">
        <v>0</v>
      </c>
      <c r="O51" s="6">
        <v>2.2000000476837158</v>
      </c>
      <c r="P51" s="5">
        <v>0.27160494415848346</v>
      </c>
      <c r="Q51" s="6">
        <v>0</v>
      </c>
      <c r="R51" s="5">
        <v>0</v>
      </c>
      <c r="S51" s="6">
        <v>5.9000000953674316</v>
      </c>
      <c r="T51" s="5">
        <v>0.72839507350215205</v>
      </c>
      <c r="U51" s="4">
        <v>0</v>
      </c>
      <c r="V51" s="4">
        <v>0</v>
      </c>
      <c r="W51" s="4">
        <v>2025</v>
      </c>
    </row>
    <row r="52" spans="1:23" x14ac:dyDescent="0.25">
      <c r="A52" s="4">
        <v>0</v>
      </c>
      <c r="B52" s="4">
        <v>4</v>
      </c>
      <c r="C52" s="4">
        <v>4</v>
      </c>
      <c r="D52" s="4" t="s">
        <v>73</v>
      </c>
      <c r="E52" s="4" t="s">
        <v>29</v>
      </c>
      <c r="F52" s="4">
        <v>8.19</v>
      </c>
      <c r="G52" s="8">
        <v>3</v>
      </c>
      <c r="H52" s="8">
        <v>1.6000000238418579</v>
      </c>
      <c r="I52" s="8">
        <v>0</v>
      </c>
      <c r="J52" s="8">
        <v>0</v>
      </c>
      <c r="K52" s="8">
        <v>1.3999999761581421</v>
      </c>
      <c r="L52" s="8">
        <v>5.190000057220459</v>
      </c>
      <c r="M52" s="6">
        <v>0</v>
      </c>
      <c r="N52" s="5">
        <v>0</v>
      </c>
      <c r="O52" s="6">
        <v>1.6000000238418579</v>
      </c>
      <c r="P52" s="5">
        <v>0.19536019827128914</v>
      </c>
      <c r="Q52" s="6">
        <v>0</v>
      </c>
      <c r="R52" s="5">
        <v>0</v>
      </c>
      <c r="S52" s="6">
        <v>6.5900001525878906</v>
      </c>
      <c r="T52" s="5">
        <v>0.80463982327080474</v>
      </c>
      <c r="U52" s="4">
        <v>0</v>
      </c>
      <c r="V52" s="4">
        <v>0</v>
      </c>
      <c r="W52" s="4">
        <v>2025</v>
      </c>
    </row>
    <row r="53" spans="1:23" x14ac:dyDescent="0.25">
      <c r="A53" s="4">
        <v>0</v>
      </c>
      <c r="B53" s="4">
        <v>4</v>
      </c>
      <c r="C53" s="4">
        <v>5</v>
      </c>
      <c r="D53" s="4" t="s">
        <v>74</v>
      </c>
      <c r="E53" s="4" t="s">
        <v>29</v>
      </c>
      <c r="F53" s="4">
        <v>2.95</v>
      </c>
      <c r="G53" s="8">
        <v>3</v>
      </c>
      <c r="H53" s="8">
        <v>1.5</v>
      </c>
      <c r="I53" s="8">
        <v>0</v>
      </c>
      <c r="J53" s="8">
        <v>0</v>
      </c>
      <c r="K53" s="8">
        <v>0.69999998807907104</v>
      </c>
      <c r="L53" s="8">
        <v>0.75</v>
      </c>
      <c r="M53" s="6">
        <v>0</v>
      </c>
      <c r="N53" s="5">
        <v>0</v>
      </c>
      <c r="O53" s="6">
        <v>1.5</v>
      </c>
      <c r="P53" s="5">
        <v>0.50847457627118642</v>
      </c>
      <c r="Q53" s="6">
        <v>0</v>
      </c>
      <c r="R53" s="5">
        <v>0</v>
      </c>
      <c r="S53" s="6">
        <v>1.4500000476837158</v>
      </c>
      <c r="T53" s="5">
        <v>0.49152543989278502</v>
      </c>
      <c r="U53" s="4">
        <v>0</v>
      </c>
      <c r="V53" s="4">
        <v>0</v>
      </c>
      <c r="W53" s="4">
        <v>2025</v>
      </c>
    </row>
    <row r="54" spans="1:23" x14ac:dyDescent="0.25">
      <c r="A54" s="4">
        <v>0</v>
      </c>
      <c r="B54" s="4">
        <v>4</v>
      </c>
      <c r="C54" s="4">
        <v>6</v>
      </c>
      <c r="D54" s="4" t="s">
        <v>75</v>
      </c>
      <c r="E54" s="4" t="s">
        <v>29</v>
      </c>
      <c r="F54" s="4">
        <v>1.24</v>
      </c>
      <c r="G54" s="8">
        <v>3</v>
      </c>
      <c r="H54" s="8">
        <v>1.2400000095367432</v>
      </c>
      <c r="I54" s="8">
        <v>0</v>
      </c>
      <c r="J54" s="8">
        <v>0</v>
      </c>
      <c r="K54" s="8">
        <v>0</v>
      </c>
      <c r="L54" s="8">
        <v>0</v>
      </c>
      <c r="M54" s="6">
        <v>0</v>
      </c>
      <c r="N54" s="5">
        <v>0</v>
      </c>
      <c r="O54" s="6">
        <v>0.40000000596046448</v>
      </c>
      <c r="P54" s="5">
        <v>0.32258064996811653</v>
      </c>
      <c r="Q54" s="6">
        <v>0.8399999737739563</v>
      </c>
      <c r="R54" s="5">
        <v>0.67741933368867446</v>
      </c>
      <c r="S54" s="6">
        <v>0</v>
      </c>
      <c r="T54" s="5">
        <v>0</v>
      </c>
      <c r="U54" s="4">
        <v>0</v>
      </c>
      <c r="V54" s="4">
        <v>0</v>
      </c>
      <c r="W54" s="4">
        <v>2025</v>
      </c>
    </row>
    <row r="55" spans="1:23" x14ac:dyDescent="0.25">
      <c r="A55" s="4">
        <v>0</v>
      </c>
      <c r="B55" s="4">
        <v>4</v>
      </c>
      <c r="C55" s="4">
        <v>7</v>
      </c>
      <c r="D55" s="4" t="s">
        <v>76</v>
      </c>
      <c r="E55" s="4" t="s">
        <v>69</v>
      </c>
      <c r="F55" s="4">
        <v>1.59</v>
      </c>
      <c r="G55" s="8">
        <v>3</v>
      </c>
      <c r="H55" s="8">
        <v>1.5900000333786011</v>
      </c>
      <c r="I55" s="8">
        <v>0</v>
      </c>
      <c r="J55" s="8">
        <v>0</v>
      </c>
      <c r="K55" s="8">
        <v>0</v>
      </c>
      <c r="L55" s="8">
        <v>0</v>
      </c>
      <c r="M55" s="6">
        <v>0</v>
      </c>
      <c r="N55" s="5">
        <v>0</v>
      </c>
      <c r="O55" s="6">
        <v>1.5900000333786011</v>
      </c>
      <c r="P55" s="5">
        <v>1.0000000209928308</v>
      </c>
      <c r="Q55" s="6">
        <v>0</v>
      </c>
      <c r="R55" s="5">
        <v>0</v>
      </c>
      <c r="S55" s="6">
        <v>0</v>
      </c>
      <c r="T55" s="5">
        <v>0</v>
      </c>
      <c r="U55" s="4">
        <v>0</v>
      </c>
      <c r="V55" s="4">
        <v>0</v>
      </c>
      <c r="W55" s="4">
        <v>2025</v>
      </c>
    </row>
    <row r="56" spans="1:23" x14ac:dyDescent="0.25">
      <c r="A56" s="4">
        <v>0</v>
      </c>
      <c r="B56" s="4">
        <v>4</v>
      </c>
      <c r="C56" s="4">
        <v>8</v>
      </c>
      <c r="D56" s="4" t="s">
        <v>77</v>
      </c>
      <c r="E56" s="4" t="s">
        <v>78</v>
      </c>
      <c r="F56" s="4">
        <v>5.85</v>
      </c>
      <c r="G56" s="8">
        <v>3</v>
      </c>
      <c r="H56" s="8">
        <v>5.0500001907348633</v>
      </c>
      <c r="I56" s="8">
        <v>0</v>
      </c>
      <c r="J56" s="8">
        <v>0</v>
      </c>
      <c r="K56" s="8">
        <v>0.80000001192092896</v>
      </c>
      <c r="L56" s="8">
        <v>0</v>
      </c>
      <c r="M56" s="6">
        <v>0</v>
      </c>
      <c r="N56" s="5">
        <v>0</v>
      </c>
      <c r="O56" s="6">
        <v>1.3999999761581421</v>
      </c>
      <c r="P56" s="5">
        <v>0.23931623524070805</v>
      </c>
      <c r="Q56" s="6">
        <v>2.2999999523162842</v>
      </c>
      <c r="R56" s="5">
        <v>0.39316238501133066</v>
      </c>
      <c r="S56" s="6">
        <v>2.1500000357627869</v>
      </c>
      <c r="T56" s="5">
        <v>0.36752137363466442</v>
      </c>
      <c r="U56" s="4">
        <v>0</v>
      </c>
      <c r="V56" s="4">
        <v>0</v>
      </c>
      <c r="W56" s="4">
        <v>2025</v>
      </c>
    </row>
    <row r="57" spans="1:23" x14ac:dyDescent="0.25">
      <c r="A57" s="4">
        <v>0</v>
      </c>
      <c r="B57" s="4">
        <v>4</v>
      </c>
      <c r="C57" s="4">
        <v>9</v>
      </c>
      <c r="D57" s="4" t="s">
        <v>79</v>
      </c>
      <c r="E57" s="4" t="s">
        <v>69</v>
      </c>
      <c r="F57" s="4">
        <v>1.25</v>
      </c>
      <c r="G57" s="8">
        <v>3.5</v>
      </c>
      <c r="H57" s="8">
        <v>1.25</v>
      </c>
      <c r="I57" s="8">
        <v>0</v>
      </c>
      <c r="J57" s="8">
        <v>0</v>
      </c>
      <c r="K57" s="8">
        <v>0</v>
      </c>
      <c r="L57" s="8">
        <v>0</v>
      </c>
      <c r="M57" s="6">
        <v>0.34999999403953552</v>
      </c>
      <c r="N57" s="5">
        <v>0.27999999523162844</v>
      </c>
      <c r="O57" s="6">
        <v>0.89999997615814209</v>
      </c>
      <c r="P57" s="5">
        <v>0.71999998092651363</v>
      </c>
      <c r="Q57" s="6">
        <v>0</v>
      </c>
      <c r="R57" s="5">
        <v>0</v>
      </c>
      <c r="S57" s="6">
        <v>0</v>
      </c>
      <c r="T57" s="5">
        <v>0</v>
      </c>
      <c r="U57" s="4">
        <v>0</v>
      </c>
      <c r="V57" s="4">
        <v>0</v>
      </c>
      <c r="W57" s="4">
        <v>2025</v>
      </c>
    </row>
    <row r="58" spans="1:23" x14ac:dyDescent="0.25">
      <c r="A58" s="4">
        <v>0</v>
      </c>
      <c r="B58" s="4">
        <v>5</v>
      </c>
      <c r="C58" s="4">
        <v>0</v>
      </c>
      <c r="D58" s="4" t="s">
        <v>80</v>
      </c>
      <c r="E58" s="4" t="s">
        <v>29</v>
      </c>
      <c r="F58" s="4">
        <v>2.1</v>
      </c>
      <c r="G58" s="8">
        <v>3</v>
      </c>
      <c r="H58" s="8">
        <v>2.0999999046325684</v>
      </c>
      <c r="I58" s="8">
        <v>0</v>
      </c>
      <c r="J58" s="8">
        <v>0</v>
      </c>
      <c r="K58" s="8">
        <v>0</v>
      </c>
      <c r="L58" s="8">
        <v>0</v>
      </c>
      <c r="M58" s="6">
        <v>0.89999997615814209</v>
      </c>
      <c r="N58" s="5">
        <v>0.42857141721816289</v>
      </c>
      <c r="O58" s="6">
        <v>1.2000000476837158</v>
      </c>
      <c r="P58" s="5">
        <v>0.57142859413510272</v>
      </c>
      <c r="Q58" s="6">
        <v>0</v>
      </c>
      <c r="R58" s="5">
        <v>0</v>
      </c>
      <c r="S58" s="6">
        <v>0</v>
      </c>
      <c r="T58" s="5">
        <v>0</v>
      </c>
      <c r="U58" s="4">
        <v>0</v>
      </c>
      <c r="V58" s="4">
        <v>0</v>
      </c>
      <c r="W58" s="4">
        <v>2025</v>
      </c>
    </row>
    <row r="59" spans="1:23" x14ac:dyDescent="0.25">
      <c r="A59" s="4">
        <v>0</v>
      </c>
      <c r="B59" s="4">
        <v>5</v>
      </c>
      <c r="C59" s="4">
        <v>1</v>
      </c>
      <c r="D59" s="4" t="s">
        <v>81</v>
      </c>
      <c r="E59" s="4" t="s">
        <v>29</v>
      </c>
      <c r="F59" s="4">
        <v>0.86</v>
      </c>
      <c r="G59" s="8">
        <v>3</v>
      </c>
      <c r="H59" s="8">
        <v>0.86000001430511475</v>
      </c>
      <c r="I59" s="8">
        <v>0</v>
      </c>
      <c r="J59" s="8">
        <v>0</v>
      </c>
      <c r="K59" s="8">
        <v>0</v>
      </c>
      <c r="L59" s="8">
        <v>0</v>
      </c>
      <c r="M59" s="6">
        <v>0.86000001430511475</v>
      </c>
      <c r="N59" s="5">
        <v>1.0000000166338543</v>
      </c>
      <c r="O59" s="6">
        <v>0</v>
      </c>
      <c r="P59" s="5">
        <v>0</v>
      </c>
      <c r="Q59" s="6">
        <v>0</v>
      </c>
      <c r="R59" s="5">
        <v>0</v>
      </c>
      <c r="S59" s="6">
        <v>0</v>
      </c>
      <c r="T59" s="5">
        <v>0</v>
      </c>
      <c r="U59" s="4">
        <v>0</v>
      </c>
      <c r="V59" s="4">
        <v>0</v>
      </c>
      <c r="W59" s="4">
        <v>2025</v>
      </c>
    </row>
    <row r="60" spans="1:23" x14ac:dyDescent="0.25">
      <c r="A60" s="4">
        <v>0</v>
      </c>
      <c r="B60" s="4">
        <v>5</v>
      </c>
      <c r="C60" s="4">
        <v>2</v>
      </c>
      <c r="D60" s="4" t="s">
        <v>82</v>
      </c>
      <c r="E60" s="4" t="s">
        <v>29</v>
      </c>
      <c r="F60" s="4">
        <v>1.52</v>
      </c>
      <c r="G60" s="8">
        <v>3</v>
      </c>
      <c r="H60" s="8">
        <v>1.5199999809265137</v>
      </c>
      <c r="I60" s="8">
        <v>0</v>
      </c>
      <c r="J60" s="8">
        <v>0</v>
      </c>
      <c r="K60" s="8">
        <v>0</v>
      </c>
      <c r="L60" s="8">
        <v>0</v>
      </c>
      <c r="M60" s="6">
        <v>0</v>
      </c>
      <c r="N60" s="5">
        <v>0</v>
      </c>
      <c r="O60" s="6">
        <v>1.0199999809265137</v>
      </c>
      <c r="P60" s="5">
        <v>0.67105261903060109</v>
      </c>
      <c r="Q60" s="6">
        <v>0.5</v>
      </c>
      <c r="R60" s="5">
        <v>0.32894736842105265</v>
      </c>
      <c r="S60" s="6">
        <v>0</v>
      </c>
      <c r="T60" s="5">
        <v>0</v>
      </c>
      <c r="U60" s="4">
        <v>0</v>
      </c>
      <c r="V60" s="4">
        <v>0</v>
      </c>
      <c r="W60" s="4">
        <v>2025</v>
      </c>
    </row>
    <row r="61" spans="1:23" x14ac:dyDescent="0.25">
      <c r="A61" s="4">
        <v>0</v>
      </c>
      <c r="B61" s="4">
        <v>5</v>
      </c>
      <c r="C61" s="4">
        <v>3</v>
      </c>
      <c r="D61" s="4" t="s">
        <v>83</v>
      </c>
      <c r="E61" s="4" t="s">
        <v>29</v>
      </c>
      <c r="F61" s="4">
        <v>1.29</v>
      </c>
      <c r="G61" s="8">
        <v>3</v>
      </c>
      <c r="H61" s="8">
        <v>1.2899999618530273</v>
      </c>
      <c r="I61" s="8">
        <v>0</v>
      </c>
      <c r="J61" s="8">
        <v>0</v>
      </c>
      <c r="K61" s="8">
        <v>0</v>
      </c>
      <c r="L61" s="8">
        <v>0</v>
      </c>
      <c r="M61" s="6">
        <v>0</v>
      </c>
      <c r="N61" s="5">
        <v>0</v>
      </c>
      <c r="O61" s="6">
        <v>0.99000000953674316</v>
      </c>
      <c r="P61" s="5">
        <v>0.76744186785794044</v>
      </c>
      <c r="Q61" s="6">
        <v>0.30000001192092896</v>
      </c>
      <c r="R61" s="5">
        <v>0.23255814877591391</v>
      </c>
      <c r="S61" s="6">
        <v>0</v>
      </c>
      <c r="T61" s="5">
        <v>0</v>
      </c>
      <c r="U61" s="4">
        <v>0</v>
      </c>
      <c r="V61" s="4">
        <v>0</v>
      </c>
      <c r="W61" s="4">
        <v>2025</v>
      </c>
    </row>
    <row r="62" spans="1:23" x14ac:dyDescent="0.25">
      <c r="A62" s="4">
        <v>0</v>
      </c>
      <c r="B62" s="4">
        <v>5</v>
      </c>
      <c r="C62" s="4">
        <v>4</v>
      </c>
      <c r="D62" s="4" t="s">
        <v>84</v>
      </c>
      <c r="E62" s="4" t="s">
        <v>29</v>
      </c>
      <c r="F62" s="4">
        <v>1.05</v>
      </c>
      <c r="G62" s="8">
        <v>3</v>
      </c>
      <c r="H62" s="8">
        <v>1.0499999523162842</v>
      </c>
      <c r="I62" s="8">
        <v>0</v>
      </c>
      <c r="J62" s="8">
        <v>0</v>
      </c>
      <c r="K62" s="8">
        <v>0</v>
      </c>
      <c r="L62" s="8">
        <v>0</v>
      </c>
      <c r="M62" s="6">
        <v>0</v>
      </c>
      <c r="N62" s="5">
        <v>0</v>
      </c>
      <c r="O62" s="6">
        <v>0.75</v>
      </c>
      <c r="P62" s="5">
        <v>0.7142857142857143</v>
      </c>
      <c r="Q62" s="6">
        <v>0.30000001192092896</v>
      </c>
      <c r="R62" s="5">
        <v>0.28571429706755136</v>
      </c>
      <c r="S62" s="6">
        <v>0</v>
      </c>
      <c r="T62" s="5">
        <v>0</v>
      </c>
      <c r="U62" s="4">
        <v>0</v>
      </c>
      <c r="V62" s="4">
        <v>0</v>
      </c>
      <c r="W62" s="4">
        <v>2025</v>
      </c>
    </row>
    <row r="63" spans="1:23" x14ac:dyDescent="0.25">
      <c r="A63" s="4">
        <v>0</v>
      </c>
      <c r="B63" s="4">
        <v>5</v>
      </c>
      <c r="C63" s="4">
        <v>5</v>
      </c>
      <c r="D63" s="4" t="s">
        <v>85</v>
      </c>
      <c r="E63" s="4" t="s">
        <v>29</v>
      </c>
      <c r="F63" s="4">
        <v>0.89</v>
      </c>
      <c r="G63" s="8">
        <v>3.5</v>
      </c>
      <c r="H63" s="8">
        <v>0.88999998569488525</v>
      </c>
      <c r="I63" s="8">
        <v>0</v>
      </c>
      <c r="J63" s="8">
        <v>0</v>
      </c>
      <c r="K63" s="8">
        <v>0</v>
      </c>
      <c r="L63" s="8">
        <v>0</v>
      </c>
      <c r="M63" s="6">
        <v>0</v>
      </c>
      <c r="N63" s="5">
        <v>0</v>
      </c>
      <c r="O63" s="6">
        <v>0.38999998569488525</v>
      </c>
      <c r="P63" s="5">
        <v>0.43820223111784862</v>
      </c>
      <c r="Q63" s="6">
        <v>0.40000000596046448</v>
      </c>
      <c r="R63" s="5">
        <v>0.44943820894434211</v>
      </c>
      <c r="S63" s="6">
        <v>0.10000000149011612</v>
      </c>
      <c r="T63" s="5">
        <v>0.11235955223608553</v>
      </c>
      <c r="U63" s="4">
        <v>0</v>
      </c>
      <c r="V63" s="4">
        <v>0</v>
      </c>
      <c r="W63" s="4">
        <v>2025</v>
      </c>
    </row>
    <row r="64" spans="1:23" x14ac:dyDescent="0.25">
      <c r="A64" s="4">
        <v>0</v>
      </c>
      <c r="B64" s="4">
        <v>5</v>
      </c>
      <c r="C64" s="4">
        <v>6</v>
      </c>
      <c r="D64" s="4" t="s">
        <v>86</v>
      </c>
      <c r="E64" s="4" t="s">
        <v>69</v>
      </c>
      <c r="F64" s="4">
        <v>3.77</v>
      </c>
      <c r="G64" s="8">
        <v>3.5</v>
      </c>
      <c r="H64" s="8">
        <v>3.7699999809265137</v>
      </c>
      <c r="I64" s="8">
        <v>0</v>
      </c>
      <c r="J64" s="8">
        <v>0</v>
      </c>
      <c r="K64" s="8">
        <v>0</v>
      </c>
      <c r="L64" s="8">
        <v>0</v>
      </c>
      <c r="M64" s="6">
        <v>0</v>
      </c>
      <c r="N64" s="5">
        <v>0</v>
      </c>
      <c r="O64" s="6">
        <v>3.0699999332427979</v>
      </c>
      <c r="P64" s="5">
        <v>0.81432358971957497</v>
      </c>
      <c r="Q64" s="6">
        <v>0.69999998807907104</v>
      </c>
      <c r="R64" s="5">
        <v>0.18567638941089418</v>
      </c>
      <c r="S64" s="6">
        <v>0</v>
      </c>
      <c r="T64" s="5">
        <v>0</v>
      </c>
      <c r="U64" s="4">
        <v>0</v>
      </c>
      <c r="V64" s="4">
        <v>0</v>
      </c>
      <c r="W64" s="4">
        <v>2025</v>
      </c>
    </row>
    <row r="65" spans="1:23" x14ac:dyDescent="0.25">
      <c r="A65" s="4">
        <v>0</v>
      </c>
      <c r="B65" s="4">
        <v>5</v>
      </c>
      <c r="C65" s="4">
        <v>7</v>
      </c>
      <c r="D65" s="4" t="s">
        <v>87</v>
      </c>
      <c r="E65" s="4" t="s">
        <v>78</v>
      </c>
      <c r="F65" s="4">
        <v>1</v>
      </c>
      <c r="G65" s="8">
        <v>3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6">
        <v>0</v>
      </c>
      <c r="N65" s="5">
        <v>0</v>
      </c>
      <c r="O65" s="6">
        <v>0.30000001192092896</v>
      </c>
      <c r="P65" s="5">
        <v>0.30000001192092896</v>
      </c>
      <c r="Q65" s="6">
        <v>0.69999998807907104</v>
      </c>
      <c r="R65" s="5">
        <v>0.69999998807907104</v>
      </c>
      <c r="S65" s="6">
        <v>0</v>
      </c>
      <c r="T65" s="5">
        <v>0</v>
      </c>
      <c r="U65" s="4">
        <v>0</v>
      </c>
      <c r="V65" s="4">
        <v>0</v>
      </c>
      <c r="W65" s="4">
        <v>2025</v>
      </c>
    </row>
    <row r="66" spans="1:23" x14ac:dyDescent="0.25">
      <c r="A66" s="4">
        <v>0</v>
      </c>
      <c r="B66" s="4">
        <v>5</v>
      </c>
      <c r="C66" s="4">
        <v>8</v>
      </c>
      <c r="D66" s="4" t="s">
        <v>88</v>
      </c>
      <c r="E66" s="4" t="s">
        <v>69</v>
      </c>
      <c r="F66" s="4">
        <v>0.37</v>
      </c>
      <c r="G66" s="8">
        <v>3</v>
      </c>
      <c r="H66" s="8">
        <v>0.37000000476837158</v>
      </c>
      <c r="I66" s="8">
        <v>0</v>
      </c>
      <c r="J66" s="8">
        <v>0</v>
      </c>
      <c r="K66" s="8">
        <v>0</v>
      </c>
      <c r="L66" s="8">
        <v>0</v>
      </c>
      <c r="M66" s="6">
        <v>0</v>
      </c>
      <c r="N66" s="5">
        <v>0</v>
      </c>
      <c r="O66" s="6">
        <v>0.30000001192092896</v>
      </c>
      <c r="P66" s="5">
        <v>0.81081084302953776</v>
      </c>
      <c r="Q66" s="6">
        <v>7.0000000298023224E-2</v>
      </c>
      <c r="R66" s="5">
        <v>0.18918918999465736</v>
      </c>
      <c r="S66" s="6">
        <v>0</v>
      </c>
      <c r="T66" s="5">
        <v>0</v>
      </c>
      <c r="U66" s="4">
        <v>0</v>
      </c>
      <c r="V66" s="4">
        <v>0</v>
      </c>
      <c r="W66" s="4">
        <v>2025</v>
      </c>
    </row>
    <row r="67" spans="1:23" x14ac:dyDescent="0.25">
      <c r="A67" s="4">
        <v>0</v>
      </c>
      <c r="B67" s="4">
        <v>5</v>
      </c>
      <c r="C67" s="4">
        <v>9</v>
      </c>
      <c r="D67" s="4" t="s">
        <v>89</v>
      </c>
      <c r="E67" s="4" t="s">
        <v>29</v>
      </c>
      <c r="F67" s="4">
        <v>0.21</v>
      </c>
      <c r="G67" s="8">
        <v>3.5</v>
      </c>
      <c r="H67" s="8">
        <v>0.20999999344348907</v>
      </c>
      <c r="I67" s="8">
        <v>0</v>
      </c>
      <c r="J67" s="8">
        <v>0</v>
      </c>
      <c r="K67" s="8">
        <v>0</v>
      </c>
      <c r="L67" s="8">
        <v>0</v>
      </c>
      <c r="M67" s="6">
        <v>0</v>
      </c>
      <c r="N67" s="5">
        <v>0</v>
      </c>
      <c r="O67" s="6">
        <v>0.20999999344348907</v>
      </c>
      <c r="P67" s="5">
        <v>0.99999996877851949</v>
      </c>
      <c r="Q67" s="6">
        <v>0</v>
      </c>
      <c r="R67" s="5">
        <v>0</v>
      </c>
      <c r="S67" s="6">
        <v>0</v>
      </c>
      <c r="T67" s="5">
        <v>0</v>
      </c>
      <c r="U67" s="4">
        <v>0</v>
      </c>
      <c r="V67" s="4">
        <v>0</v>
      </c>
      <c r="W67" s="4">
        <v>2025</v>
      </c>
    </row>
    <row r="68" spans="1:23" x14ac:dyDescent="0.25">
      <c r="A68" s="4">
        <v>0</v>
      </c>
      <c r="B68" s="4">
        <v>6</v>
      </c>
      <c r="C68" s="4">
        <v>0</v>
      </c>
      <c r="D68" s="4" t="s">
        <v>90</v>
      </c>
      <c r="E68" s="4" t="s">
        <v>29</v>
      </c>
      <c r="F68" s="4">
        <v>1.96</v>
      </c>
      <c r="G68" s="8">
        <v>3</v>
      </c>
      <c r="H68" s="8">
        <v>1.9600000381469727</v>
      </c>
      <c r="I68" s="8">
        <v>0</v>
      </c>
      <c r="J68" s="8">
        <v>0</v>
      </c>
      <c r="K68" s="8">
        <v>0</v>
      </c>
      <c r="L68" s="8">
        <v>0</v>
      </c>
      <c r="M68" s="6">
        <v>0</v>
      </c>
      <c r="N68" s="5">
        <v>0</v>
      </c>
      <c r="O68" s="6">
        <v>1.9600000381469727</v>
      </c>
      <c r="P68" s="5">
        <v>1.0000000194627412</v>
      </c>
      <c r="Q68" s="6">
        <v>0</v>
      </c>
      <c r="R68" s="5">
        <v>0</v>
      </c>
      <c r="S68" s="6">
        <v>0</v>
      </c>
      <c r="T68" s="5">
        <v>0</v>
      </c>
      <c r="U68" s="4">
        <v>0</v>
      </c>
      <c r="V68" s="4">
        <v>0</v>
      </c>
      <c r="W68" s="4">
        <v>2025</v>
      </c>
    </row>
    <row r="69" spans="1:23" x14ac:dyDescent="0.25">
      <c r="A69" s="4">
        <v>0</v>
      </c>
      <c r="B69" s="4">
        <v>6</v>
      </c>
      <c r="C69" s="4">
        <v>1</v>
      </c>
      <c r="D69" s="4" t="s">
        <v>91</v>
      </c>
      <c r="E69" s="4" t="s">
        <v>29</v>
      </c>
      <c r="F69" s="4">
        <v>1.21</v>
      </c>
      <c r="G69" s="8">
        <v>3</v>
      </c>
      <c r="H69" s="8">
        <v>1.2100000381469727</v>
      </c>
      <c r="I69" s="8">
        <v>0</v>
      </c>
      <c r="J69" s="8">
        <v>0</v>
      </c>
      <c r="K69" s="8">
        <v>0</v>
      </c>
      <c r="L69" s="8">
        <v>0</v>
      </c>
      <c r="M69" s="6">
        <v>0</v>
      </c>
      <c r="N69" s="5">
        <v>0</v>
      </c>
      <c r="O69" s="6">
        <v>0.60000002384185791</v>
      </c>
      <c r="P69" s="5">
        <v>0.49586778829905614</v>
      </c>
      <c r="Q69" s="6">
        <v>0.20000000298023224</v>
      </c>
      <c r="R69" s="5">
        <v>0.16528925866134897</v>
      </c>
      <c r="S69" s="6">
        <v>0.40999999642372131</v>
      </c>
      <c r="T69" s="5">
        <v>0.33884297225100934</v>
      </c>
      <c r="U69" s="4">
        <v>0</v>
      </c>
      <c r="V69" s="4">
        <v>0</v>
      </c>
      <c r="W69" s="4">
        <v>2025</v>
      </c>
    </row>
    <row r="70" spans="1:23" x14ac:dyDescent="0.25">
      <c r="A70" s="4">
        <v>0</v>
      </c>
      <c r="B70" s="4">
        <v>6</v>
      </c>
      <c r="C70" s="4">
        <v>2</v>
      </c>
      <c r="D70" s="4" t="s">
        <v>92</v>
      </c>
      <c r="E70" s="4" t="s">
        <v>29</v>
      </c>
      <c r="F70" s="4">
        <v>1.69</v>
      </c>
      <c r="G70" s="8">
        <v>3</v>
      </c>
      <c r="H70" s="8">
        <v>1.1000000238418579</v>
      </c>
      <c r="I70" s="8">
        <v>0</v>
      </c>
      <c r="J70" s="8">
        <v>0</v>
      </c>
      <c r="K70" s="8">
        <v>0.5899999737739563</v>
      </c>
      <c r="L70" s="8">
        <v>0</v>
      </c>
      <c r="M70" s="6">
        <v>1</v>
      </c>
      <c r="N70" s="5">
        <v>0.59171597633136097</v>
      </c>
      <c r="O70" s="6">
        <v>0</v>
      </c>
      <c r="P70" s="5">
        <v>0</v>
      </c>
      <c r="Q70" s="6">
        <v>0.10000000149011612</v>
      </c>
      <c r="R70" s="5">
        <v>5.9171598514861611E-2</v>
      </c>
      <c r="S70" s="6">
        <v>0.5899999737739563</v>
      </c>
      <c r="T70" s="5">
        <v>0.34911241051713393</v>
      </c>
      <c r="U70" s="4">
        <v>0</v>
      </c>
      <c r="V70" s="4">
        <v>0</v>
      </c>
      <c r="W70" s="4">
        <v>2025</v>
      </c>
    </row>
    <row r="71" spans="1:23" x14ac:dyDescent="0.25">
      <c r="A71" s="4">
        <v>0</v>
      </c>
      <c r="B71" s="4">
        <v>6</v>
      </c>
      <c r="C71" s="4">
        <v>3</v>
      </c>
      <c r="D71" s="4" t="s">
        <v>93</v>
      </c>
      <c r="E71" s="4" t="s">
        <v>29</v>
      </c>
      <c r="F71" s="4">
        <v>0.68</v>
      </c>
      <c r="G71" s="8">
        <v>3</v>
      </c>
      <c r="H71" s="8">
        <v>0.68000000715255737</v>
      </c>
      <c r="I71" s="8">
        <v>0</v>
      </c>
      <c r="J71" s="8">
        <v>0</v>
      </c>
      <c r="K71" s="8">
        <v>0</v>
      </c>
      <c r="L71" s="8">
        <v>0</v>
      </c>
      <c r="M71" s="6">
        <v>0</v>
      </c>
      <c r="N71" s="5">
        <v>0</v>
      </c>
      <c r="O71" s="6">
        <v>0.47999998927116394</v>
      </c>
      <c r="P71" s="5">
        <v>0.70588233716347637</v>
      </c>
      <c r="Q71" s="6">
        <v>0.20000000298023224</v>
      </c>
      <c r="R71" s="5">
        <v>0.29411765144151797</v>
      </c>
      <c r="S71" s="6">
        <v>0</v>
      </c>
      <c r="T71" s="5">
        <v>0</v>
      </c>
      <c r="U71" s="4">
        <v>0</v>
      </c>
      <c r="V71" s="4">
        <v>0</v>
      </c>
      <c r="W71" s="4">
        <v>2025</v>
      </c>
    </row>
    <row r="72" spans="1:23" x14ac:dyDescent="0.25">
      <c r="A72" s="4">
        <v>0</v>
      </c>
      <c r="B72" s="4">
        <v>6</v>
      </c>
      <c r="C72" s="4">
        <v>4</v>
      </c>
      <c r="D72" s="4" t="s">
        <v>94</v>
      </c>
      <c r="E72" s="4" t="s">
        <v>95</v>
      </c>
      <c r="F72" s="4">
        <v>0.52</v>
      </c>
      <c r="G72" s="8">
        <v>3</v>
      </c>
      <c r="H72" s="8">
        <v>0.51999998092651367</v>
      </c>
      <c r="I72" s="8">
        <v>0</v>
      </c>
      <c r="J72" s="8">
        <v>0</v>
      </c>
      <c r="K72" s="8">
        <v>0</v>
      </c>
      <c r="L72" s="8">
        <v>0</v>
      </c>
      <c r="M72" s="6">
        <v>0</v>
      </c>
      <c r="N72" s="5">
        <v>0</v>
      </c>
      <c r="O72" s="6">
        <v>0.41999998688697815</v>
      </c>
      <c r="P72" s="5">
        <v>0.80769228247495795</v>
      </c>
      <c r="Q72" s="6">
        <v>0.10000000149011612</v>
      </c>
      <c r="R72" s="5">
        <v>0.19230769517330024</v>
      </c>
      <c r="S72" s="6">
        <v>0</v>
      </c>
      <c r="T72" s="5">
        <v>0</v>
      </c>
      <c r="U72" s="4">
        <v>0</v>
      </c>
      <c r="V72" s="4">
        <v>0</v>
      </c>
      <c r="W72" s="4">
        <v>2025</v>
      </c>
    </row>
    <row r="73" spans="1:23" x14ac:dyDescent="0.25">
      <c r="A73" s="4">
        <v>0</v>
      </c>
      <c r="B73" s="4">
        <v>6</v>
      </c>
      <c r="C73" s="4">
        <v>5</v>
      </c>
      <c r="D73" s="4" t="s">
        <v>96</v>
      </c>
      <c r="E73" s="4" t="s">
        <v>29</v>
      </c>
      <c r="F73" s="4">
        <v>0.41</v>
      </c>
      <c r="G73" s="8">
        <v>3.5</v>
      </c>
      <c r="H73" s="8">
        <v>0.40999999642372131</v>
      </c>
      <c r="I73" s="8">
        <v>0</v>
      </c>
      <c r="J73" s="8">
        <v>0</v>
      </c>
      <c r="K73" s="8">
        <v>0</v>
      </c>
      <c r="L73" s="8">
        <v>0</v>
      </c>
      <c r="M73" s="6">
        <v>0</v>
      </c>
      <c r="N73" s="5">
        <v>0</v>
      </c>
      <c r="O73" s="6">
        <v>0.40999999642372131</v>
      </c>
      <c r="P73" s="5">
        <v>0.99999999127736916</v>
      </c>
      <c r="Q73" s="6">
        <v>0</v>
      </c>
      <c r="R73" s="5">
        <v>0</v>
      </c>
      <c r="S73" s="6">
        <v>0</v>
      </c>
      <c r="T73" s="5">
        <v>0</v>
      </c>
      <c r="U73" s="4">
        <v>0</v>
      </c>
      <c r="V73" s="4">
        <v>0</v>
      </c>
      <c r="W73" s="4">
        <v>2025</v>
      </c>
    </row>
    <row r="74" spans="1:23" x14ac:dyDescent="0.25">
      <c r="A74" s="4">
        <v>0</v>
      </c>
      <c r="B74" s="4">
        <v>6</v>
      </c>
      <c r="C74" s="4">
        <v>6</v>
      </c>
      <c r="D74" s="4" t="s">
        <v>97</v>
      </c>
      <c r="E74" s="4" t="s">
        <v>95</v>
      </c>
      <c r="F74" s="4">
        <v>0.41</v>
      </c>
      <c r="G74" s="8">
        <v>3</v>
      </c>
      <c r="H74" s="8">
        <v>0.40999999642372131</v>
      </c>
      <c r="I74" s="8">
        <v>0</v>
      </c>
      <c r="J74" s="8">
        <v>0</v>
      </c>
      <c r="K74" s="8">
        <v>0</v>
      </c>
      <c r="L74" s="8">
        <v>0</v>
      </c>
      <c r="M74" s="6">
        <v>0.10000000149011612</v>
      </c>
      <c r="N74" s="5">
        <v>0.24390244265881983</v>
      </c>
      <c r="O74" s="6">
        <v>0.31000000238418579</v>
      </c>
      <c r="P74" s="5">
        <v>0.75609756679069706</v>
      </c>
      <c r="Q74" s="6">
        <v>0</v>
      </c>
      <c r="R74" s="5">
        <v>0</v>
      </c>
      <c r="S74" s="6">
        <v>0</v>
      </c>
      <c r="T74" s="5">
        <v>0</v>
      </c>
      <c r="U74" s="4">
        <v>0</v>
      </c>
      <c r="V74" s="4">
        <v>0</v>
      </c>
      <c r="W74" s="4">
        <v>2025</v>
      </c>
    </row>
    <row r="75" spans="1:23" x14ac:dyDescent="0.25">
      <c r="A75" s="4">
        <v>0</v>
      </c>
      <c r="B75" s="4">
        <v>6</v>
      </c>
      <c r="C75" s="4">
        <v>7</v>
      </c>
      <c r="D75" s="4" t="s">
        <v>98</v>
      </c>
      <c r="E75" s="4" t="s">
        <v>29</v>
      </c>
      <c r="F75" s="4">
        <v>1.64</v>
      </c>
      <c r="G75" s="8">
        <v>3.5</v>
      </c>
      <c r="H75" s="8">
        <v>1.6399999856948853</v>
      </c>
      <c r="I75" s="8">
        <v>0</v>
      </c>
      <c r="J75" s="8">
        <v>0</v>
      </c>
      <c r="K75" s="8">
        <v>0</v>
      </c>
      <c r="L75" s="8">
        <v>0</v>
      </c>
      <c r="M75" s="6">
        <v>0</v>
      </c>
      <c r="N75" s="5">
        <v>0</v>
      </c>
      <c r="O75" s="6">
        <v>1.6399999856948853</v>
      </c>
      <c r="P75" s="5">
        <v>0.99999999127736916</v>
      </c>
      <c r="Q75" s="6">
        <v>0</v>
      </c>
      <c r="R75" s="5">
        <v>0</v>
      </c>
      <c r="S75" s="6">
        <v>0</v>
      </c>
      <c r="T75" s="5">
        <v>0</v>
      </c>
      <c r="U75" s="4">
        <v>0</v>
      </c>
      <c r="V75" s="4">
        <v>0</v>
      </c>
      <c r="W75" s="4">
        <v>2025</v>
      </c>
    </row>
    <row r="76" spans="1:23" x14ac:dyDescent="0.25">
      <c r="A76" s="4">
        <v>0</v>
      </c>
      <c r="B76" s="4">
        <v>6</v>
      </c>
      <c r="C76" s="4">
        <v>8</v>
      </c>
      <c r="D76" s="4" t="s">
        <v>99</v>
      </c>
      <c r="E76" s="4" t="s">
        <v>29</v>
      </c>
      <c r="F76" s="4">
        <v>0.91</v>
      </c>
      <c r="G76" s="8">
        <v>3.5</v>
      </c>
      <c r="H76" s="8">
        <v>0.9100000262260437</v>
      </c>
      <c r="I76" s="8">
        <v>0</v>
      </c>
      <c r="J76" s="8">
        <v>0</v>
      </c>
      <c r="K76" s="8">
        <v>0</v>
      </c>
      <c r="L76" s="8">
        <v>0</v>
      </c>
      <c r="M76" s="6">
        <v>0.20000000298023224</v>
      </c>
      <c r="N76" s="5">
        <v>0.21978022305520026</v>
      </c>
      <c r="O76" s="6">
        <v>0.60000002384185791</v>
      </c>
      <c r="P76" s="5">
        <v>0.65934068554050318</v>
      </c>
      <c r="Q76" s="6">
        <v>0.10999999940395355</v>
      </c>
      <c r="R76" s="5">
        <v>0.12087912022412478</v>
      </c>
      <c r="S76" s="6">
        <v>0</v>
      </c>
      <c r="T76" s="5">
        <v>0</v>
      </c>
      <c r="U76" s="4">
        <v>0</v>
      </c>
      <c r="V76" s="4">
        <v>0</v>
      </c>
      <c r="W76" s="4">
        <v>2025</v>
      </c>
    </row>
    <row r="77" spans="1:23" x14ac:dyDescent="0.25">
      <c r="A77" s="4">
        <v>0</v>
      </c>
      <c r="B77" s="4">
        <v>6</v>
      </c>
      <c r="C77" s="4">
        <v>9</v>
      </c>
      <c r="D77" s="4" t="s">
        <v>100</v>
      </c>
      <c r="E77" s="4" t="s">
        <v>29</v>
      </c>
      <c r="F77" s="4">
        <v>1.42</v>
      </c>
      <c r="G77" s="8">
        <v>3</v>
      </c>
      <c r="H77" s="8">
        <v>1.2000000476837158</v>
      </c>
      <c r="I77" s="8">
        <v>0</v>
      </c>
      <c r="J77" s="8">
        <v>0</v>
      </c>
      <c r="K77" s="8">
        <v>0.2199999988079071</v>
      </c>
      <c r="L77" s="8">
        <v>0</v>
      </c>
      <c r="M77" s="6">
        <v>0</v>
      </c>
      <c r="N77" s="5">
        <v>0</v>
      </c>
      <c r="O77" s="6">
        <v>0.30000001192092896</v>
      </c>
      <c r="P77" s="5">
        <v>0.21126761402882321</v>
      </c>
      <c r="Q77" s="6">
        <v>0.30000001192092896</v>
      </c>
      <c r="R77" s="5">
        <v>0.21126761402882321</v>
      </c>
      <c r="S77" s="6">
        <v>0.82000002264976501</v>
      </c>
      <c r="T77" s="5">
        <v>0.57746480468293315</v>
      </c>
      <c r="U77" s="4">
        <v>0</v>
      </c>
      <c r="V77" s="4">
        <v>0</v>
      </c>
      <c r="W77" s="4">
        <v>2025</v>
      </c>
    </row>
    <row r="78" spans="1:23" x14ac:dyDescent="0.25">
      <c r="A78" s="4">
        <v>0</v>
      </c>
      <c r="B78" s="4">
        <v>7</v>
      </c>
      <c r="C78" s="4">
        <v>0</v>
      </c>
      <c r="D78" s="4" t="s">
        <v>101</v>
      </c>
      <c r="E78" s="4" t="s">
        <v>29</v>
      </c>
      <c r="F78" s="4">
        <v>0.28999999999999998</v>
      </c>
      <c r="G78" s="8">
        <v>3</v>
      </c>
      <c r="H78" s="8">
        <v>0.28999999165534973</v>
      </c>
      <c r="I78" s="8">
        <v>0</v>
      </c>
      <c r="J78" s="8">
        <v>0</v>
      </c>
      <c r="K78" s="8">
        <v>0</v>
      </c>
      <c r="L78" s="8">
        <v>0</v>
      </c>
      <c r="M78" s="6">
        <v>0.28999999165534973</v>
      </c>
      <c r="N78" s="5">
        <v>0.99999997122534401</v>
      </c>
      <c r="O78" s="6">
        <v>0</v>
      </c>
      <c r="P78" s="5">
        <v>0</v>
      </c>
      <c r="Q78" s="6">
        <v>0</v>
      </c>
      <c r="R78" s="5">
        <v>0</v>
      </c>
      <c r="S78" s="6">
        <v>0</v>
      </c>
      <c r="T78" s="5">
        <v>0</v>
      </c>
      <c r="U78" s="4">
        <v>0</v>
      </c>
      <c r="V78" s="4">
        <v>0</v>
      </c>
      <c r="W78" s="4">
        <v>2025</v>
      </c>
    </row>
    <row r="79" spans="1:23" x14ac:dyDescent="0.25">
      <c r="A79" s="4">
        <v>0</v>
      </c>
      <c r="B79" s="4">
        <v>7</v>
      </c>
      <c r="C79" s="4">
        <v>1</v>
      </c>
      <c r="D79" s="4" t="s">
        <v>102</v>
      </c>
      <c r="E79" s="4" t="s">
        <v>29</v>
      </c>
      <c r="F79" s="4">
        <v>0.5</v>
      </c>
      <c r="G79" s="8">
        <v>3</v>
      </c>
      <c r="H79" s="8">
        <v>0.5</v>
      </c>
      <c r="I79" s="8">
        <v>0</v>
      </c>
      <c r="J79" s="8">
        <v>0</v>
      </c>
      <c r="K79" s="8">
        <v>0</v>
      </c>
      <c r="L79" s="8">
        <v>0</v>
      </c>
      <c r="M79" s="6">
        <v>0</v>
      </c>
      <c r="N79" s="5">
        <v>0</v>
      </c>
      <c r="O79" s="6">
        <v>0.40000000596046448</v>
      </c>
      <c r="P79" s="5">
        <v>0.80000001192092896</v>
      </c>
      <c r="Q79" s="6">
        <v>0.10000000149011612</v>
      </c>
      <c r="R79" s="5">
        <v>0.20000000298023224</v>
      </c>
      <c r="S79" s="6">
        <v>0</v>
      </c>
      <c r="T79" s="5">
        <v>0</v>
      </c>
      <c r="U79" s="4">
        <v>0</v>
      </c>
      <c r="V79" s="4">
        <v>0</v>
      </c>
      <c r="W79" s="4">
        <v>2025</v>
      </c>
    </row>
    <row r="80" spans="1:23" x14ac:dyDescent="0.25">
      <c r="A80" s="4">
        <v>0</v>
      </c>
      <c r="B80" s="4">
        <v>7</v>
      </c>
      <c r="C80" s="4">
        <v>2</v>
      </c>
      <c r="D80" s="4" t="s">
        <v>103</v>
      </c>
      <c r="E80" s="4" t="s">
        <v>78</v>
      </c>
      <c r="F80" s="4">
        <v>0.84</v>
      </c>
      <c r="G80" s="8">
        <v>3</v>
      </c>
      <c r="H80" s="8">
        <v>0.8399999737739563</v>
      </c>
      <c r="I80" s="8">
        <v>0</v>
      </c>
      <c r="J80" s="8">
        <v>0</v>
      </c>
      <c r="K80" s="8">
        <v>0</v>
      </c>
      <c r="L80" s="8">
        <v>0</v>
      </c>
      <c r="M80" s="6">
        <v>0</v>
      </c>
      <c r="N80" s="5">
        <v>0</v>
      </c>
      <c r="O80" s="6">
        <v>0.30000001192092896</v>
      </c>
      <c r="P80" s="5">
        <v>0.35714287133443923</v>
      </c>
      <c r="Q80" s="6">
        <v>0.54000002145767212</v>
      </c>
      <c r="R80" s="5">
        <v>0.64285716840199059</v>
      </c>
      <c r="S80" s="6">
        <v>0</v>
      </c>
      <c r="T80" s="5">
        <v>0</v>
      </c>
      <c r="U80" s="4">
        <v>0</v>
      </c>
      <c r="V80" s="4">
        <v>0</v>
      </c>
      <c r="W80" s="4">
        <v>2025</v>
      </c>
    </row>
    <row r="81" spans="1:23" x14ac:dyDescent="0.25">
      <c r="A81" s="4">
        <v>0</v>
      </c>
      <c r="B81" s="4">
        <v>7</v>
      </c>
      <c r="C81" s="4">
        <v>3</v>
      </c>
      <c r="D81" s="4" t="s">
        <v>104</v>
      </c>
      <c r="E81" s="4" t="s">
        <v>29</v>
      </c>
      <c r="F81" s="4">
        <v>0.14000000000000001</v>
      </c>
      <c r="G81" s="8">
        <v>3</v>
      </c>
      <c r="H81" s="8">
        <v>0.14000000059604645</v>
      </c>
      <c r="I81" s="8">
        <v>0</v>
      </c>
      <c r="J81" s="8">
        <v>0</v>
      </c>
      <c r="K81" s="8">
        <v>0</v>
      </c>
      <c r="L81" s="8">
        <v>0</v>
      </c>
      <c r="M81" s="6">
        <v>0</v>
      </c>
      <c r="N81" s="5">
        <v>0</v>
      </c>
      <c r="O81" s="6">
        <v>3.9999999105930328E-2</v>
      </c>
      <c r="P81" s="5">
        <v>0.28571427932807375</v>
      </c>
      <c r="Q81" s="6">
        <v>0.10000000149011612</v>
      </c>
      <c r="R81" s="5">
        <v>0.71428572492940079</v>
      </c>
      <c r="S81" s="6">
        <v>0</v>
      </c>
      <c r="T81" s="5">
        <v>0</v>
      </c>
      <c r="U81" s="4">
        <v>0</v>
      </c>
      <c r="V81" s="4">
        <v>0</v>
      </c>
      <c r="W81" s="4">
        <v>2025</v>
      </c>
    </row>
    <row r="82" spans="1:23" x14ac:dyDescent="0.25">
      <c r="A82" s="4">
        <v>0</v>
      </c>
      <c r="B82" s="4">
        <v>7</v>
      </c>
      <c r="C82" s="4">
        <v>4</v>
      </c>
      <c r="D82" s="4" t="s">
        <v>105</v>
      </c>
      <c r="E82" s="4" t="s">
        <v>29</v>
      </c>
      <c r="F82" s="4">
        <v>0.12</v>
      </c>
      <c r="G82" s="8">
        <v>3</v>
      </c>
      <c r="H82" s="8">
        <v>0.11999999731779099</v>
      </c>
      <c r="I82" s="8">
        <v>0</v>
      </c>
      <c r="J82" s="8">
        <v>0</v>
      </c>
      <c r="K82" s="8">
        <v>0</v>
      </c>
      <c r="L82" s="8">
        <v>0</v>
      </c>
      <c r="M82" s="6">
        <v>0</v>
      </c>
      <c r="N82" s="5">
        <v>0</v>
      </c>
      <c r="O82" s="6">
        <v>0.10000000149011612</v>
      </c>
      <c r="P82" s="5">
        <v>0.83333334575096774</v>
      </c>
      <c r="Q82" s="6">
        <v>1.9999999552965164E-2</v>
      </c>
      <c r="R82" s="5">
        <v>0.16666666294137639</v>
      </c>
      <c r="S82" s="6">
        <v>0</v>
      </c>
      <c r="T82" s="5">
        <v>0</v>
      </c>
      <c r="U82" s="4">
        <v>0</v>
      </c>
      <c r="V82" s="4">
        <v>0</v>
      </c>
      <c r="W82" s="4">
        <v>2025</v>
      </c>
    </row>
    <row r="83" spans="1:23" x14ac:dyDescent="0.25">
      <c r="A83" s="4">
        <v>0</v>
      </c>
      <c r="B83" s="4">
        <v>7</v>
      </c>
      <c r="C83" s="4">
        <v>5</v>
      </c>
      <c r="D83" s="4" t="s">
        <v>106</v>
      </c>
      <c r="E83" s="4" t="s">
        <v>29</v>
      </c>
      <c r="F83" s="4">
        <v>1.63</v>
      </c>
      <c r="G83" s="8">
        <v>3</v>
      </c>
      <c r="H83" s="8">
        <v>1.6299999952316284</v>
      </c>
      <c r="I83" s="8">
        <v>0</v>
      </c>
      <c r="J83" s="8">
        <v>0</v>
      </c>
      <c r="K83" s="8">
        <v>0</v>
      </c>
      <c r="L83" s="8">
        <v>0</v>
      </c>
      <c r="M83" s="6">
        <v>0.60000002384185791</v>
      </c>
      <c r="N83" s="5">
        <v>0.36809817413610918</v>
      </c>
      <c r="O83" s="6">
        <v>1.0299999713897705</v>
      </c>
      <c r="P83" s="5">
        <v>0.63190182293850961</v>
      </c>
      <c r="Q83" s="6">
        <v>0</v>
      </c>
      <c r="R83" s="5">
        <v>0</v>
      </c>
      <c r="S83" s="6">
        <v>0</v>
      </c>
      <c r="T83" s="5">
        <v>0</v>
      </c>
      <c r="U83" s="4">
        <v>0</v>
      </c>
      <c r="V83" s="4">
        <v>0</v>
      </c>
      <c r="W83" s="4">
        <v>2025</v>
      </c>
    </row>
    <row r="84" spans="1:23" x14ac:dyDescent="0.25">
      <c r="A84" s="4">
        <v>0</v>
      </c>
      <c r="B84" s="4">
        <v>7</v>
      </c>
      <c r="C84" s="4">
        <v>6</v>
      </c>
      <c r="D84" s="4" t="s">
        <v>107</v>
      </c>
      <c r="E84" s="4" t="s">
        <v>108</v>
      </c>
      <c r="F84" s="4">
        <v>1.92</v>
      </c>
      <c r="G84" s="8">
        <v>3</v>
      </c>
      <c r="H84" s="8">
        <v>1.9199999570846558</v>
      </c>
      <c r="I84" s="8">
        <v>0</v>
      </c>
      <c r="J84" s="8">
        <v>0</v>
      </c>
      <c r="K84" s="8">
        <v>0</v>
      </c>
      <c r="L84" s="8">
        <v>0</v>
      </c>
      <c r="M84" s="6">
        <v>0.11999999731779099</v>
      </c>
      <c r="N84" s="5">
        <v>6.2499998603016138E-2</v>
      </c>
      <c r="O84" s="6">
        <v>1.7999999523162842</v>
      </c>
      <c r="P84" s="5">
        <v>0.93749997516473138</v>
      </c>
      <c r="Q84" s="6">
        <v>0</v>
      </c>
      <c r="R84" s="5">
        <v>0</v>
      </c>
      <c r="S84" s="6">
        <v>0</v>
      </c>
      <c r="T84" s="5">
        <v>0</v>
      </c>
      <c r="U84" s="4">
        <v>0</v>
      </c>
      <c r="V84" s="4">
        <v>0</v>
      </c>
      <c r="W84" s="4">
        <v>2025</v>
      </c>
    </row>
    <row r="85" spans="1:23" x14ac:dyDescent="0.25">
      <c r="A85" s="4">
        <v>0</v>
      </c>
      <c r="B85" s="4">
        <v>7</v>
      </c>
      <c r="C85" s="4">
        <v>7</v>
      </c>
      <c r="D85" s="4" t="s">
        <v>109</v>
      </c>
      <c r="E85" s="4" t="s">
        <v>29</v>
      </c>
      <c r="F85" s="4">
        <v>2.82</v>
      </c>
      <c r="G85" s="8">
        <v>3</v>
      </c>
      <c r="H85" s="8">
        <v>0.80000001192092896</v>
      </c>
      <c r="I85" s="8">
        <v>0</v>
      </c>
      <c r="J85" s="8">
        <v>0</v>
      </c>
      <c r="K85" s="8">
        <v>2.0199999809265137</v>
      </c>
      <c r="L85" s="8">
        <v>0</v>
      </c>
      <c r="M85" s="6">
        <v>0.10000000149011612</v>
      </c>
      <c r="N85" s="5">
        <v>3.546099343621139E-2</v>
      </c>
      <c r="O85" s="6">
        <v>0.10000000149011612</v>
      </c>
      <c r="P85" s="5">
        <v>3.546099343621139E-2</v>
      </c>
      <c r="Q85" s="6">
        <v>0.5</v>
      </c>
      <c r="R85" s="5">
        <v>0.1773049645390071</v>
      </c>
      <c r="S85" s="6">
        <v>2.1199999824166298</v>
      </c>
      <c r="T85" s="5">
        <v>0.7517730434101525</v>
      </c>
      <c r="U85" s="4">
        <v>0</v>
      </c>
      <c r="V85" s="4">
        <v>0</v>
      </c>
      <c r="W85" s="4">
        <v>2025</v>
      </c>
    </row>
    <row r="86" spans="1:23" x14ac:dyDescent="0.25">
      <c r="A86" s="4">
        <v>0</v>
      </c>
      <c r="B86" s="4">
        <v>7</v>
      </c>
      <c r="C86" s="4">
        <v>8</v>
      </c>
      <c r="D86" s="4" t="s">
        <v>110</v>
      </c>
      <c r="E86" s="4" t="s">
        <v>29</v>
      </c>
      <c r="F86" s="4">
        <v>1</v>
      </c>
      <c r="G86" s="8">
        <v>3</v>
      </c>
      <c r="H86" s="8">
        <v>1</v>
      </c>
      <c r="I86" s="8">
        <v>0</v>
      </c>
      <c r="J86" s="8">
        <v>0</v>
      </c>
      <c r="K86" s="8">
        <v>0</v>
      </c>
      <c r="L86" s="8">
        <v>0</v>
      </c>
      <c r="M86" s="6">
        <v>0</v>
      </c>
      <c r="N86" s="5">
        <v>0</v>
      </c>
      <c r="O86" s="6">
        <v>0.40000000596046448</v>
      </c>
      <c r="P86" s="5">
        <v>0.40000000596046448</v>
      </c>
      <c r="Q86" s="6">
        <v>0.60000002384185791</v>
      </c>
      <c r="R86" s="5">
        <v>0.60000002384185791</v>
      </c>
      <c r="S86" s="6">
        <v>0</v>
      </c>
      <c r="T86" s="5">
        <v>0</v>
      </c>
      <c r="U86" s="4">
        <v>0</v>
      </c>
      <c r="V86" s="4">
        <v>0</v>
      </c>
      <c r="W86" s="4">
        <v>2025</v>
      </c>
    </row>
    <row r="87" spans="1:23" x14ac:dyDescent="0.25">
      <c r="A87" s="4">
        <v>0</v>
      </c>
      <c r="B87" s="4">
        <v>7</v>
      </c>
      <c r="C87" s="4">
        <v>9</v>
      </c>
      <c r="D87" s="4" t="s">
        <v>111</v>
      </c>
      <c r="E87" s="4" t="s">
        <v>29</v>
      </c>
      <c r="F87" s="4">
        <v>0.64</v>
      </c>
      <c r="G87" s="8">
        <v>3</v>
      </c>
      <c r="H87" s="8">
        <v>0.63999998569488525</v>
      </c>
      <c r="I87" s="8">
        <v>0</v>
      </c>
      <c r="J87" s="8">
        <v>0</v>
      </c>
      <c r="K87" s="8">
        <v>0</v>
      </c>
      <c r="L87" s="8">
        <v>0</v>
      </c>
      <c r="M87" s="6">
        <v>0.63999998569488525</v>
      </c>
      <c r="N87" s="5">
        <v>0.99999997764825821</v>
      </c>
      <c r="O87" s="6">
        <v>0</v>
      </c>
      <c r="P87" s="5">
        <v>0</v>
      </c>
      <c r="Q87" s="6">
        <v>0</v>
      </c>
      <c r="R87" s="5">
        <v>0</v>
      </c>
      <c r="S87" s="6">
        <v>0</v>
      </c>
      <c r="T87" s="5">
        <v>0</v>
      </c>
      <c r="U87" s="4">
        <v>0</v>
      </c>
      <c r="V87" s="4">
        <v>0</v>
      </c>
      <c r="W87" s="4">
        <v>2025</v>
      </c>
    </row>
    <row r="88" spans="1:23" x14ac:dyDescent="0.25">
      <c r="A88" s="4">
        <v>0</v>
      </c>
      <c r="B88" s="4">
        <v>8</v>
      </c>
      <c r="C88" s="4">
        <v>0</v>
      </c>
      <c r="D88" s="4" t="s">
        <v>112</v>
      </c>
      <c r="E88" s="4" t="s">
        <v>29</v>
      </c>
      <c r="F88" s="4">
        <v>0.41</v>
      </c>
      <c r="G88" s="8">
        <v>3</v>
      </c>
      <c r="H88" s="8">
        <v>0.40999999642372131</v>
      </c>
      <c r="I88" s="8">
        <v>0</v>
      </c>
      <c r="J88" s="8">
        <v>0</v>
      </c>
      <c r="K88" s="8">
        <v>0</v>
      </c>
      <c r="L88" s="8">
        <v>0</v>
      </c>
      <c r="M88" s="6">
        <v>0</v>
      </c>
      <c r="N88" s="5">
        <v>0</v>
      </c>
      <c r="O88" s="6">
        <v>0.40999999642372131</v>
      </c>
      <c r="P88" s="5">
        <v>0.99999999127736916</v>
      </c>
      <c r="Q88" s="6">
        <v>0</v>
      </c>
      <c r="R88" s="5">
        <v>0</v>
      </c>
      <c r="S88" s="6">
        <v>0</v>
      </c>
      <c r="T88" s="5">
        <v>0</v>
      </c>
      <c r="U88" s="4">
        <v>0</v>
      </c>
      <c r="V88" s="4">
        <v>0</v>
      </c>
      <c r="W88" s="4">
        <v>2025</v>
      </c>
    </row>
    <row r="89" spans="1:23" x14ac:dyDescent="0.25">
      <c r="A89" s="4">
        <v>0</v>
      </c>
      <c r="B89" s="4">
        <v>8</v>
      </c>
      <c r="C89" s="4">
        <v>1</v>
      </c>
      <c r="D89" s="4" t="s">
        <v>113</v>
      </c>
      <c r="E89" s="4" t="s">
        <v>29</v>
      </c>
      <c r="F89" s="4">
        <v>0.39</v>
      </c>
      <c r="G89" s="8">
        <v>3</v>
      </c>
      <c r="H89" s="8">
        <v>0.38999998569488525</v>
      </c>
      <c r="I89" s="8">
        <v>0</v>
      </c>
      <c r="J89" s="8">
        <v>0</v>
      </c>
      <c r="K89" s="8">
        <v>0</v>
      </c>
      <c r="L89" s="8">
        <v>0</v>
      </c>
      <c r="M89" s="6">
        <v>0.10000000149011612</v>
      </c>
      <c r="N89" s="5">
        <v>0.25641026023106694</v>
      </c>
      <c r="O89" s="6">
        <v>0.28999999165534973</v>
      </c>
      <c r="P89" s="5">
        <v>0.74358972219320441</v>
      </c>
      <c r="Q89" s="6">
        <v>0</v>
      </c>
      <c r="R89" s="5">
        <v>0</v>
      </c>
      <c r="S89" s="6">
        <v>0</v>
      </c>
      <c r="T89" s="5">
        <v>0</v>
      </c>
      <c r="U89" s="4">
        <v>0</v>
      </c>
      <c r="V89" s="4">
        <v>0</v>
      </c>
      <c r="W89" s="4">
        <v>2025</v>
      </c>
    </row>
    <row r="90" spans="1:23" x14ac:dyDescent="0.25">
      <c r="A90" s="4">
        <v>0</v>
      </c>
      <c r="B90" s="4">
        <v>8</v>
      </c>
      <c r="C90" s="4">
        <v>2</v>
      </c>
      <c r="D90" s="4" t="s">
        <v>114</v>
      </c>
      <c r="E90" s="4" t="s">
        <v>29</v>
      </c>
      <c r="F90" s="4">
        <v>1.82</v>
      </c>
      <c r="G90" s="8">
        <v>3</v>
      </c>
      <c r="H90" s="8">
        <v>1.8200000524520874</v>
      </c>
      <c r="I90" s="8">
        <v>0</v>
      </c>
      <c r="J90" s="8">
        <v>0</v>
      </c>
      <c r="K90" s="8">
        <v>0</v>
      </c>
      <c r="L90" s="8">
        <v>0</v>
      </c>
      <c r="M90" s="6">
        <v>0.5</v>
      </c>
      <c r="N90" s="5">
        <v>0.27472527472527469</v>
      </c>
      <c r="O90" s="6">
        <v>0.30000001192092896</v>
      </c>
      <c r="P90" s="5">
        <v>0.16483517138512579</v>
      </c>
      <c r="Q90" s="6">
        <v>0.62000000476837158</v>
      </c>
      <c r="R90" s="5">
        <v>0.34065934327932501</v>
      </c>
      <c r="S90" s="6">
        <v>0.40000000596046448</v>
      </c>
      <c r="T90" s="5">
        <v>0.21978022305520026</v>
      </c>
      <c r="U90" s="4">
        <v>0</v>
      </c>
      <c r="V90" s="4">
        <v>0</v>
      </c>
      <c r="W90" s="4">
        <v>2025</v>
      </c>
    </row>
    <row r="91" spans="1:23" x14ac:dyDescent="0.25">
      <c r="A91" s="4">
        <v>0</v>
      </c>
      <c r="B91" s="4">
        <v>8</v>
      </c>
      <c r="C91" s="4">
        <v>3</v>
      </c>
      <c r="D91" s="4" t="s">
        <v>115</v>
      </c>
      <c r="E91" s="4" t="s">
        <v>29</v>
      </c>
      <c r="F91" s="4">
        <v>1.28</v>
      </c>
      <c r="G91" s="8">
        <v>3</v>
      </c>
      <c r="H91" s="8">
        <v>0</v>
      </c>
      <c r="I91" s="8">
        <v>0</v>
      </c>
      <c r="J91" s="8">
        <v>0.87999999523162842</v>
      </c>
      <c r="K91" s="8">
        <v>0.40000000596046448</v>
      </c>
      <c r="L91" s="8">
        <v>0</v>
      </c>
      <c r="M91" s="6">
        <v>0.40000000596046448</v>
      </c>
      <c r="N91" s="5">
        <v>0.31250000465661287</v>
      </c>
      <c r="O91" s="6">
        <v>0</v>
      </c>
      <c r="P91" s="5">
        <v>0</v>
      </c>
      <c r="Q91" s="6">
        <v>0</v>
      </c>
      <c r="R91" s="5">
        <v>0</v>
      </c>
      <c r="S91" s="6">
        <v>0.87999999523162842</v>
      </c>
      <c r="T91" s="5">
        <v>0.6874999962747097</v>
      </c>
      <c r="U91" s="4">
        <v>0</v>
      </c>
      <c r="V91" s="4">
        <v>0</v>
      </c>
      <c r="W91" s="4">
        <v>2025</v>
      </c>
    </row>
    <row r="92" spans="1:23" x14ac:dyDescent="0.25">
      <c r="A92" s="4">
        <v>0</v>
      </c>
      <c r="B92" s="4">
        <v>8</v>
      </c>
      <c r="C92" s="4">
        <v>4</v>
      </c>
      <c r="D92" s="4" t="s">
        <v>116</v>
      </c>
      <c r="E92" s="4" t="s">
        <v>117</v>
      </c>
      <c r="F92" s="4">
        <v>0.1</v>
      </c>
      <c r="G92" s="8">
        <v>10</v>
      </c>
      <c r="H92" s="8">
        <v>0.10000000149011612</v>
      </c>
      <c r="I92" s="8">
        <v>0</v>
      </c>
      <c r="J92" s="8">
        <v>0</v>
      </c>
      <c r="K92" s="8">
        <v>0</v>
      </c>
      <c r="L92" s="8">
        <v>0</v>
      </c>
      <c r="M92" s="6">
        <v>0</v>
      </c>
      <c r="N92" s="5">
        <v>0</v>
      </c>
      <c r="O92" s="6">
        <v>0.10000000149011612</v>
      </c>
      <c r="P92" s="5">
        <v>1.0000000149011612</v>
      </c>
      <c r="Q92" s="6">
        <v>0</v>
      </c>
      <c r="R92" s="5">
        <v>0</v>
      </c>
      <c r="S92" s="6">
        <v>0</v>
      </c>
      <c r="T92" s="5">
        <v>0</v>
      </c>
      <c r="U92" s="4">
        <v>0</v>
      </c>
      <c r="V92" s="4">
        <v>0</v>
      </c>
      <c r="W92" s="4">
        <v>2025</v>
      </c>
    </row>
    <row r="93" spans="1:23" x14ac:dyDescent="0.25">
      <c r="A93" s="4">
        <v>0</v>
      </c>
      <c r="B93" s="4">
        <v>8</v>
      </c>
      <c r="C93" s="4">
        <v>5</v>
      </c>
      <c r="D93" s="4" t="s">
        <v>118</v>
      </c>
      <c r="E93" s="4" t="s">
        <v>117</v>
      </c>
      <c r="F93" s="4">
        <v>4.97</v>
      </c>
      <c r="G93" s="8">
        <v>3.5</v>
      </c>
      <c r="H93" s="8">
        <v>4.9699997901916504</v>
      </c>
      <c r="I93" s="8">
        <v>0</v>
      </c>
      <c r="J93" s="8">
        <v>0</v>
      </c>
      <c r="K93" s="8">
        <v>0</v>
      </c>
      <c r="L93" s="8">
        <v>0</v>
      </c>
      <c r="M93" s="6">
        <v>4.4699997901916504</v>
      </c>
      <c r="N93" s="5">
        <v>0.89939633605465807</v>
      </c>
      <c r="O93" s="6">
        <v>0.5</v>
      </c>
      <c r="P93" s="5">
        <v>0.1006036217303823</v>
      </c>
      <c r="Q93" s="6">
        <v>0</v>
      </c>
      <c r="R93" s="5">
        <v>0</v>
      </c>
      <c r="S93" s="6">
        <v>0</v>
      </c>
      <c r="T93" s="5">
        <v>0</v>
      </c>
      <c r="U93" s="4">
        <v>0</v>
      </c>
      <c r="V93" s="4">
        <v>0</v>
      </c>
      <c r="W93" s="4">
        <v>2025</v>
      </c>
    </row>
    <row r="94" spans="1:23" x14ac:dyDescent="0.25">
      <c r="A94" s="4">
        <v>0</v>
      </c>
      <c r="B94" s="4">
        <v>8</v>
      </c>
      <c r="C94" s="4">
        <v>6</v>
      </c>
      <c r="D94" s="4" t="s">
        <v>119</v>
      </c>
      <c r="E94" s="4" t="s">
        <v>117</v>
      </c>
      <c r="F94" s="4">
        <v>0.9</v>
      </c>
      <c r="G94" s="8">
        <v>3</v>
      </c>
      <c r="H94" s="8">
        <v>0.89999997615814209</v>
      </c>
      <c r="I94" s="8">
        <v>0</v>
      </c>
      <c r="J94" s="8">
        <v>0</v>
      </c>
      <c r="K94" s="8">
        <v>0</v>
      </c>
      <c r="L94" s="8">
        <v>0</v>
      </c>
      <c r="M94" s="6">
        <v>0</v>
      </c>
      <c r="N94" s="5">
        <v>0</v>
      </c>
      <c r="O94" s="6">
        <v>0.80000001192092896</v>
      </c>
      <c r="P94" s="5">
        <v>0.88888890213436544</v>
      </c>
      <c r="Q94" s="6">
        <v>0.10000000149011612</v>
      </c>
      <c r="R94" s="5">
        <v>0.11111111276679568</v>
      </c>
      <c r="S94" s="6">
        <v>0</v>
      </c>
      <c r="T94" s="5">
        <v>0</v>
      </c>
      <c r="U94" s="4">
        <v>0</v>
      </c>
      <c r="V94" s="4">
        <v>0</v>
      </c>
      <c r="W94" s="4">
        <v>2025</v>
      </c>
    </row>
    <row r="95" spans="1:23" x14ac:dyDescent="0.25">
      <c r="A95" s="4">
        <v>0</v>
      </c>
      <c r="B95" s="4">
        <v>8</v>
      </c>
      <c r="C95" s="4">
        <v>7</v>
      </c>
      <c r="D95" s="4" t="s">
        <v>120</v>
      </c>
      <c r="E95" s="4" t="s">
        <v>117</v>
      </c>
      <c r="F95" s="4">
        <v>7.3</v>
      </c>
      <c r="G95" s="8">
        <v>3</v>
      </c>
      <c r="H95" s="8">
        <v>7.3000001907348633</v>
      </c>
      <c r="I95" s="8">
        <v>0</v>
      </c>
      <c r="J95" s="8">
        <v>0</v>
      </c>
      <c r="K95" s="8">
        <v>0</v>
      </c>
      <c r="L95" s="8">
        <v>0</v>
      </c>
      <c r="M95" s="6">
        <v>0</v>
      </c>
      <c r="N95" s="5">
        <v>0</v>
      </c>
      <c r="O95" s="6">
        <v>7</v>
      </c>
      <c r="P95" s="5">
        <v>0.95890410958904115</v>
      </c>
      <c r="Q95" s="6">
        <v>0.30000001192092896</v>
      </c>
      <c r="R95" s="5">
        <v>4.109589204396287E-2</v>
      </c>
      <c r="S95" s="6">
        <v>0</v>
      </c>
      <c r="T95" s="5">
        <v>0</v>
      </c>
      <c r="U95" s="4">
        <v>0</v>
      </c>
      <c r="V95" s="4">
        <v>0</v>
      </c>
      <c r="W95" s="4">
        <v>2025</v>
      </c>
    </row>
    <row r="96" spans="1:23" x14ac:dyDescent="0.25">
      <c r="A96" s="4">
        <v>0</v>
      </c>
      <c r="B96" s="4">
        <v>8</v>
      </c>
      <c r="C96" s="4">
        <v>8</v>
      </c>
      <c r="D96" s="4" t="s">
        <v>121</v>
      </c>
      <c r="E96" s="4" t="s">
        <v>117</v>
      </c>
      <c r="F96" s="4">
        <v>2.62</v>
      </c>
      <c r="G96" s="8">
        <v>3</v>
      </c>
      <c r="H96" s="8">
        <v>2.619999885559082</v>
      </c>
      <c r="I96" s="8">
        <v>0</v>
      </c>
      <c r="J96" s="8">
        <v>0</v>
      </c>
      <c r="K96" s="8">
        <v>0</v>
      </c>
      <c r="L96" s="8">
        <v>0</v>
      </c>
      <c r="M96" s="6">
        <v>0</v>
      </c>
      <c r="N96" s="5">
        <v>0</v>
      </c>
      <c r="O96" s="6">
        <v>0.31999999284744263</v>
      </c>
      <c r="P96" s="5">
        <v>0.12213740185016894</v>
      </c>
      <c r="Q96" s="6">
        <v>0.69999998807907104</v>
      </c>
      <c r="R96" s="5">
        <v>0.26717556796911107</v>
      </c>
      <c r="S96" s="6">
        <v>1.6000000238418579</v>
      </c>
      <c r="T96" s="5">
        <v>0.61068703200070906</v>
      </c>
      <c r="U96" s="4">
        <v>0</v>
      </c>
      <c r="V96" s="4">
        <v>0</v>
      </c>
      <c r="W96" s="4">
        <v>2025</v>
      </c>
    </row>
    <row r="97" spans="1:23" x14ac:dyDescent="0.25">
      <c r="A97" s="4">
        <v>0</v>
      </c>
      <c r="B97" s="4">
        <v>8</v>
      </c>
      <c r="C97" s="4">
        <v>9</v>
      </c>
      <c r="D97" s="4" t="s">
        <v>122</v>
      </c>
      <c r="E97" s="4" t="s">
        <v>117</v>
      </c>
      <c r="F97" s="4">
        <v>2.37</v>
      </c>
      <c r="G97" s="8">
        <v>3</v>
      </c>
      <c r="H97" s="8">
        <v>2.369999885559082</v>
      </c>
      <c r="I97" s="8">
        <v>0</v>
      </c>
      <c r="J97" s="8">
        <v>0</v>
      </c>
      <c r="K97" s="8">
        <v>0</v>
      </c>
      <c r="L97" s="8">
        <v>0</v>
      </c>
      <c r="M97" s="6">
        <v>0</v>
      </c>
      <c r="N97" s="5">
        <v>0</v>
      </c>
      <c r="O97" s="6">
        <v>0.56999999284744263</v>
      </c>
      <c r="P97" s="5">
        <v>0.24050632609596734</v>
      </c>
      <c r="Q97" s="6">
        <v>1.7999999523162842</v>
      </c>
      <c r="R97" s="5">
        <v>0.75949365076636455</v>
      </c>
      <c r="S97" s="6">
        <v>0</v>
      </c>
      <c r="T97" s="5">
        <v>0</v>
      </c>
      <c r="U97" s="4">
        <v>0</v>
      </c>
      <c r="V97" s="4">
        <v>0</v>
      </c>
      <c r="W97" s="4">
        <v>2025</v>
      </c>
    </row>
    <row r="98" spans="1:23" x14ac:dyDescent="0.25">
      <c r="A98" s="4">
        <v>0</v>
      </c>
      <c r="B98" s="4">
        <v>9</v>
      </c>
      <c r="C98" s="4">
        <v>0</v>
      </c>
      <c r="D98" s="4" t="s">
        <v>123</v>
      </c>
      <c r="E98" s="4" t="s">
        <v>117</v>
      </c>
      <c r="F98" s="4">
        <v>4.12</v>
      </c>
      <c r="G98" s="8">
        <v>3.5</v>
      </c>
      <c r="H98" s="8">
        <v>4.119999885559082</v>
      </c>
      <c r="I98" s="8">
        <v>0</v>
      </c>
      <c r="J98" s="8">
        <v>0</v>
      </c>
      <c r="K98" s="8">
        <v>0</v>
      </c>
      <c r="L98" s="8">
        <v>0</v>
      </c>
      <c r="M98" s="6">
        <v>0.20000000298023224</v>
      </c>
      <c r="N98" s="5">
        <v>4.8543690043745688E-2</v>
      </c>
      <c r="O98" s="6">
        <v>2.0999999046325684</v>
      </c>
      <c r="P98" s="5">
        <v>0.50970871471664281</v>
      </c>
      <c r="Q98" s="6">
        <v>1.0199999809265137</v>
      </c>
      <c r="R98" s="5">
        <v>0.2475728109044936</v>
      </c>
      <c r="S98" s="6">
        <v>0.80000001192092896</v>
      </c>
      <c r="T98" s="5">
        <v>0.19417476017498275</v>
      </c>
      <c r="U98" s="4">
        <v>0</v>
      </c>
      <c r="V98" s="4">
        <v>0</v>
      </c>
      <c r="W98" s="4">
        <v>2025</v>
      </c>
    </row>
    <row r="99" spans="1:23" x14ac:dyDescent="0.25">
      <c r="A99" s="4">
        <v>0</v>
      </c>
      <c r="B99" s="4">
        <v>9</v>
      </c>
      <c r="C99" s="4">
        <v>1</v>
      </c>
      <c r="D99" s="4" t="s">
        <v>124</v>
      </c>
      <c r="E99" s="4" t="s">
        <v>117</v>
      </c>
      <c r="F99" s="4">
        <v>2.1800000000000002</v>
      </c>
      <c r="G99" s="8">
        <v>3</v>
      </c>
      <c r="H99" s="8">
        <v>2.1800000667572021</v>
      </c>
      <c r="I99" s="8">
        <v>0</v>
      </c>
      <c r="J99" s="8">
        <v>0</v>
      </c>
      <c r="K99" s="8">
        <v>0</v>
      </c>
      <c r="L99" s="8">
        <v>0</v>
      </c>
      <c r="M99" s="6">
        <v>0</v>
      </c>
      <c r="N99" s="5">
        <v>0</v>
      </c>
      <c r="O99" s="6">
        <v>1.6799999475479126</v>
      </c>
      <c r="P99" s="5">
        <v>0.7706421777742718</v>
      </c>
      <c r="Q99" s="6">
        <v>0.5</v>
      </c>
      <c r="R99" s="5">
        <v>0.2293577981651376</v>
      </c>
      <c r="S99" s="6">
        <v>0</v>
      </c>
      <c r="T99" s="5">
        <v>0</v>
      </c>
      <c r="U99" s="4">
        <v>0</v>
      </c>
      <c r="V99" s="4">
        <v>0</v>
      </c>
      <c r="W99" s="4">
        <v>2025</v>
      </c>
    </row>
    <row r="100" spans="1:23" x14ac:dyDescent="0.25">
      <c r="A100" s="4">
        <v>0</v>
      </c>
      <c r="B100" s="4">
        <v>9</v>
      </c>
      <c r="C100" s="4">
        <v>2</v>
      </c>
      <c r="D100" s="4" t="s">
        <v>125</v>
      </c>
      <c r="E100" s="4" t="s">
        <v>117</v>
      </c>
      <c r="F100" s="4">
        <v>1.51</v>
      </c>
      <c r="G100" s="8">
        <v>3</v>
      </c>
      <c r="H100" s="8">
        <v>1.5099999904632568</v>
      </c>
      <c r="I100" s="8">
        <v>0</v>
      </c>
      <c r="J100" s="8">
        <v>0</v>
      </c>
      <c r="K100" s="8">
        <v>0</v>
      </c>
      <c r="L100" s="8">
        <v>0</v>
      </c>
      <c r="M100" s="6">
        <v>0</v>
      </c>
      <c r="N100" s="5">
        <v>0</v>
      </c>
      <c r="O100" s="6">
        <v>1.2000000476837158</v>
      </c>
      <c r="P100" s="5">
        <v>0.79470201833358667</v>
      </c>
      <c r="Q100" s="6">
        <v>0.31000000238418579</v>
      </c>
      <c r="R100" s="5">
        <v>0.20529801482396409</v>
      </c>
      <c r="S100" s="6">
        <v>0</v>
      </c>
      <c r="T100" s="5">
        <v>0</v>
      </c>
      <c r="U100" s="4">
        <v>0</v>
      </c>
      <c r="V100" s="4">
        <v>0</v>
      </c>
      <c r="W100" s="4">
        <v>2025</v>
      </c>
    </row>
    <row r="101" spans="1:23" x14ac:dyDescent="0.25">
      <c r="A101" s="4">
        <v>0</v>
      </c>
      <c r="B101" s="4">
        <v>9</v>
      </c>
      <c r="C101" s="4">
        <v>3</v>
      </c>
      <c r="D101" s="4" t="s">
        <v>126</v>
      </c>
      <c r="E101" s="4" t="s">
        <v>117</v>
      </c>
      <c r="F101" s="4">
        <v>5.65</v>
      </c>
      <c r="G101" s="8">
        <v>3</v>
      </c>
      <c r="H101" s="8">
        <v>5.6500000953674316</v>
      </c>
      <c r="I101" s="8">
        <v>0</v>
      </c>
      <c r="J101" s="8">
        <v>0</v>
      </c>
      <c r="K101" s="8">
        <v>0</v>
      </c>
      <c r="L101" s="8">
        <v>0</v>
      </c>
      <c r="M101" s="6">
        <v>2.8499999046325684</v>
      </c>
      <c r="N101" s="5">
        <v>0.50442476188187046</v>
      </c>
      <c r="O101" s="6">
        <v>2.7999999523162842</v>
      </c>
      <c r="P101" s="5">
        <v>0.4955752127993423</v>
      </c>
      <c r="Q101" s="6">
        <v>0</v>
      </c>
      <c r="R101" s="5">
        <v>0</v>
      </c>
      <c r="S101" s="6">
        <v>0</v>
      </c>
      <c r="T101" s="5">
        <v>0</v>
      </c>
      <c r="U101" s="4">
        <v>0</v>
      </c>
      <c r="V101" s="4">
        <v>0</v>
      </c>
      <c r="W101" s="4">
        <v>2025</v>
      </c>
    </row>
    <row r="102" spans="1:23" x14ac:dyDescent="0.25">
      <c r="A102" s="4">
        <v>0</v>
      </c>
      <c r="B102" s="4">
        <v>9</v>
      </c>
      <c r="C102" s="4">
        <v>4</v>
      </c>
      <c r="D102" s="4" t="s">
        <v>127</v>
      </c>
      <c r="E102" s="4" t="s">
        <v>128</v>
      </c>
      <c r="F102" s="4">
        <v>5.17</v>
      </c>
      <c r="G102" s="8">
        <v>5</v>
      </c>
      <c r="H102" s="8">
        <v>5.1700000762939453</v>
      </c>
      <c r="I102" s="8">
        <v>0</v>
      </c>
      <c r="J102" s="8">
        <v>0</v>
      </c>
      <c r="K102" s="8">
        <v>0</v>
      </c>
      <c r="L102" s="8">
        <v>0</v>
      </c>
      <c r="M102" s="6">
        <v>5.1700000762939453</v>
      </c>
      <c r="N102" s="5">
        <v>1.0000000147570494</v>
      </c>
      <c r="O102" s="6">
        <v>0</v>
      </c>
      <c r="P102" s="5">
        <v>0</v>
      </c>
      <c r="Q102" s="6">
        <v>0</v>
      </c>
      <c r="R102" s="5">
        <v>0</v>
      </c>
      <c r="S102" s="6">
        <v>0</v>
      </c>
      <c r="T102" s="5">
        <v>0</v>
      </c>
      <c r="U102" s="4">
        <v>0</v>
      </c>
      <c r="V102" s="4">
        <v>0</v>
      </c>
      <c r="W102" s="4">
        <v>2025</v>
      </c>
    </row>
    <row r="103" spans="1:23" x14ac:dyDescent="0.25">
      <c r="A103" s="4">
        <v>0</v>
      </c>
      <c r="B103" s="4">
        <v>9</v>
      </c>
      <c r="C103" s="4">
        <v>5</v>
      </c>
      <c r="D103" s="4" t="s">
        <v>129</v>
      </c>
      <c r="E103" s="4" t="s">
        <v>128</v>
      </c>
      <c r="F103" s="4">
        <v>6.35</v>
      </c>
      <c r="G103" s="8">
        <v>3.619999885559082</v>
      </c>
      <c r="H103" s="8">
        <v>6.0999999046325684</v>
      </c>
      <c r="I103" s="8">
        <v>0</v>
      </c>
      <c r="J103" s="8">
        <v>0</v>
      </c>
      <c r="K103" s="8">
        <v>0.25</v>
      </c>
      <c r="L103" s="8">
        <v>0</v>
      </c>
      <c r="M103" s="6">
        <v>0.60000002384185791</v>
      </c>
      <c r="N103" s="5">
        <v>9.4488192731001244E-2</v>
      </c>
      <c r="O103" s="6">
        <v>3.2999999523162842</v>
      </c>
      <c r="P103" s="5">
        <v>0.51968503186083215</v>
      </c>
      <c r="Q103" s="6">
        <v>0.40000000596046448</v>
      </c>
      <c r="R103" s="5">
        <v>6.2992126922907801E-2</v>
      </c>
      <c r="S103" s="6">
        <v>2.0499999523162842</v>
      </c>
      <c r="T103" s="5">
        <v>0.32283463816004476</v>
      </c>
      <c r="U103" s="4">
        <v>0</v>
      </c>
      <c r="V103" s="4">
        <v>0</v>
      </c>
      <c r="W103" s="4">
        <v>2025</v>
      </c>
    </row>
    <row r="104" spans="1:23" x14ac:dyDescent="0.25">
      <c r="A104" s="4">
        <v>0</v>
      </c>
      <c r="B104" s="4">
        <v>9</v>
      </c>
      <c r="C104" s="4">
        <v>6</v>
      </c>
      <c r="D104" s="4" t="s">
        <v>130</v>
      </c>
      <c r="E104" s="4" t="s">
        <v>131</v>
      </c>
      <c r="F104" s="4">
        <v>3.77</v>
      </c>
      <c r="G104" s="8">
        <v>3</v>
      </c>
      <c r="H104" s="8">
        <v>3.7699999809265137</v>
      </c>
      <c r="I104" s="8">
        <v>0</v>
      </c>
      <c r="J104" s="8">
        <v>0</v>
      </c>
      <c r="K104" s="8">
        <v>0</v>
      </c>
      <c r="L104" s="8">
        <v>0</v>
      </c>
      <c r="M104" s="6">
        <v>0</v>
      </c>
      <c r="N104" s="5">
        <v>0</v>
      </c>
      <c r="O104" s="6">
        <v>2.5699999332427979</v>
      </c>
      <c r="P104" s="5">
        <v>0.6816975950246148</v>
      </c>
      <c r="Q104" s="6">
        <v>1.1000000238418579</v>
      </c>
      <c r="R104" s="5">
        <v>0.29177719465301272</v>
      </c>
      <c r="S104" s="6">
        <v>0.10000000149011612</v>
      </c>
      <c r="T104" s="5">
        <v>2.6525199334248309E-2</v>
      </c>
      <c r="U104" s="4">
        <v>0</v>
      </c>
      <c r="V104" s="4">
        <v>0</v>
      </c>
      <c r="W104" s="4">
        <v>2025</v>
      </c>
    </row>
    <row r="105" spans="1:23" x14ac:dyDescent="0.25">
      <c r="A105" s="4">
        <v>0</v>
      </c>
      <c r="B105" s="4">
        <v>9</v>
      </c>
      <c r="C105" s="4">
        <v>7</v>
      </c>
      <c r="D105" s="4" t="s">
        <v>132</v>
      </c>
      <c r="E105" s="4" t="s">
        <v>117</v>
      </c>
      <c r="F105" s="4">
        <v>0.83</v>
      </c>
      <c r="G105" s="8">
        <v>2</v>
      </c>
      <c r="H105" s="8">
        <v>0.60000002384185791</v>
      </c>
      <c r="I105" s="8">
        <v>0</v>
      </c>
      <c r="J105" s="8">
        <v>0.23000000417232513</v>
      </c>
      <c r="K105" s="8">
        <v>0</v>
      </c>
      <c r="L105" s="8">
        <v>0</v>
      </c>
      <c r="M105" s="6">
        <v>0.20000000298023224</v>
      </c>
      <c r="N105" s="5">
        <v>0.240963859012328</v>
      </c>
      <c r="O105" s="6">
        <v>2.9999999329447746E-2</v>
      </c>
      <c r="P105" s="5">
        <v>3.6144577505358731E-2</v>
      </c>
      <c r="Q105" s="6">
        <v>0</v>
      </c>
      <c r="R105" s="5">
        <v>0</v>
      </c>
      <c r="S105" s="6">
        <v>0.60000002384185791</v>
      </c>
      <c r="T105" s="5">
        <v>0.72289159499019029</v>
      </c>
      <c r="U105" s="4">
        <v>0</v>
      </c>
      <c r="V105" s="4">
        <v>0</v>
      </c>
      <c r="W105" s="4">
        <v>2025</v>
      </c>
    </row>
    <row r="106" spans="1:23" x14ac:dyDescent="0.25">
      <c r="A106" s="4">
        <v>0</v>
      </c>
      <c r="B106" s="4">
        <v>9</v>
      </c>
      <c r="C106" s="4">
        <v>8</v>
      </c>
      <c r="D106" s="4" t="s">
        <v>133</v>
      </c>
      <c r="E106" s="4" t="s">
        <v>117</v>
      </c>
      <c r="F106" s="4">
        <v>0.78</v>
      </c>
      <c r="G106" s="8">
        <v>3.5</v>
      </c>
      <c r="H106" s="8">
        <v>0.77999997138977051</v>
      </c>
      <c r="I106" s="8">
        <v>0</v>
      </c>
      <c r="J106" s="8">
        <v>0</v>
      </c>
      <c r="K106" s="8">
        <v>0</v>
      </c>
      <c r="L106" s="8">
        <v>0</v>
      </c>
      <c r="M106" s="6">
        <v>0.77999997138977051</v>
      </c>
      <c r="N106" s="5">
        <v>0.99999996332021857</v>
      </c>
      <c r="O106" s="6">
        <v>0</v>
      </c>
      <c r="P106" s="5">
        <v>0</v>
      </c>
      <c r="Q106" s="6">
        <v>0</v>
      </c>
      <c r="R106" s="5">
        <v>0</v>
      </c>
      <c r="S106" s="6">
        <v>0</v>
      </c>
      <c r="T106" s="5">
        <v>0</v>
      </c>
      <c r="U106" s="4">
        <v>0</v>
      </c>
      <c r="V106" s="4">
        <v>0</v>
      </c>
      <c r="W106" s="4">
        <v>2025</v>
      </c>
    </row>
    <row r="107" spans="1:23" x14ac:dyDescent="0.25">
      <c r="A107" s="4">
        <v>0</v>
      </c>
      <c r="B107" s="4">
        <v>9</v>
      </c>
      <c r="C107" s="4">
        <v>9</v>
      </c>
      <c r="D107" s="4" t="s">
        <v>134</v>
      </c>
      <c r="E107" s="4" t="s">
        <v>117</v>
      </c>
      <c r="F107" s="4">
        <v>3.69</v>
      </c>
      <c r="G107" s="8">
        <v>3.5</v>
      </c>
      <c r="H107" s="8">
        <v>2.7000000476837158</v>
      </c>
      <c r="I107" s="8">
        <v>0</v>
      </c>
      <c r="J107" s="8">
        <v>0</v>
      </c>
      <c r="K107" s="8">
        <v>0.99000000953674316</v>
      </c>
      <c r="L107" s="8">
        <v>0</v>
      </c>
      <c r="M107" s="6">
        <v>0</v>
      </c>
      <c r="N107" s="5">
        <v>0</v>
      </c>
      <c r="O107" s="6">
        <v>0.89999997615814209</v>
      </c>
      <c r="P107" s="5">
        <v>0.24390243256318214</v>
      </c>
      <c r="Q107" s="6">
        <v>1.5</v>
      </c>
      <c r="R107" s="5">
        <v>0.4065040650406504</v>
      </c>
      <c r="S107" s="6">
        <v>1.2900000214576721</v>
      </c>
      <c r="T107" s="5">
        <v>0.34959350175004666</v>
      </c>
      <c r="U107" s="4">
        <v>0</v>
      </c>
      <c r="V107" s="4">
        <v>0</v>
      </c>
      <c r="W107" s="4">
        <v>2025</v>
      </c>
    </row>
    <row r="108" spans="1:23" x14ac:dyDescent="0.25">
      <c r="A108" s="4">
        <v>1</v>
      </c>
      <c r="B108" s="4">
        <v>0</v>
      </c>
      <c r="C108" s="4">
        <v>0</v>
      </c>
      <c r="D108" s="4" t="s">
        <v>135</v>
      </c>
      <c r="E108" s="4" t="s">
        <v>117</v>
      </c>
      <c r="F108" s="4">
        <v>0.68</v>
      </c>
      <c r="G108" s="8">
        <v>3.5</v>
      </c>
      <c r="H108" s="8">
        <v>0.68000000715255737</v>
      </c>
      <c r="I108" s="8">
        <v>0</v>
      </c>
      <c r="J108" s="8">
        <v>0</v>
      </c>
      <c r="K108" s="8">
        <v>0</v>
      </c>
      <c r="L108" s="8">
        <v>0</v>
      </c>
      <c r="M108" s="6">
        <v>7.9999998211860657E-2</v>
      </c>
      <c r="N108" s="5">
        <v>0.11764705619391272</v>
      </c>
      <c r="O108" s="6">
        <v>0.40000000596046448</v>
      </c>
      <c r="P108" s="5">
        <v>0.58823530288303594</v>
      </c>
      <c r="Q108" s="6">
        <v>0.10000000149011612</v>
      </c>
      <c r="R108" s="5">
        <v>0.14705882572075898</v>
      </c>
      <c r="S108" s="6">
        <v>0.10000000149011612</v>
      </c>
      <c r="T108" s="5">
        <v>0.14705882572075898</v>
      </c>
      <c r="U108" s="4">
        <v>0</v>
      </c>
      <c r="V108" s="4">
        <v>0</v>
      </c>
      <c r="W108" s="4">
        <v>2025</v>
      </c>
    </row>
    <row r="109" spans="1:23" x14ac:dyDescent="0.25">
      <c r="A109" s="4">
        <v>1</v>
      </c>
      <c r="B109" s="4">
        <v>0</v>
      </c>
      <c r="C109" s="4">
        <v>1</v>
      </c>
      <c r="D109" s="4" t="s">
        <v>136</v>
      </c>
      <c r="E109" s="4" t="s">
        <v>117</v>
      </c>
      <c r="F109" s="4">
        <v>2.2200000000000002</v>
      </c>
      <c r="G109" s="8">
        <v>3.5</v>
      </c>
      <c r="H109" s="8">
        <v>2.2200000286102295</v>
      </c>
      <c r="I109" s="8">
        <v>0</v>
      </c>
      <c r="J109" s="8">
        <v>0</v>
      </c>
      <c r="K109" s="8">
        <v>0</v>
      </c>
      <c r="L109" s="8">
        <v>0</v>
      </c>
      <c r="M109" s="6">
        <v>1.6000000238418579</v>
      </c>
      <c r="N109" s="5">
        <v>0.72072073146029625</v>
      </c>
      <c r="O109" s="6">
        <v>0.62000000476837158</v>
      </c>
      <c r="P109" s="5">
        <v>0.27927928142719438</v>
      </c>
      <c r="Q109" s="6">
        <v>0</v>
      </c>
      <c r="R109" s="5">
        <v>0</v>
      </c>
      <c r="S109" s="6">
        <v>0</v>
      </c>
      <c r="T109" s="5">
        <v>0</v>
      </c>
      <c r="U109" s="4">
        <v>0</v>
      </c>
      <c r="V109" s="4">
        <v>0</v>
      </c>
      <c r="W109" s="4">
        <v>2025</v>
      </c>
    </row>
    <row r="110" spans="1:23" x14ac:dyDescent="0.25">
      <c r="A110" s="4">
        <v>1</v>
      </c>
      <c r="B110" s="4">
        <v>0</v>
      </c>
      <c r="C110" s="4">
        <v>2</v>
      </c>
      <c r="D110" s="4" t="s">
        <v>137</v>
      </c>
      <c r="E110" s="4" t="s">
        <v>117</v>
      </c>
      <c r="F110" s="4">
        <v>4.9400000000000004</v>
      </c>
      <c r="G110" s="8">
        <v>5</v>
      </c>
      <c r="H110" s="8">
        <v>4.940000057220459</v>
      </c>
      <c r="I110" s="8">
        <v>0</v>
      </c>
      <c r="J110" s="8">
        <v>0</v>
      </c>
      <c r="K110" s="8">
        <v>0</v>
      </c>
      <c r="L110" s="8">
        <v>0</v>
      </c>
      <c r="M110" s="6">
        <v>0.14000000059604645</v>
      </c>
      <c r="N110" s="5">
        <v>2.8340081092317091E-2</v>
      </c>
      <c r="O110" s="6">
        <v>1.8999999761581421</v>
      </c>
      <c r="P110" s="5">
        <v>0.38461537978909754</v>
      </c>
      <c r="Q110" s="6">
        <v>2.5999999046325684</v>
      </c>
      <c r="R110" s="5">
        <v>0.52631577016853603</v>
      </c>
      <c r="S110" s="6">
        <v>0.30000001192092896</v>
      </c>
      <c r="T110" s="5">
        <v>6.0728747352414764E-2</v>
      </c>
      <c r="U110" s="4">
        <v>0</v>
      </c>
      <c r="V110" s="4">
        <v>0</v>
      </c>
      <c r="W110" s="4">
        <v>2025</v>
      </c>
    </row>
    <row r="111" spans="1:23" x14ac:dyDescent="0.25">
      <c r="A111" s="4">
        <v>1</v>
      </c>
      <c r="B111" s="4">
        <v>0</v>
      </c>
      <c r="C111" s="4">
        <v>3</v>
      </c>
      <c r="D111" s="4" t="s">
        <v>138</v>
      </c>
      <c r="E111" s="4" t="s">
        <v>117</v>
      </c>
      <c r="F111" s="4">
        <v>1.9</v>
      </c>
      <c r="G111" s="8">
        <v>3</v>
      </c>
      <c r="H111" s="8">
        <v>1.8999999761581421</v>
      </c>
      <c r="I111" s="8">
        <v>0</v>
      </c>
      <c r="J111" s="8">
        <v>0</v>
      </c>
      <c r="K111" s="8">
        <v>0</v>
      </c>
      <c r="L111" s="8">
        <v>0</v>
      </c>
      <c r="M111" s="6">
        <v>0</v>
      </c>
      <c r="N111" s="5">
        <v>0</v>
      </c>
      <c r="O111" s="6">
        <v>0.89999997615814209</v>
      </c>
      <c r="P111" s="5">
        <v>0.47368419797796957</v>
      </c>
      <c r="Q111" s="6">
        <v>0.30000001192092896</v>
      </c>
      <c r="R111" s="5">
        <v>0.15789474311627841</v>
      </c>
      <c r="S111" s="6">
        <v>0.69999998807907104</v>
      </c>
      <c r="T111" s="5">
        <v>0.36842104635740586</v>
      </c>
      <c r="U111" s="4">
        <v>0</v>
      </c>
      <c r="V111" s="4">
        <v>0</v>
      </c>
      <c r="W111" s="4">
        <v>2025</v>
      </c>
    </row>
    <row r="112" spans="1:23" x14ac:dyDescent="0.25">
      <c r="A112" s="4">
        <v>1</v>
      </c>
      <c r="B112" s="4">
        <v>0</v>
      </c>
      <c r="C112" s="4">
        <v>4</v>
      </c>
      <c r="D112" s="4" t="s">
        <v>139</v>
      </c>
      <c r="E112" s="4" t="s">
        <v>117</v>
      </c>
      <c r="F112" s="4">
        <v>1.59</v>
      </c>
      <c r="G112" s="8">
        <v>3</v>
      </c>
      <c r="H112" s="8">
        <v>1.5900000333786011</v>
      </c>
      <c r="I112" s="8">
        <v>0</v>
      </c>
      <c r="J112" s="8">
        <v>0</v>
      </c>
      <c r="K112" s="8">
        <v>0</v>
      </c>
      <c r="L112" s="8">
        <v>0</v>
      </c>
      <c r="M112" s="6">
        <v>0</v>
      </c>
      <c r="N112" s="5">
        <v>0</v>
      </c>
      <c r="O112" s="6">
        <v>0.10000000149011612</v>
      </c>
      <c r="P112" s="5">
        <v>6.2893082698186234E-2</v>
      </c>
      <c r="Q112" s="6">
        <v>0.5</v>
      </c>
      <c r="R112" s="5">
        <v>0.31446540880503143</v>
      </c>
      <c r="S112" s="6">
        <v>0.99000000953674316</v>
      </c>
      <c r="T112" s="5">
        <v>0.62264151543191393</v>
      </c>
      <c r="U112" s="4">
        <v>0</v>
      </c>
      <c r="V112" s="4">
        <v>0</v>
      </c>
      <c r="W112" s="4">
        <v>2025</v>
      </c>
    </row>
    <row r="113" spans="1:23" x14ac:dyDescent="0.25">
      <c r="A113" s="4">
        <v>1</v>
      </c>
      <c r="B113" s="4">
        <v>0</v>
      </c>
      <c r="C113" s="4">
        <v>5</v>
      </c>
      <c r="D113" s="4" t="s">
        <v>140</v>
      </c>
      <c r="E113" s="4" t="s">
        <v>117</v>
      </c>
      <c r="F113" s="4">
        <v>2.11</v>
      </c>
      <c r="G113" s="8">
        <v>3</v>
      </c>
      <c r="H113" s="8">
        <v>2.1099998950958252</v>
      </c>
      <c r="I113" s="8">
        <v>0</v>
      </c>
      <c r="J113" s="8">
        <v>0</v>
      </c>
      <c r="K113" s="8">
        <v>0</v>
      </c>
      <c r="L113" s="8">
        <v>0</v>
      </c>
      <c r="M113" s="6">
        <v>0.5</v>
      </c>
      <c r="N113" s="5">
        <v>0.23696682464454977</v>
      </c>
      <c r="O113" s="6">
        <v>1.1100000143051147</v>
      </c>
      <c r="P113" s="5">
        <v>0.52606635749057573</v>
      </c>
      <c r="Q113" s="6">
        <v>0.20000000298023224</v>
      </c>
      <c r="R113" s="5">
        <v>9.478673127025225E-2</v>
      </c>
      <c r="S113" s="6">
        <v>0.30000001192092896</v>
      </c>
      <c r="T113" s="5">
        <v>0.14218010043645923</v>
      </c>
      <c r="U113" s="4">
        <v>0</v>
      </c>
      <c r="V113" s="4">
        <v>0</v>
      </c>
      <c r="W113" s="4">
        <v>2025</v>
      </c>
    </row>
    <row r="114" spans="1:23" x14ac:dyDescent="0.25">
      <c r="A114" s="4">
        <v>1</v>
      </c>
      <c r="B114" s="4">
        <v>0</v>
      </c>
      <c r="C114" s="4">
        <v>6</v>
      </c>
      <c r="D114" s="4" t="s">
        <v>141</v>
      </c>
      <c r="E114" s="4" t="s">
        <v>142</v>
      </c>
      <c r="F114" s="4">
        <v>1.17</v>
      </c>
      <c r="G114" s="8">
        <v>3.5</v>
      </c>
      <c r="H114" s="8">
        <v>1.1699999570846558</v>
      </c>
      <c r="I114" s="8">
        <v>0</v>
      </c>
      <c r="J114" s="8">
        <v>0</v>
      </c>
      <c r="K114" s="8">
        <v>0</v>
      </c>
      <c r="L114" s="8">
        <v>0</v>
      </c>
      <c r="M114" s="6">
        <v>0</v>
      </c>
      <c r="N114" s="5">
        <v>0</v>
      </c>
      <c r="O114" s="6">
        <v>0.5</v>
      </c>
      <c r="P114" s="5">
        <v>0.42735042735042739</v>
      </c>
      <c r="Q114" s="6">
        <v>0.67000001668930054</v>
      </c>
      <c r="R114" s="5">
        <v>0.57264958691393208</v>
      </c>
      <c r="S114" s="6">
        <v>0</v>
      </c>
      <c r="T114" s="5">
        <v>0</v>
      </c>
      <c r="U114" s="4">
        <v>0</v>
      </c>
      <c r="V114" s="4">
        <v>0</v>
      </c>
      <c r="W114" s="4">
        <v>2025</v>
      </c>
    </row>
    <row r="115" spans="1:23" x14ac:dyDescent="0.25">
      <c r="A115" s="4">
        <v>1</v>
      </c>
      <c r="B115" s="4">
        <v>0</v>
      </c>
      <c r="C115" s="4">
        <v>7</v>
      </c>
      <c r="D115" s="4" t="s">
        <v>143</v>
      </c>
      <c r="E115" s="4" t="s">
        <v>117</v>
      </c>
      <c r="F115" s="4">
        <v>2.04</v>
      </c>
      <c r="G115" s="8">
        <v>3</v>
      </c>
      <c r="H115" s="8">
        <v>0</v>
      </c>
      <c r="I115" s="8">
        <v>0</v>
      </c>
      <c r="J115" s="8">
        <v>0</v>
      </c>
      <c r="K115" s="8">
        <v>2.0399999618530273</v>
      </c>
      <c r="L115" s="8">
        <v>0</v>
      </c>
      <c r="M115" s="6">
        <v>0</v>
      </c>
      <c r="N115" s="5">
        <v>0</v>
      </c>
      <c r="O115" s="6">
        <v>0</v>
      </c>
      <c r="P115" s="5">
        <v>0</v>
      </c>
      <c r="Q115" s="6">
        <v>0</v>
      </c>
      <c r="R115" s="5">
        <v>0</v>
      </c>
      <c r="S115" s="6">
        <v>2.0399999618530273</v>
      </c>
      <c r="T115" s="5">
        <v>0.9999999813005036</v>
      </c>
      <c r="U115" s="4">
        <v>0</v>
      </c>
      <c r="V115" s="4">
        <v>0</v>
      </c>
      <c r="W115" s="4">
        <v>2025</v>
      </c>
    </row>
    <row r="116" spans="1:23" x14ac:dyDescent="0.25">
      <c r="A116" s="4">
        <v>1</v>
      </c>
      <c r="B116" s="4">
        <v>0</v>
      </c>
      <c r="C116" s="4">
        <v>8</v>
      </c>
      <c r="D116" s="4" t="s">
        <v>144</v>
      </c>
      <c r="E116" s="4" t="s">
        <v>117</v>
      </c>
      <c r="F116" s="4">
        <v>0.66</v>
      </c>
      <c r="G116" s="8">
        <v>3</v>
      </c>
      <c r="H116" s="8">
        <v>0.6600000262260437</v>
      </c>
      <c r="I116" s="8">
        <v>0</v>
      </c>
      <c r="J116" s="8">
        <v>0</v>
      </c>
      <c r="K116" s="8">
        <v>0</v>
      </c>
      <c r="L116" s="8">
        <v>0</v>
      </c>
      <c r="M116" s="6">
        <v>0</v>
      </c>
      <c r="N116" s="5">
        <v>0</v>
      </c>
      <c r="O116" s="6">
        <v>0.20000000298023224</v>
      </c>
      <c r="P116" s="5">
        <v>0.3030303075458064</v>
      </c>
      <c r="Q116" s="6">
        <v>0.10000000149011612</v>
      </c>
      <c r="R116" s="5">
        <v>0.1515151537729032</v>
      </c>
      <c r="S116" s="6">
        <v>0.36000001430511475</v>
      </c>
      <c r="T116" s="5">
        <v>0.54545456712896168</v>
      </c>
      <c r="U116" s="4">
        <v>0</v>
      </c>
      <c r="V116" s="4">
        <v>0</v>
      </c>
      <c r="W116" s="4">
        <v>2025</v>
      </c>
    </row>
    <row r="117" spans="1:23" x14ac:dyDescent="0.25">
      <c r="A117" s="4">
        <v>1</v>
      </c>
      <c r="B117" s="4">
        <v>0</v>
      </c>
      <c r="C117" s="4">
        <v>9</v>
      </c>
      <c r="D117" s="4" t="s">
        <v>145</v>
      </c>
      <c r="E117" s="4" t="s">
        <v>117</v>
      </c>
      <c r="F117" s="4">
        <v>1.1100000000000001</v>
      </c>
      <c r="G117" s="8">
        <v>3</v>
      </c>
      <c r="H117" s="8">
        <v>1.1100000143051147</v>
      </c>
      <c r="I117" s="8">
        <v>0</v>
      </c>
      <c r="J117" s="8">
        <v>0</v>
      </c>
      <c r="K117" s="8">
        <v>0</v>
      </c>
      <c r="L117" s="8">
        <v>0</v>
      </c>
      <c r="M117" s="6">
        <v>0</v>
      </c>
      <c r="N117" s="5">
        <v>0</v>
      </c>
      <c r="O117" s="6">
        <v>1.1100000143051147</v>
      </c>
      <c r="P117" s="5">
        <v>1.0000000128874906</v>
      </c>
      <c r="Q117" s="6">
        <v>0</v>
      </c>
      <c r="R117" s="5">
        <v>0</v>
      </c>
      <c r="S117" s="6">
        <v>0</v>
      </c>
      <c r="T117" s="5">
        <v>0</v>
      </c>
      <c r="U117" s="4">
        <v>0</v>
      </c>
      <c r="V117" s="4">
        <v>0</v>
      </c>
      <c r="W117" s="4">
        <v>2025</v>
      </c>
    </row>
    <row r="118" spans="1:23" x14ac:dyDescent="0.25">
      <c r="A118" s="4">
        <v>1</v>
      </c>
      <c r="B118" s="4">
        <v>1</v>
      </c>
      <c r="C118" s="4">
        <v>0</v>
      </c>
      <c r="D118" s="4" t="s">
        <v>146</v>
      </c>
      <c r="E118" s="4" t="s">
        <v>117</v>
      </c>
      <c r="F118" s="4">
        <v>0.64</v>
      </c>
      <c r="G118" s="8">
        <v>3</v>
      </c>
      <c r="H118" s="8">
        <v>0.63999998569488525</v>
      </c>
      <c r="I118" s="8">
        <v>0</v>
      </c>
      <c r="J118" s="8">
        <v>0</v>
      </c>
      <c r="K118" s="8">
        <v>0</v>
      </c>
      <c r="L118" s="8">
        <v>0</v>
      </c>
      <c r="M118" s="6">
        <v>0.20000000298023224</v>
      </c>
      <c r="N118" s="5">
        <v>0.31250000465661287</v>
      </c>
      <c r="O118" s="6">
        <v>0.43999999761581421</v>
      </c>
      <c r="P118" s="5">
        <v>0.6874999962747097</v>
      </c>
      <c r="Q118" s="6">
        <v>0</v>
      </c>
      <c r="R118" s="5">
        <v>0</v>
      </c>
      <c r="S118" s="6">
        <v>0</v>
      </c>
      <c r="T118" s="5">
        <v>0</v>
      </c>
      <c r="U118" s="4">
        <v>0</v>
      </c>
      <c r="V118" s="4">
        <v>0</v>
      </c>
      <c r="W118" s="4">
        <v>2025</v>
      </c>
    </row>
    <row r="119" spans="1:23" x14ac:dyDescent="0.25">
      <c r="A119" s="4">
        <v>1</v>
      </c>
      <c r="B119" s="4">
        <v>1</v>
      </c>
      <c r="C119" s="4">
        <v>1</v>
      </c>
      <c r="D119" s="4" t="s">
        <v>147</v>
      </c>
      <c r="E119" s="4" t="s">
        <v>117</v>
      </c>
      <c r="F119" s="4">
        <v>1.96</v>
      </c>
      <c r="G119" s="8">
        <v>3.5</v>
      </c>
      <c r="H119" s="8">
        <v>1.9600000381469727</v>
      </c>
      <c r="I119" s="8">
        <v>0</v>
      </c>
      <c r="J119" s="8">
        <v>0</v>
      </c>
      <c r="K119" s="8">
        <v>0</v>
      </c>
      <c r="L119" s="8">
        <v>0</v>
      </c>
      <c r="M119" s="6">
        <v>0.60000002384185791</v>
      </c>
      <c r="N119" s="5">
        <v>0.30612246114380504</v>
      </c>
      <c r="O119" s="6">
        <v>0.80000001192092896</v>
      </c>
      <c r="P119" s="5">
        <v>0.40816327138822905</v>
      </c>
      <c r="Q119" s="6">
        <v>0.46000000834465027</v>
      </c>
      <c r="R119" s="5">
        <v>0.23469388180849504</v>
      </c>
      <c r="S119" s="6">
        <v>0.10000000149011612</v>
      </c>
      <c r="T119" s="5">
        <v>5.1020408923528632E-2</v>
      </c>
      <c r="U119" s="4">
        <v>0</v>
      </c>
      <c r="V119" s="4">
        <v>0</v>
      </c>
      <c r="W119" s="4">
        <v>2025</v>
      </c>
    </row>
    <row r="120" spans="1:23" x14ac:dyDescent="0.25">
      <c r="A120" s="4">
        <v>1</v>
      </c>
      <c r="B120" s="4">
        <v>1</v>
      </c>
      <c r="C120" s="4">
        <v>2</v>
      </c>
      <c r="D120" s="4" t="s">
        <v>148</v>
      </c>
      <c r="E120" s="4" t="s">
        <v>117</v>
      </c>
      <c r="F120" s="4">
        <v>0.79</v>
      </c>
      <c r="G120" s="8">
        <v>3.5</v>
      </c>
      <c r="H120" s="8">
        <v>0.79000002145767212</v>
      </c>
      <c r="I120" s="8">
        <v>0</v>
      </c>
      <c r="J120" s="8">
        <v>0</v>
      </c>
      <c r="K120" s="8">
        <v>0</v>
      </c>
      <c r="L120" s="8">
        <v>0</v>
      </c>
      <c r="M120" s="6">
        <v>0</v>
      </c>
      <c r="N120" s="5">
        <v>0</v>
      </c>
      <c r="O120" s="6">
        <v>0</v>
      </c>
      <c r="P120" s="5">
        <v>0</v>
      </c>
      <c r="Q120" s="6">
        <v>0.79000002145767212</v>
      </c>
      <c r="R120" s="5">
        <v>1.0000000271616103</v>
      </c>
      <c r="S120" s="6">
        <v>0</v>
      </c>
      <c r="T120" s="5">
        <v>0</v>
      </c>
      <c r="U120" s="4">
        <v>0</v>
      </c>
      <c r="V120" s="4">
        <v>0</v>
      </c>
      <c r="W120" s="4">
        <v>2025</v>
      </c>
    </row>
    <row r="121" spans="1:23" x14ac:dyDescent="0.25">
      <c r="A121" s="4">
        <v>1</v>
      </c>
      <c r="B121" s="4">
        <v>1</v>
      </c>
      <c r="C121" s="4">
        <v>3</v>
      </c>
      <c r="D121" s="4" t="s">
        <v>149</v>
      </c>
      <c r="E121" s="4" t="s">
        <v>117</v>
      </c>
      <c r="F121" s="4">
        <v>0.55000000000000004</v>
      </c>
      <c r="G121" s="8">
        <v>3.5</v>
      </c>
      <c r="H121" s="8">
        <v>0.55000001192092896</v>
      </c>
      <c r="I121" s="8">
        <v>0</v>
      </c>
      <c r="J121" s="8">
        <v>0</v>
      </c>
      <c r="K121" s="8">
        <v>0</v>
      </c>
      <c r="L121" s="8">
        <v>0</v>
      </c>
      <c r="M121" s="6">
        <v>0.44999998807907104</v>
      </c>
      <c r="N121" s="5">
        <v>0.81818179650740186</v>
      </c>
      <c r="O121" s="6">
        <v>0.10000000149011612</v>
      </c>
      <c r="P121" s="5">
        <v>0.18181818452748383</v>
      </c>
      <c r="Q121" s="6">
        <v>0</v>
      </c>
      <c r="R121" s="5">
        <v>0</v>
      </c>
      <c r="S121" s="6">
        <v>0</v>
      </c>
      <c r="T121" s="5">
        <v>0</v>
      </c>
      <c r="U121" s="4">
        <v>0</v>
      </c>
      <c r="V121" s="4">
        <v>0</v>
      </c>
      <c r="W121" s="4">
        <v>2025</v>
      </c>
    </row>
    <row r="122" spans="1:23" x14ac:dyDescent="0.25">
      <c r="A122" s="4">
        <v>1</v>
      </c>
      <c r="B122" s="4">
        <v>1</v>
      </c>
      <c r="C122" s="4">
        <v>4</v>
      </c>
      <c r="D122" s="4" t="s">
        <v>150</v>
      </c>
      <c r="E122" s="4" t="s">
        <v>117</v>
      </c>
      <c r="F122" s="4">
        <v>2.02</v>
      </c>
      <c r="G122" s="8">
        <v>3.5</v>
      </c>
      <c r="H122" s="8">
        <v>2</v>
      </c>
      <c r="I122" s="8">
        <v>0</v>
      </c>
      <c r="J122" s="8">
        <v>0</v>
      </c>
      <c r="K122" s="8">
        <v>1.9999999552965164E-2</v>
      </c>
      <c r="L122" s="8">
        <v>0</v>
      </c>
      <c r="M122" s="6">
        <v>0</v>
      </c>
      <c r="N122" s="5">
        <v>0</v>
      </c>
      <c r="O122" s="6">
        <v>2</v>
      </c>
      <c r="P122" s="5">
        <v>0.99009900990099009</v>
      </c>
      <c r="Q122" s="6">
        <v>0</v>
      </c>
      <c r="R122" s="5">
        <v>0</v>
      </c>
      <c r="S122" s="6">
        <v>1.9999999552965164E-2</v>
      </c>
      <c r="T122" s="5">
        <v>9.900989877705527E-3</v>
      </c>
      <c r="U122" s="4">
        <v>0</v>
      </c>
      <c r="V122" s="4">
        <v>0</v>
      </c>
      <c r="W122" s="4">
        <v>2025</v>
      </c>
    </row>
    <row r="123" spans="1:23" x14ac:dyDescent="0.25">
      <c r="A123" s="4">
        <v>1</v>
      </c>
      <c r="B123" s="4">
        <v>1</v>
      </c>
      <c r="C123" s="4">
        <v>5</v>
      </c>
      <c r="D123" s="4" t="s">
        <v>151</v>
      </c>
      <c r="E123" s="4" t="s">
        <v>117</v>
      </c>
      <c r="F123" s="4">
        <v>0.42</v>
      </c>
      <c r="G123" s="8">
        <v>3</v>
      </c>
      <c r="H123" s="8">
        <v>0.41999998688697815</v>
      </c>
      <c r="I123" s="8">
        <v>0</v>
      </c>
      <c r="J123" s="8">
        <v>0</v>
      </c>
      <c r="K123" s="8">
        <v>0</v>
      </c>
      <c r="L123" s="8">
        <v>0</v>
      </c>
      <c r="M123" s="6">
        <v>0.41999998688697815</v>
      </c>
      <c r="N123" s="5">
        <v>0.99999996877851949</v>
      </c>
      <c r="O123" s="6">
        <v>0</v>
      </c>
      <c r="P123" s="5">
        <v>0</v>
      </c>
      <c r="Q123" s="6">
        <v>0</v>
      </c>
      <c r="R123" s="5">
        <v>0</v>
      </c>
      <c r="S123" s="6">
        <v>0</v>
      </c>
      <c r="T123" s="5">
        <v>0</v>
      </c>
      <c r="U123" s="4">
        <v>0</v>
      </c>
      <c r="V123" s="4">
        <v>0</v>
      </c>
      <c r="W123" s="4">
        <v>2025</v>
      </c>
    </row>
    <row r="124" spans="1:23" x14ac:dyDescent="0.25">
      <c r="A124" s="4">
        <v>1</v>
      </c>
      <c r="B124" s="4">
        <v>1</v>
      </c>
      <c r="C124" s="4">
        <v>6</v>
      </c>
      <c r="D124" s="4" t="s">
        <v>152</v>
      </c>
      <c r="E124" s="4" t="s">
        <v>117</v>
      </c>
      <c r="F124" s="4">
        <v>1.7</v>
      </c>
      <c r="G124" s="8">
        <v>3</v>
      </c>
      <c r="H124" s="8">
        <v>1.7000000476837158</v>
      </c>
      <c r="I124" s="8">
        <v>0</v>
      </c>
      <c r="J124" s="8">
        <v>0</v>
      </c>
      <c r="K124" s="8">
        <v>0</v>
      </c>
      <c r="L124" s="8">
        <v>0</v>
      </c>
      <c r="M124" s="6">
        <v>0</v>
      </c>
      <c r="N124" s="5">
        <v>0</v>
      </c>
      <c r="O124" s="6">
        <v>1.5</v>
      </c>
      <c r="P124" s="5">
        <v>0.88235294117647056</v>
      </c>
      <c r="Q124" s="6">
        <v>0.20000000298023224</v>
      </c>
      <c r="R124" s="5">
        <v>0.1176470605766072</v>
      </c>
      <c r="S124" s="6">
        <v>0</v>
      </c>
      <c r="T124" s="5">
        <v>0</v>
      </c>
      <c r="U124" s="4">
        <v>0</v>
      </c>
      <c r="V124" s="4">
        <v>0</v>
      </c>
      <c r="W124" s="4">
        <v>2025</v>
      </c>
    </row>
    <row r="125" spans="1:23" x14ac:dyDescent="0.25">
      <c r="A125" s="4">
        <v>1</v>
      </c>
      <c r="B125" s="4">
        <v>1</v>
      </c>
      <c r="C125" s="4">
        <v>7</v>
      </c>
      <c r="D125" s="4" t="s">
        <v>153</v>
      </c>
      <c r="E125" s="4" t="s">
        <v>117</v>
      </c>
      <c r="F125" s="4">
        <v>0.7</v>
      </c>
      <c r="G125" s="8">
        <v>3</v>
      </c>
      <c r="H125" s="8">
        <v>0.69999998807907104</v>
      </c>
      <c r="I125" s="8">
        <v>0</v>
      </c>
      <c r="J125" s="8">
        <v>0</v>
      </c>
      <c r="K125" s="8">
        <v>0</v>
      </c>
      <c r="L125" s="8">
        <v>0</v>
      </c>
      <c r="M125" s="6">
        <v>0</v>
      </c>
      <c r="N125" s="5">
        <v>0</v>
      </c>
      <c r="O125" s="6">
        <v>0.69999998807907104</v>
      </c>
      <c r="P125" s="5">
        <v>0.99999998297010151</v>
      </c>
      <c r="Q125" s="6">
        <v>0</v>
      </c>
      <c r="R125" s="5">
        <v>0</v>
      </c>
      <c r="S125" s="6">
        <v>0</v>
      </c>
      <c r="T125" s="5">
        <v>0</v>
      </c>
      <c r="U125" s="4">
        <v>0</v>
      </c>
      <c r="V125" s="4">
        <v>0</v>
      </c>
      <c r="W125" s="4">
        <v>2025</v>
      </c>
    </row>
    <row r="126" spans="1:23" x14ac:dyDescent="0.25">
      <c r="A126" s="4">
        <v>1</v>
      </c>
      <c r="B126" s="4">
        <v>1</v>
      </c>
      <c r="C126" s="4">
        <v>8</v>
      </c>
      <c r="D126" s="4" t="s">
        <v>154</v>
      </c>
      <c r="E126" s="4" t="s">
        <v>142</v>
      </c>
      <c r="F126" s="4">
        <v>1.43</v>
      </c>
      <c r="G126" s="8">
        <v>3</v>
      </c>
      <c r="H126" s="8">
        <v>1.4299999475479126</v>
      </c>
      <c r="I126" s="8">
        <v>0</v>
      </c>
      <c r="J126" s="8">
        <v>0</v>
      </c>
      <c r="K126" s="8">
        <v>0</v>
      </c>
      <c r="L126" s="8">
        <v>0</v>
      </c>
      <c r="M126" s="6">
        <v>0.93000000715255737</v>
      </c>
      <c r="N126" s="5">
        <v>0.65034965535143874</v>
      </c>
      <c r="O126" s="6">
        <v>0.5</v>
      </c>
      <c r="P126" s="5">
        <v>0.34965034965034969</v>
      </c>
      <c r="Q126" s="6">
        <v>0</v>
      </c>
      <c r="R126" s="5">
        <v>0</v>
      </c>
      <c r="S126" s="6">
        <v>0</v>
      </c>
      <c r="T126" s="5">
        <v>0</v>
      </c>
      <c r="U126" s="4">
        <v>0</v>
      </c>
      <c r="V126" s="4">
        <v>0</v>
      </c>
      <c r="W126" s="4">
        <v>2025</v>
      </c>
    </row>
    <row r="127" spans="1:23" x14ac:dyDescent="0.25">
      <c r="A127" s="4">
        <v>1</v>
      </c>
      <c r="B127" s="4">
        <v>1</v>
      </c>
      <c r="C127" s="4">
        <v>9</v>
      </c>
      <c r="D127" s="4" t="s">
        <v>155</v>
      </c>
      <c r="E127" s="4" t="s">
        <v>117</v>
      </c>
      <c r="F127" s="4">
        <v>2.66</v>
      </c>
      <c r="G127" s="8">
        <v>3</v>
      </c>
      <c r="H127" s="8">
        <v>0.80000001192092896</v>
      </c>
      <c r="I127" s="8">
        <v>0</v>
      </c>
      <c r="J127" s="8">
        <v>0</v>
      </c>
      <c r="K127" s="8">
        <v>1.8600000143051147</v>
      </c>
      <c r="L127" s="8">
        <v>0</v>
      </c>
      <c r="M127" s="6">
        <v>0</v>
      </c>
      <c r="N127" s="5">
        <v>0</v>
      </c>
      <c r="O127" s="6">
        <v>0.40000000596046448</v>
      </c>
      <c r="P127" s="5">
        <v>0.15037594209040017</v>
      </c>
      <c r="Q127" s="6">
        <v>0.30000001192092896</v>
      </c>
      <c r="R127" s="5">
        <v>0.11278195936877028</v>
      </c>
      <c r="S127" s="6">
        <v>1.9600000157952309</v>
      </c>
      <c r="T127" s="5">
        <v>0.73684211120121457</v>
      </c>
      <c r="U127" s="4">
        <v>0</v>
      </c>
      <c r="V127" s="4">
        <v>0</v>
      </c>
      <c r="W127" s="4">
        <v>2025</v>
      </c>
    </row>
    <row r="128" spans="1:23" x14ac:dyDescent="0.25">
      <c r="A128" s="4">
        <v>1</v>
      </c>
      <c r="B128" s="4">
        <v>2</v>
      </c>
      <c r="C128" s="4">
        <v>0</v>
      </c>
      <c r="D128" s="4" t="s">
        <v>156</v>
      </c>
      <c r="E128" s="4" t="s">
        <v>117</v>
      </c>
      <c r="F128" s="4">
        <v>4.0999999999999996</v>
      </c>
      <c r="G128" s="8">
        <v>3.5</v>
      </c>
      <c r="H128" s="8">
        <v>0</v>
      </c>
      <c r="I128" s="8">
        <v>0</v>
      </c>
      <c r="J128" s="8">
        <v>0</v>
      </c>
      <c r="K128" s="8">
        <v>4.0999999046325684</v>
      </c>
      <c r="L128" s="8">
        <v>0</v>
      </c>
      <c r="M128" s="6">
        <v>0</v>
      </c>
      <c r="N128" s="5">
        <v>0</v>
      </c>
      <c r="O128" s="6">
        <v>0</v>
      </c>
      <c r="P128" s="5">
        <v>0</v>
      </c>
      <c r="Q128" s="6">
        <v>0</v>
      </c>
      <c r="R128" s="5">
        <v>0</v>
      </c>
      <c r="S128" s="6">
        <v>4.0999999046325684</v>
      </c>
      <c r="T128" s="5">
        <v>0.99999997673965091</v>
      </c>
      <c r="U128" s="4">
        <v>0</v>
      </c>
      <c r="V128" s="4">
        <v>0</v>
      </c>
      <c r="W128" s="4">
        <v>2025</v>
      </c>
    </row>
    <row r="129" spans="1:23" x14ac:dyDescent="0.25">
      <c r="A129" s="4">
        <v>1</v>
      </c>
      <c r="B129" s="4">
        <v>2</v>
      </c>
      <c r="C129" s="4">
        <v>1</v>
      </c>
      <c r="D129" s="4" t="s">
        <v>157</v>
      </c>
      <c r="E129" s="4" t="s">
        <v>117</v>
      </c>
      <c r="F129" s="4">
        <v>0.46</v>
      </c>
      <c r="G129" s="8">
        <v>3</v>
      </c>
      <c r="H129" s="8">
        <v>0.46000000834465027</v>
      </c>
      <c r="I129" s="8">
        <v>0</v>
      </c>
      <c r="J129" s="8">
        <v>0</v>
      </c>
      <c r="K129" s="8">
        <v>0</v>
      </c>
      <c r="L129" s="8">
        <v>0</v>
      </c>
      <c r="M129" s="6">
        <v>0.10000000149011612</v>
      </c>
      <c r="N129" s="5">
        <v>0.21739130758720895</v>
      </c>
      <c r="O129" s="6">
        <v>0.36000001430511475</v>
      </c>
      <c r="P129" s="5">
        <v>0.78260872675024939</v>
      </c>
      <c r="Q129" s="6">
        <v>0</v>
      </c>
      <c r="R129" s="5">
        <v>0</v>
      </c>
      <c r="S129" s="6">
        <v>0</v>
      </c>
      <c r="T129" s="5">
        <v>0</v>
      </c>
      <c r="U129" s="4">
        <v>0</v>
      </c>
      <c r="V129" s="4">
        <v>0</v>
      </c>
      <c r="W129" s="4">
        <v>2025</v>
      </c>
    </row>
    <row r="130" spans="1:23" x14ac:dyDescent="0.25">
      <c r="A130" s="4">
        <v>1</v>
      </c>
      <c r="B130" s="4">
        <v>2</v>
      </c>
      <c r="C130" s="4">
        <v>2</v>
      </c>
      <c r="D130" s="4" t="s">
        <v>158</v>
      </c>
      <c r="E130" s="4" t="s">
        <v>117</v>
      </c>
      <c r="F130" s="4">
        <v>0.91</v>
      </c>
      <c r="G130" s="8">
        <v>3.5</v>
      </c>
      <c r="H130" s="8">
        <v>0.20000000298023224</v>
      </c>
      <c r="I130" s="8">
        <v>0</v>
      </c>
      <c r="J130" s="8">
        <v>0</v>
      </c>
      <c r="K130" s="8">
        <v>0.70999997854232788</v>
      </c>
      <c r="L130" s="8">
        <v>0</v>
      </c>
      <c r="M130" s="6">
        <v>0</v>
      </c>
      <c r="N130" s="5">
        <v>0</v>
      </c>
      <c r="O130" s="6">
        <v>0.20000000298023224</v>
      </c>
      <c r="P130" s="5">
        <v>0.21978022305520026</v>
      </c>
      <c r="Q130" s="6">
        <v>0</v>
      </c>
      <c r="R130" s="5">
        <v>0</v>
      </c>
      <c r="S130" s="6">
        <v>0.70999997854232788</v>
      </c>
      <c r="T130" s="5">
        <v>0.78021975663992071</v>
      </c>
      <c r="U130" s="4">
        <v>0</v>
      </c>
      <c r="V130" s="4">
        <v>0</v>
      </c>
      <c r="W130" s="4">
        <v>2025</v>
      </c>
    </row>
    <row r="131" spans="1:23" x14ac:dyDescent="0.25">
      <c r="A131" s="4">
        <v>1</v>
      </c>
      <c r="B131" s="4">
        <v>2</v>
      </c>
      <c r="C131" s="4">
        <v>3</v>
      </c>
      <c r="D131" s="4" t="s">
        <v>159</v>
      </c>
      <c r="E131" s="4" t="s">
        <v>117</v>
      </c>
      <c r="F131" s="4">
        <v>1.02</v>
      </c>
      <c r="G131" s="8">
        <v>4</v>
      </c>
      <c r="H131" s="8">
        <v>0</v>
      </c>
      <c r="I131" s="8">
        <v>0</v>
      </c>
      <c r="J131" s="8">
        <v>1.0199999809265137</v>
      </c>
      <c r="K131" s="8">
        <v>0</v>
      </c>
      <c r="L131" s="8">
        <v>0</v>
      </c>
      <c r="M131" s="6">
        <v>1.0199999809265137</v>
      </c>
      <c r="N131" s="5">
        <v>0.9999999813005036</v>
      </c>
      <c r="O131" s="6">
        <v>0</v>
      </c>
      <c r="P131" s="5">
        <v>0</v>
      </c>
      <c r="Q131" s="6">
        <v>0</v>
      </c>
      <c r="R131" s="5">
        <v>0</v>
      </c>
      <c r="S131" s="6">
        <v>0</v>
      </c>
      <c r="T131" s="5">
        <v>0</v>
      </c>
      <c r="U131" s="4">
        <v>0</v>
      </c>
      <c r="V131" s="4">
        <v>0</v>
      </c>
      <c r="W131" s="4">
        <v>2025</v>
      </c>
    </row>
    <row r="132" spans="1:23" x14ac:dyDescent="0.25">
      <c r="A132" s="4">
        <v>1</v>
      </c>
      <c r="B132" s="4">
        <v>2</v>
      </c>
      <c r="C132" s="4">
        <v>4</v>
      </c>
      <c r="D132" s="4" t="s">
        <v>160</v>
      </c>
      <c r="E132" s="4" t="s">
        <v>117</v>
      </c>
      <c r="F132" s="4">
        <v>1.46</v>
      </c>
      <c r="G132" s="8">
        <v>3</v>
      </c>
      <c r="H132" s="8">
        <v>1.4600000381469727</v>
      </c>
      <c r="I132" s="8">
        <v>0</v>
      </c>
      <c r="J132" s="8">
        <v>0</v>
      </c>
      <c r="K132" s="8">
        <v>0</v>
      </c>
      <c r="L132" s="8">
        <v>0</v>
      </c>
      <c r="M132" s="6">
        <v>1.4600000381469727</v>
      </c>
      <c r="N132" s="5">
        <v>1.0000000261280635</v>
      </c>
      <c r="O132" s="6">
        <v>0</v>
      </c>
      <c r="P132" s="5">
        <v>0</v>
      </c>
      <c r="Q132" s="6">
        <v>0</v>
      </c>
      <c r="R132" s="5">
        <v>0</v>
      </c>
      <c r="S132" s="6">
        <v>0</v>
      </c>
      <c r="T132" s="5">
        <v>0</v>
      </c>
      <c r="U132" s="4">
        <v>0</v>
      </c>
      <c r="V132" s="4">
        <v>0</v>
      </c>
      <c r="W132" s="4">
        <v>2025</v>
      </c>
    </row>
    <row r="133" spans="1:23" x14ac:dyDescent="0.25">
      <c r="A133" s="4">
        <v>1</v>
      </c>
      <c r="B133" s="4">
        <v>2</v>
      </c>
      <c r="C133" s="4">
        <v>5</v>
      </c>
      <c r="D133" s="4" t="s">
        <v>161</v>
      </c>
      <c r="E133" s="4" t="s">
        <v>117</v>
      </c>
      <c r="F133" s="4">
        <v>1.32</v>
      </c>
      <c r="G133" s="8">
        <v>3</v>
      </c>
      <c r="H133" s="8">
        <v>1.3200000524520874</v>
      </c>
      <c r="I133" s="8">
        <v>0</v>
      </c>
      <c r="J133" s="8">
        <v>0</v>
      </c>
      <c r="K133" s="8">
        <v>0</v>
      </c>
      <c r="L133" s="8">
        <v>0</v>
      </c>
      <c r="M133" s="6">
        <v>0.20000000298023224</v>
      </c>
      <c r="N133" s="5">
        <v>0.1515151537729032</v>
      </c>
      <c r="O133" s="6">
        <v>0.92000001668930054</v>
      </c>
      <c r="P133" s="5">
        <v>0.69696970961310645</v>
      </c>
      <c r="Q133" s="6">
        <v>0.20000000298023224</v>
      </c>
      <c r="R133" s="5">
        <v>0.1515151537729032</v>
      </c>
      <c r="S133" s="6">
        <v>0</v>
      </c>
      <c r="T133" s="5">
        <v>0</v>
      </c>
      <c r="U133" s="4">
        <v>0</v>
      </c>
      <c r="V133" s="4">
        <v>0</v>
      </c>
      <c r="W133" s="4">
        <v>2025</v>
      </c>
    </row>
    <row r="134" spans="1:23" x14ac:dyDescent="0.25">
      <c r="A134" s="4">
        <v>1</v>
      </c>
      <c r="B134" s="4">
        <v>2</v>
      </c>
      <c r="C134" s="4">
        <v>6</v>
      </c>
      <c r="D134" s="4" t="s">
        <v>162</v>
      </c>
      <c r="E134" s="4" t="s">
        <v>117</v>
      </c>
      <c r="F134" s="4">
        <v>0.73</v>
      </c>
      <c r="G134" s="8">
        <v>3</v>
      </c>
      <c r="H134" s="8">
        <v>0</v>
      </c>
      <c r="I134" s="8">
        <v>0</v>
      </c>
      <c r="J134" s="8">
        <v>0</v>
      </c>
      <c r="K134" s="8">
        <v>0.73000001907348633</v>
      </c>
      <c r="L134" s="8">
        <v>0</v>
      </c>
      <c r="M134" s="6">
        <v>0</v>
      </c>
      <c r="N134" s="5">
        <v>0</v>
      </c>
      <c r="O134" s="6">
        <v>0</v>
      </c>
      <c r="P134" s="5">
        <v>0</v>
      </c>
      <c r="Q134" s="6">
        <v>0</v>
      </c>
      <c r="R134" s="5">
        <v>0</v>
      </c>
      <c r="S134" s="6">
        <v>0.73000001907348633</v>
      </c>
      <c r="T134" s="5">
        <v>1.0000000261280635</v>
      </c>
      <c r="U134" s="4">
        <v>0</v>
      </c>
      <c r="V134" s="4">
        <v>0</v>
      </c>
      <c r="W134" s="4">
        <v>2025</v>
      </c>
    </row>
    <row r="135" spans="1:23" x14ac:dyDescent="0.25">
      <c r="A135" s="4">
        <v>1</v>
      </c>
      <c r="B135" s="4">
        <v>2</v>
      </c>
      <c r="C135" s="4">
        <v>7</v>
      </c>
      <c r="D135" s="4" t="s">
        <v>163</v>
      </c>
      <c r="E135" s="4" t="s">
        <v>117</v>
      </c>
      <c r="F135" s="4">
        <v>0.7</v>
      </c>
      <c r="G135" s="8">
        <v>3</v>
      </c>
      <c r="H135" s="8">
        <v>0.69999998807907104</v>
      </c>
      <c r="I135" s="8">
        <v>0</v>
      </c>
      <c r="J135" s="8">
        <v>0</v>
      </c>
      <c r="K135" s="8">
        <v>0</v>
      </c>
      <c r="L135" s="8">
        <v>0</v>
      </c>
      <c r="M135" s="6">
        <v>0</v>
      </c>
      <c r="N135" s="5">
        <v>0</v>
      </c>
      <c r="O135" s="6">
        <v>0</v>
      </c>
      <c r="P135" s="5">
        <v>0</v>
      </c>
      <c r="Q135" s="6">
        <v>0.20000000298023224</v>
      </c>
      <c r="R135" s="5">
        <v>0.28571428997176035</v>
      </c>
      <c r="S135" s="6">
        <v>0.5</v>
      </c>
      <c r="T135" s="5">
        <v>0.7142857142857143</v>
      </c>
      <c r="U135" s="4">
        <v>0</v>
      </c>
      <c r="V135" s="4">
        <v>0</v>
      </c>
      <c r="W135" s="4">
        <v>2025</v>
      </c>
    </row>
    <row r="136" spans="1:23" x14ac:dyDescent="0.25">
      <c r="A136" s="4">
        <v>1</v>
      </c>
      <c r="B136" s="4">
        <v>2</v>
      </c>
      <c r="C136" s="4">
        <v>8</v>
      </c>
      <c r="D136" s="4" t="s">
        <v>164</v>
      </c>
      <c r="E136" s="4" t="s">
        <v>117</v>
      </c>
      <c r="F136" s="4">
        <v>0.71</v>
      </c>
      <c r="G136" s="8">
        <v>3</v>
      </c>
      <c r="H136" s="8">
        <v>0.70999997854232788</v>
      </c>
      <c r="I136" s="8">
        <v>0</v>
      </c>
      <c r="J136" s="8">
        <v>0</v>
      </c>
      <c r="K136" s="8">
        <v>0</v>
      </c>
      <c r="L136" s="8">
        <v>0</v>
      </c>
      <c r="M136" s="6">
        <v>0</v>
      </c>
      <c r="N136" s="5">
        <v>0</v>
      </c>
      <c r="O136" s="6">
        <v>0.20000000298023224</v>
      </c>
      <c r="P136" s="5">
        <v>0.28169014504258061</v>
      </c>
      <c r="Q136" s="6">
        <v>0.50999999046325684</v>
      </c>
      <c r="R136" s="5">
        <v>0.71830984572289702</v>
      </c>
      <c r="S136" s="6">
        <v>0</v>
      </c>
      <c r="T136" s="5">
        <v>0</v>
      </c>
      <c r="U136" s="4">
        <v>0</v>
      </c>
      <c r="V136" s="4">
        <v>0</v>
      </c>
      <c r="W136" s="4">
        <v>2025</v>
      </c>
    </row>
    <row r="137" spans="1:23" x14ac:dyDescent="0.25">
      <c r="A137" s="4">
        <v>1</v>
      </c>
      <c r="B137" s="4">
        <v>2</v>
      </c>
      <c r="C137" s="4">
        <v>9</v>
      </c>
      <c r="D137" s="4" t="s">
        <v>165</v>
      </c>
      <c r="E137" s="4" t="s">
        <v>117</v>
      </c>
      <c r="F137" s="4">
        <v>1.61</v>
      </c>
      <c r="G137" s="8">
        <v>3</v>
      </c>
      <c r="H137" s="8">
        <v>1.6100000143051147</v>
      </c>
      <c r="I137" s="8">
        <v>0</v>
      </c>
      <c r="J137" s="8">
        <v>0</v>
      </c>
      <c r="K137" s="8">
        <v>0</v>
      </c>
      <c r="L137" s="8">
        <v>0</v>
      </c>
      <c r="M137" s="6">
        <v>0</v>
      </c>
      <c r="N137" s="5">
        <v>0</v>
      </c>
      <c r="O137" s="6">
        <v>0</v>
      </c>
      <c r="P137" s="5">
        <v>0</v>
      </c>
      <c r="Q137" s="6">
        <v>0</v>
      </c>
      <c r="R137" s="5">
        <v>0</v>
      </c>
      <c r="S137" s="6">
        <v>1.6100000143051147</v>
      </c>
      <c r="T137" s="5">
        <v>1.0000000088851644</v>
      </c>
      <c r="U137" s="4">
        <v>0</v>
      </c>
      <c r="V137" s="4">
        <v>0</v>
      </c>
      <c r="W137" s="4">
        <v>2025</v>
      </c>
    </row>
    <row r="138" spans="1:23" x14ac:dyDescent="0.25">
      <c r="A138" s="4">
        <v>1</v>
      </c>
      <c r="B138" s="4">
        <v>3</v>
      </c>
      <c r="C138" s="4">
        <v>0</v>
      </c>
      <c r="D138" s="4" t="s">
        <v>166</v>
      </c>
      <c r="E138" s="4" t="s">
        <v>117</v>
      </c>
      <c r="F138" s="4">
        <v>0.82</v>
      </c>
      <c r="G138" s="8">
        <v>3.5</v>
      </c>
      <c r="H138" s="8">
        <v>0</v>
      </c>
      <c r="I138" s="8">
        <v>0</v>
      </c>
      <c r="J138" s="8">
        <v>0</v>
      </c>
      <c r="K138" s="8">
        <v>0.81999999284744263</v>
      </c>
      <c r="L138" s="8">
        <v>0</v>
      </c>
      <c r="M138" s="6">
        <v>0</v>
      </c>
      <c r="N138" s="5">
        <v>0</v>
      </c>
      <c r="O138" s="6">
        <v>0</v>
      </c>
      <c r="P138" s="5">
        <v>0</v>
      </c>
      <c r="Q138" s="6">
        <v>0</v>
      </c>
      <c r="R138" s="5">
        <v>0</v>
      </c>
      <c r="S138" s="6">
        <v>0.81999999284744263</v>
      </c>
      <c r="T138" s="5">
        <v>0.99999999127736916</v>
      </c>
      <c r="U138" s="4">
        <v>0</v>
      </c>
      <c r="V138" s="4">
        <v>0</v>
      </c>
      <c r="W138" s="4">
        <v>2025</v>
      </c>
    </row>
    <row r="139" spans="1:23" x14ac:dyDescent="0.25">
      <c r="A139" s="4">
        <v>1</v>
      </c>
      <c r="B139" s="4">
        <v>3</v>
      </c>
      <c r="C139" s="4">
        <v>1</v>
      </c>
      <c r="D139" s="4" t="s">
        <v>167</v>
      </c>
      <c r="E139" s="4" t="s">
        <v>117</v>
      </c>
      <c r="F139" s="4">
        <v>1.28</v>
      </c>
      <c r="G139" s="8">
        <v>3.5</v>
      </c>
      <c r="H139" s="8">
        <v>0</v>
      </c>
      <c r="I139" s="8">
        <v>0</v>
      </c>
      <c r="J139" s="8">
        <v>0</v>
      </c>
      <c r="K139" s="8">
        <v>1.2799999713897705</v>
      </c>
      <c r="L139" s="8">
        <v>0</v>
      </c>
      <c r="M139" s="6">
        <v>0</v>
      </c>
      <c r="N139" s="5">
        <v>0</v>
      </c>
      <c r="O139" s="6">
        <v>0</v>
      </c>
      <c r="P139" s="5">
        <v>0</v>
      </c>
      <c r="Q139" s="6">
        <v>0</v>
      </c>
      <c r="R139" s="5">
        <v>0</v>
      </c>
      <c r="S139" s="6">
        <v>1.2799999713897705</v>
      </c>
      <c r="T139" s="5">
        <v>0.99999997764825821</v>
      </c>
      <c r="U139" s="4">
        <v>0</v>
      </c>
      <c r="V139" s="4">
        <v>0</v>
      </c>
      <c r="W139" s="4">
        <v>2025</v>
      </c>
    </row>
    <row r="140" spans="1:23" x14ac:dyDescent="0.25">
      <c r="A140" s="4">
        <v>1</v>
      </c>
      <c r="B140" s="4">
        <v>3</v>
      </c>
      <c r="C140" s="4">
        <v>2</v>
      </c>
      <c r="D140" s="4" t="s">
        <v>168</v>
      </c>
      <c r="E140" s="4" t="s">
        <v>117</v>
      </c>
      <c r="F140" s="4">
        <v>0.85</v>
      </c>
      <c r="G140" s="8">
        <v>6</v>
      </c>
      <c r="H140" s="8">
        <v>0.85000002384185791</v>
      </c>
      <c r="I140" s="8">
        <v>0</v>
      </c>
      <c r="J140" s="8">
        <v>0</v>
      </c>
      <c r="K140" s="8">
        <v>0</v>
      </c>
      <c r="L140" s="8">
        <v>0</v>
      </c>
      <c r="M140" s="6">
        <v>0.64999997615814209</v>
      </c>
      <c r="N140" s="5">
        <v>0.76470585430369664</v>
      </c>
      <c r="O140" s="6">
        <v>0.20000000298023224</v>
      </c>
      <c r="P140" s="5">
        <v>0.23529412115321441</v>
      </c>
      <c r="Q140" s="6">
        <v>0</v>
      </c>
      <c r="R140" s="5">
        <v>0</v>
      </c>
      <c r="S140" s="6">
        <v>0</v>
      </c>
      <c r="T140" s="5">
        <v>0</v>
      </c>
      <c r="U140" s="4">
        <v>0</v>
      </c>
      <c r="V140" s="4">
        <v>0</v>
      </c>
      <c r="W140" s="4">
        <v>2025</v>
      </c>
    </row>
    <row r="141" spans="1:23" x14ac:dyDescent="0.25">
      <c r="A141" s="4">
        <v>1</v>
      </c>
      <c r="B141" s="4">
        <v>3</v>
      </c>
      <c r="C141" s="4">
        <v>3</v>
      </c>
      <c r="D141" s="4" t="s">
        <v>169</v>
      </c>
      <c r="E141" s="4" t="s">
        <v>117</v>
      </c>
      <c r="F141" s="4">
        <v>0.95</v>
      </c>
      <c r="G141" s="8">
        <v>3</v>
      </c>
      <c r="H141" s="8">
        <v>0.94999998807907104</v>
      </c>
      <c r="I141" s="8">
        <v>0</v>
      </c>
      <c r="J141" s="8">
        <v>0</v>
      </c>
      <c r="K141" s="8">
        <v>0</v>
      </c>
      <c r="L141" s="8">
        <v>0</v>
      </c>
      <c r="M141" s="6">
        <v>0</v>
      </c>
      <c r="N141" s="5">
        <v>0</v>
      </c>
      <c r="O141" s="6">
        <v>0.34999999403953552</v>
      </c>
      <c r="P141" s="5">
        <v>0.36842104635740586</v>
      </c>
      <c r="Q141" s="6">
        <v>0.40000000596046448</v>
      </c>
      <c r="R141" s="5">
        <v>0.42105263785312053</v>
      </c>
      <c r="S141" s="6">
        <v>0.20000000298023224</v>
      </c>
      <c r="T141" s="5">
        <v>0.21052631892656026</v>
      </c>
      <c r="U141" s="4">
        <v>0</v>
      </c>
      <c r="V141" s="4">
        <v>0</v>
      </c>
      <c r="W141" s="4">
        <v>2025</v>
      </c>
    </row>
    <row r="142" spans="1:23" x14ac:dyDescent="0.25">
      <c r="A142" s="4">
        <v>1</v>
      </c>
      <c r="B142" s="4">
        <v>3</v>
      </c>
      <c r="C142" s="4">
        <v>4</v>
      </c>
      <c r="D142" s="4" t="s">
        <v>170</v>
      </c>
      <c r="E142" s="4" t="s">
        <v>117</v>
      </c>
      <c r="F142" s="4">
        <v>0.43</v>
      </c>
      <c r="G142" s="8">
        <v>3</v>
      </c>
      <c r="H142" s="8">
        <v>0</v>
      </c>
      <c r="I142" s="8">
        <v>0</v>
      </c>
      <c r="J142" s="8">
        <v>0</v>
      </c>
      <c r="K142" s="8">
        <v>0.43000000715255737</v>
      </c>
      <c r="L142" s="8">
        <v>0</v>
      </c>
      <c r="M142" s="6">
        <v>0</v>
      </c>
      <c r="N142" s="5">
        <v>0</v>
      </c>
      <c r="O142" s="6">
        <v>0</v>
      </c>
      <c r="P142" s="5">
        <v>0</v>
      </c>
      <c r="Q142" s="6">
        <v>0</v>
      </c>
      <c r="R142" s="5">
        <v>0</v>
      </c>
      <c r="S142" s="6">
        <v>0.43000000715255737</v>
      </c>
      <c r="T142" s="5">
        <v>1.0000000166338543</v>
      </c>
      <c r="U142" s="4">
        <v>0</v>
      </c>
      <c r="V142" s="4">
        <v>0</v>
      </c>
      <c r="W142" s="4">
        <v>2025</v>
      </c>
    </row>
    <row r="143" spans="1:23" x14ac:dyDescent="0.25">
      <c r="A143" s="4">
        <v>1</v>
      </c>
      <c r="B143" s="4">
        <v>3</v>
      </c>
      <c r="C143" s="4">
        <v>5</v>
      </c>
      <c r="D143" s="4" t="s">
        <v>171</v>
      </c>
      <c r="E143" s="4" t="s">
        <v>172</v>
      </c>
      <c r="F143" s="4">
        <v>2.1800000000000002</v>
      </c>
      <c r="G143" s="8">
        <v>3.5</v>
      </c>
      <c r="H143" s="8">
        <v>2.1800000667572021</v>
      </c>
      <c r="I143" s="8">
        <v>0</v>
      </c>
      <c r="J143" s="8">
        <v>0</v>
      </c>
      <c r="K143" s="8">
        <v>0</v>
      </c>
      <c r="L143" s="8">
        <v>0</v>
      </c>
      <c r="M143" s="6">
        <v>0</v>
      </c>
      <c r="N143" s="5">
        <v>0</v>
      </c>
      <c r="O143" s="6">
        <v>1.2000000476837158</v>
      </c>
      <c r="P143" s="5">
        <v>0.55045873746959439</v>
      </c>
      <c r="Q143" s="6">
        <v>0.98000001907348633</v>
      </c>
      <c r="R143" s="5">
        <v>0.44954129315297536</v>
      </c>
      <c r="S143" s="6">
        <v>0</v>
      </c>
      <c r="T143" s="5">
        <v>0</v>
      </c>
      <c r="U143" s="4">
        <v>0</v>
      </c>
      <c r="V143" s="4">
        <v>0</v>
      </c>
      <c r="W143" s="4">
        <v>2025</v>
      </c>
    </row>
    <row r="144" spans="1:23" x14ac:dyDescent="0.25">
      <c r="A144" s="4">
        <v>1</v>
      </c>
      <c r="B144" s="4">
        <v>3</v>
      </c>
      <c r="C144" s="4">
        <v>6</v>
      </c>
      <c r="D144" s="4" t="s">
        <v>173</v>
      </c>
      <c r="E144" s="4" t="s">
        <v>172</v>
      </c>
      <c r="F144" s="4">
        <v>1.61</v>
      </c>
      <c r="G144" s="8">
        <v>3.5</v>
      </c>
      <c r="H144" s="8">
        <v>1.6100000143051147</v>
      </c>
      <c r="I144" s="8">
        <v>0</v>
      </c>
      <c r="J144" s="8">
        <v>0</v>
      </c>
      <c r="K144" s="8">
        <v>0</v>
      </c>
      <c r="L144" s="8">
        <v>0</v>
      </c>
      <c r="M144" s="6">
        <v>0</v>
      </c>
      <c r="N144" s="5">
        <v>0</v>
      </c>
      <c r="O144" s="6">
        <v>1.2100000381469727</v>
      </c>
      <c r="P144" s="5">
        <v>0.75155281872482771</v>
      </c>
      <c r="Q144" s="6">
        <v>0.30000001192092896</v>
      </c>
      <c r="R144" s="5">
        <v>0.18633541113101176</v>
      </c>
      <c r="S144" s="6">
        <v>0.10000000149011612</v>
      </c>
      <c r="T144" s="5">
        <v>6.2111802167773983E-2</v>
      </c>
      <c r="U144" s="4">
        <v>0</v>
      </c>
      <c r="V144" s="4">
        <v>0</v>
      </c>
      <c r="W144" s="4">
        <v>2025</v>
      </c>
    </row>
    <row r="145" spans="1:23" x14ac:dyDescent="0.25">
      <c r="A145" s="4">
        <v>1</v>
      </c>
      <c r="B145" s="4">
        <v>3</v>
      </c>
      <c r="C145" s="4">
        <v>7</v>
      </c>
      <c r="D145" s="4" t="s">
        <v>174</v>
      </c>
      <c r="E145" s="4" t="s">
        <v>175</v>
      </c>
      <c r="F145" s="4">
        <v>8.65</v>
      </c>
      <c r="G145" s="8">
        <v>4</v>
      </c>
      <c r="H145" s="8">
        <v>8.6499996185302734</v>
      </c>
      <c r="I145" s="8">
        <v>0</v>
      </c>
      <c r="J145" s="8">
        <v>0</v>
      </c>
      <c r="K145" s="8">
        <v>0</v>
      </c>
      <c r="L145" s="8">
        <v>0</v>
      </c>
      <c r="M145" s="6">
        <v>2.75</v>
      </c>
      <c r="N145" s="5">
        <v>0.31791907514450868</v>
      </c>
      <c r="O145" s="6">
        <v>5.5999999046325684</v>
      </c>
      <c r="P145" s="5">
        <v>0.64739883290549916</v>
      </c>
      <c r="Q145" s="6">
        <v>0.30000001192092896</v>
      </c>
      <c r="R145" s="5">
        <v>3.4682082302997568E-2</v>
      </c>
      <c r="S145" s="6">
        <v>0</v>
      </c>
      <c r="T145" s="5">
        <v>0</v>
      </c>
      <c r="U145" s="4">
        <v>0</v>
      </c>
      <c r="V145" s="4">
        <v>0</v>
      </c>
      <c r="W145" s="4">
        <v>2025</v>
      </c>
    </row>
    <row r="146" spans="1:23" x14ac:dyDescent="0.25">
      <c r="A146" s="4">
        <v>1</v>
      </c>
      <c r="B146" s="4">
        <v>3</v>
      </c>
      <c r="C146" s="4">
        <v>8</v>
      </c>
      <c r="D146" s="4" t="s">
        <v>176</v>
      </c>
      <c r="E146" s="4" t="s">
        <v>172</v>
      </c>
      <c r="F146" s="4">
        <v>4.04</v>
      </c>
      <c r="G146" s="8">
        <v>3.5</v>
      </c>
      <c r="H146" s="8">
        <v>4.0399999618530273</v>
      </c>
      <c r="I146" s="8">
        <v>0</v>
      </c>
      <c r="J146" s="8">
        <v>0</v>
      </c>
      <c r="K146" s="8">
        <v>0</v>
      </c>
      <c r="L146" s="8">
        <v>0</v>
      </c>
      <c r="M146" s="6">
        <v>0</v>
      </c>
      <c r="N146" s="5">
        <v>0</v>
      </c>
      <c r="O146" s="6">
        <v>1.8400000333786011</v>
      </c>
      <c r="P146" s="5">
        <v>0.45544555281648541</v>
      </c>
      <c r="Q146" s="6">
        <v>1.3999999761581421</v>
      </c>
      <c r="R146" s="5">
        <v>0.34653464756389657</v>
      </c>
      <c r="S146" s="6">
        <v>0.80000001192092896</v>
      </c>
      <c r="T146" s="5">
        <v>0.198019804930923</v>
      </c>
      <c r="U146" s="4">
        <v>0</v>
      </c>
      <c r="V146" s="4">
        <v>0</v>
      </c>
      <c r="W146" s="4">
        <v>2025</v>
      </c>
    </row>
    <row r="147" spans="1:23" x14ac:dyDescent="0.25">
      <c r="A147" s="4">
        <v>1</v>
      </c>
      <c r="B147" s="4">
        <v>3</v>
      </c>
      <c r="C147" s="4">
        <v>9</v>
      </c>
      <c r="D147" s="4" t="s">
        <v>177</v>
      </c>
      <c r="E147" s="4" t="s">
        <v>172</v>
      </c>
      <c r="F147" s="4">
        <v>1.74</v>
      </c>
      <c r="G147" s="8">
        <v>3.5</v>
      </c>
      <c r="H147" s="8">
        <v>1.7400000095367432</v>
      </c>
      <c r="I147" s="8">
        <v>0</v>
      </c>
      <c r="J147" s="8">
        <v>0</v>
      </c>
      <c r="K147" s="8">
        <v>0</v>
      </c>
      <c r="L147" s="8">
        <v>0</v>
      </c>
      <c r="M147" s="6">
        <v>1.3400000333786011</v>
      </c>
      <c r="N147" s="5">
        <v>0.77011496171183969</v>
      </c>
      <c r="O147" s="6">
        <v>0.40000000596046448</v>
      </c>
      <c r="P147" s="5">
        <v>0.22988506089681868</v>
      </c>
      <c r="Q147" s="6">
        <v>0</v>
      </c>
      <c r="R147" s="5">
        <v>0</v>
      </c>
      <c r="S147" s="6">
        <v>0</v>
      </c>
      <c r="T147" s="5">
        <v>0</v>
      </c>
      <c r="U147" s="4">
        <v>0</v>
      </c>
      <c r="V147" s="4">
        <v>0</v>
      </c>
      <c r="W147" s="4">
        <v>2025</v>
      </c>
    </row>
    <row r="148" spans="1:23" x14ac:dyDescent="0.25">
      <c r="A148" s="4">
        <v>1</v>
      </c>
      <c r="B148" s="4">
        <v>4</v>
      </c>
      <c r="C148" s="4">
        <v>0</v>
      </c>
      <c r="D148" s="4" t="s">
        <v>178</v>
      </c>
      <c r="E148" s="4" t="s">
        <v>172</v>
      </c>
      <c r="F148" s="4">
        <v>8.8800000000000008</v>
      </c>
      <c r="G148" s="8">
        <v>3.5</v>
      </c>
      <c r="H148" s="8">
        <v>8.880000114440918</v>
      </c>
      <c r="I148" s="8">
        <v>0</v>
      </c>
      <c r="J148" s="8">
        <v>0</v>
      </c>
      <c r="K148" s="8">
        <v>0</v>
      </c>
      <c r="L148" s="8">
        <v>0</v>
      </c>
      <c r="M148" s="6">
        <v>0</v>
      </c>
      <c r="N148" s="5">
        <v>0</v>
      </c>
      <c r="O148" s="6">
        <v>2.4800000190734863</v>
      </c>
      <c r="P148" s="5">
        <v>0.27927928142719438</v>
      </c>
      <c r="Q148" s="6">
        <v>1.8999999761581421</v>
      </c>
      <c r="R148" s="5">
        <v>0.21396396127907003</v>
      </c>
      <c r="S148" s="6">
        <v>4.5</v>
      </c>
      <c r="T148" s="5">
        <v>0.50675675675675669</v>
      </c>
      <c r="U148" s="4">
        <v>0</v>
      </c>
      <c r="V148" s="4">
        <v>0</v>
      </c>
      <c r="W148" s="4">
        <v>2025</v>
      </c>
    </row>
    <row r="149" spans="1:23" x14ac:dyDescent="0.25">
      <c r="A149" s="4">
        <v>1</v>
      </c>
      <c r="B149" s="4">
        <v>4</v>
      </c>
      <c r="C149" s="4">
        <v>1</v>
      </c>
      <c r="D149" s="4" t="s">
        <v>179</v>
      </c>
      <c r="E149" s="4" t="s">
        <v>172</v>
      </c>
      <c r="F149" s="4">
        <v>10.66</v>
      </c>
      <c r="G149" s="8">
        <v>3.0099999904632568</v>
      </c>
      <c r="H149" s="8">
        <v>7.5999999046325684</v>
      </c>
      <c r="I149" s="8">
        <v>0</v>
      </c>
      <c r="J149" s="8">
        <v>1.3600000143051147</v>
      </c>
      <c r="K149" s="8">
        <v>1.7000000476837158</v>
      </c>
      <c r="L149" s="8">
        <v>0</v>
      </c>
      <c r="M149" s="6">
        <v>6.4000000953674316</v>
      </c>
      <c r="N149" s="5">
        <v>0.60037524346786408</v>
      </c>
      <c r="O149" s="6">
        <v>1.8999999761581421</v>
      </c>
      <c r="P149" s="5">
        <v>0.17823639551202083</v>
      </c>
      <c r="Q149" s="6">
        <v>0.20000000298023224</v>
      </c>
      <c r="R149" s="5">
        <v>1.8761726358370753E-2</v>
      </c>
      <c r="S149" s="6">
        <v>2.1600000560283661</v>
      </c>
      <c r="T149" s="5">
        <v>0.20262664690697618</v>
      </c>
      <c r="U149" s="4">
        <v>0</v>
      </c>
      <c r="V149" s="4">
        <v>0</v>
      </c>
      <c r="W149" s="4">
        <v>2025</v>
      </c>
    </row>
    <row r="150" spans="1:23" x14ac:dyDescent="0.25">
      <c r="A150" s="4">
        <v>1</v>
      </c>
      <c r="B150" s="4">
        <v>4</v>
      </c>
      <c r="C150" s="4">
        <v>2</v>
      </c>
      <c r="D150" s="4" t="s">
        <v>180</v>
      </c>
      <c r="E150" s="4" t="s">
        <v>175</v>
      </c>
      <c r="F150" s="4">
        <v>14.22</v>
      </c>
      <c r="G150" s="8">
        <v>4</v>
      </c>
      <c r="H150" s="8">
        <v>14.220000267028809</v>
      </c>
      <c r="I150" s="8">
        <v>0</v>
      </c>
      <c r="J150" s="8">
        <v>0</v>
      </c>
      <c r="K150" s="8">
        <v>0</v>
      </c>
      <c r="L150" s="8">
        <v>0</v>
      </c>
      <c r="M150" s="6">
        <v>0</v>
      </c>
      <c r="N150" s="5">
        <v>0</v>
      </c>
      <c r="O150" s="6">
        <v>8.119999885559082</v>
      </c>
      <c r="P150" s="5">
        <v>0.57102671487757251</v>
      </c>
      <c r="Q150" s="6">
        <v>4.5999999046325684</v>
      </c>
      <c r="R150" s="5">
        <v>0.32348803830046191</v>
      </c>
      <c r="S150" s="6">
        <v>1.5</v>
      </c>
      <c r="T150" s="5">
        <v>0.10548523206751054</v>
      </c>
      <c r="U150" s="4">
        <v>0</v>
      </c>
      <c r="V150" s="4">
        <v>0</v>
      </c>
      <c r="W150" s="4">
        <v>2025</v>
      </c>
    </row>
    <row r="151" spans="1:23" x14ac:dyDescent="0.25">
      <c r="A151" s="4">
        <v>1</v>
      </c>
      <c r="B151" s="4">
        <v>4</v>
      </c>
      <c r="C151" s="4">
        <v>3</v>
      </c>
      <c r="D151" s="4" t="s">
        <v>181</v>
      </c>
      <c r="E151" s="4" t="s">
        <v>172</v>
      </c>
      <c r="F151" s="4">
        <v>5.82</v>
      </c>
      <c r="G151" s="8">
        <v>3.5</v>
      </c>
      <c r="H151" s="8">
        <v>5.820000171661377</v>
      </c>
      <c r="I151" s="8">
        <v>0</v>
      </c>
      <c r="J151" s="8">
        <v>0</v>
      </c>
      <c r="K151" s="8">
        <v>0</v>
      </c>
      <c r="L151" s="8">
        <v>0</v>
      </c>
      <c r="M151" s="6">
        <v>0</v>
      </c>
      <c r="N151" s="5">
        <v>0</v>
      </c>
      <c r="O151" s="6">
        <v>2.9200000762939453</v>
      </c>
      <c r="P151" s="5">
        <v>0.50171822616734452</v>
      </c>
      <c r="Q151" s="6">
        <v>1.7999999523162842</v>
      </c>
      <c r="R151" s="5">
        <v>0.3092783423223856</v>
      </c>
      <c r="S151" s="6">
        <v>1.1000000238418579</v>
      </c>
      <c r="T151" s="5">
        <v>0.189003440522656</v>
      </c>
      <c r="U151" s="4">
        <v>0</v>
      </c>
      <c r="V151" s="4">
        <v>0</v>
      </c>
      <c r="W151" s="4">
        <v>2025</v>
      </c>
    </row>
    <row r="152" spans="1:23" x14ac:dyDescent="0.25">
      <c r="A152" s="4">
        <v>1</v>
      </c>
      <c r="B152" s="4">
        <v>4</v>
      </c>
      <c r="C152" s="4">
        <v>4</v>
      </c>
      <c r="D152" s="4" t="s">
        <v>182</v>
      </c>
      <c r="E152" s="4" t="s">
        <v>172</v>
      </c>
      <c r="F152" s="4">
        <v>4.5</v>
      </c>
      <c r="G152" s="8">
        <v>3</v>
      </c>
      <c r="H152" s="8">
        <v>4.5</v>
      </c>
      <c r="I152" s="8">
        <v>0</v>
      </c>
      <c r="J152" s="8">
        <v>0</v>
      </c>
      <c r="K152" s="8">
        <v>0</v>
      </c>
      <c r="L152" s="8">
        <v>0</v>
      </c>
      <c r="M152" s="6">
        <v>0</v>
      </c>
      <c r="N152" s="5">
        <v>0</v>
      </c>
      <c r="O152" s="6">
        <v>2.4000000953674316</v>
      </c>
      <c r="P152" s="5">
        <v>0.53333335452609587</v>
      </c>
      <c r="Q152" s="6">
        <v>1.3999999761581421</v>
      </c>
      <c r="R152" s="5">
        <v>0.31111110581292045</v>
      </c>
      <c r="S152" s="6">
        <v>0.69999998807907104</v>
      </c>
      <c r="T152" s="5">
        <v>0.15555555290646023</v>
      </c>
      <c r="U152" s="4">
        <v>0</v>
      </c>
      <c r="V152" s="4">
        <v>0</v>
      </c>
      <c r="W152" s="4">
        <v>2025</v>
      </c>
    </row>
    <row r="153" spans="1:23" x14ac:dyDescent="0.25">
      <c r="A153" s="4">
        <v>1</v>
      </c>
      <c r="B153" s="4">
        <v>4</v>
      </c>
      <c r="C153" s="4">
        <v>5</v>
      </c>
      <c r="D153" s="4" t="s">
        <v>183</v>
      </c>
      <c r="E153" s="4" t="s">
        <v>172</v>
      </c>
      <c r="F153" s="4">
        <v>0.22</v>
      </c>
      <c r="G153" s="8">
        <v>3.5</v>
      </c>
      <c r="H153" s="8">
        <v>0.2199999988079071</v>
      </c>
      <c r="I153" s="8">
        <v>0</v>
      </c>
      <c r="J153" s="8">
        <v>0</v>
      </c>
      <c r="K153" s="8">
        <v>0</v>
      </c>
      <c r="L153" s="8">
        <v>0</v>
      </c>
      <c r="M153" s="6">
        <v>0.2199999988079071</v>
      </c>
      <c r="N153" s="5">
        <v>0.99999999458139588</v>
      </c>
      <c r="O153" s="6">
        <v>0</v>
      </c>
      <c r="P153" s="5">
        <v>0</v>
      </c>
      <c r="Q153" s="6">
        <v>0</v>
      </c>
      <c r="R153" s="5">
        <v>0</v>
      </c>
      <c r="S153" s="6">
        <v>0</v>
      </c>
      <c r="T153" s="5">
        <v>0</v>
      </c>
      <c r="U153" s="4">
        <v>0</v>
      </c>
      <c r="V153" s="4">
        <v>0</v>
      </c>
      <c r="W153" s="4">
        <v>2025</v>
      </c>
    </row>
    <row r="154" spans="1:23" x14ac:dyDescent="0.25">
      <c r="A154" s="4">
        <v>1</v>
      </c>
      <c r="B154" s="4">
        <v>4</v>
      </c>
      <c r="C154" s="4">
        <v>6</v>
      </c>
      <c r="D154" s="4" t="s">
        <v>184</v>
      </c>
      <c r="E154" s="4" t="s">
        <v>185</v>
      </c>
      <c r="F154" s="4">
        <v>4.51</v>
      </c>
      <c r="G154" s="8">
        <v>3</v>
      </c>
      <c r="H154" s="8">
        <v>0</v>
      </c>
      <c r="I154" s="8">
        <v>0</v>
      </c>
      <c r="J154" s="8">
        <v>0</v>
      </c>
      <c r="K154" s="8">
        <v>1.7999999523162842</v>
      </c>
      <c r="L154" s="8">
        <v>2.7100000381469727</v>
      </c>
      <c r="M154" s="6">
        <v>0</v>
      </c>
      <c r="N154" s="5">
        <v>0</v>
      </c>
      <c r="O154" s="6">
        <v>0</v>
      </c>
      <c r="P154" s="5">
        <v>0</v>
      </c>
      <c r="Q154" s="6">
        <v>0</v>
      </c>
      <c r="R154" s="5">
        <v>0</v>
      </c>
      <c r="S154" s="6">
        <v>4.5100002288818359</v>
      </c>
      <c r="T154" s="5">
        <v>1.0000000507498528</v>
      </c>
      <c r="U154" s="4">
        <v>0</v>
      </c>
      <c r="V154" s="4">
        <v>0</v>
      </c>
      <c r="W154" s="4">
        <v>2025</v>
      </c>
    </row>
    <row r="155" spans="1:23" x14ac:dyDescent="0.25">
      <c r="A155" s="4">
        <v>1</v>
      </c>
      <c r="B155" s="4">
        <v>4</v>
      </c>
      <c r="C155" s="4">
        <v>7</v>
      </c>
      <c r="D155" s="4" t="s">
        <v>186</v>
      </c>
      <c r="E155" s="4" t="s">
        <v>172</v>
      </c>
      <c r="F155" s="4">
        <v>2.87</v>
      </c>
      <c r="G155" s="8">
        <v>3.9200000762939453</v>
      </c>
      <c r="H155" s="8">
        <v>2.869999885559082</v>
      </c>
      <c r="I155" s="8">
        <v>0</v>
      </c>
      <c r="J155" s="8">
        <v>0</v>
      </c>
      <c r="K155" s="8">
        <v>0</v>
      </c>
      <c r="L155" s="8">
        <v>0</v>
      </c>
      <c r="M155" s="6">
        <v>0.80000001192092896</v>
      </c>
      <c r="N155" s="5">
        <v>0.27874564875293689</v>
      </c>
      <c r="O155" s="6">
        <v>1</v>
      </c>
      <c r="P155" s="5">
        <v>0.34843205574912889</v>
      </c>
      <c r="Q155" s="6">
        <v>0.76999998092651367</v>
      </c>
      <c r="R155" s="5">
        <v>0.26829267628101522</v>
      </c>
      <c r="S155" s="6">
        <v>0.30000001192092896</v>
      </c>
      <c r="T155" s="5">
        <v>0.10452962087837245</v>
      </c>
      <c r="U155" s="4">
        <v>0</v>
      </c>
      <c r="V155" s="4">
        <v>0</v>
      </c>
      <c r="W155" s="4">
        <v>2025</v>
      </c>
    </row>
    <row r="156" spans="1:23" x14ac:dyDescent="0.25">
      <c r="A156" s="4">
        <v>1</v>
      </c>
      <c r="B156" s="4">
        <v>4</v>
      </c>
      <c r="C156" s="4">
        <v>8</v>
      </c>
      <c r="D156" s="4" t="s">
        <v>187</v>
      </c>
      <c r="E156" s="4" t="s">
        <v>172</v>
      </c>
      <c r="F156" s="4">
        <v>3.27</v>
      </c>
      <c r="G156" s="8">
        <v>3.5</v>
      </c>
      <c r="H156" s="8">
        <v>2.9700000286102295</v>
      </c>
      <c r="I156" s="8">
        <v>0</v>
      </c>
      <c r="J156" s="8">
        <v>0</v>
      </c>
      <c r="K156" s="8">
        <v>0.30000001192092896</v>
      </c>
      <c r="L156" s="8">
        <v>0</v>
      </c>
      <c r="M156" s="6">
        <v>0</v>
      </c>
      <c r="N156" s="5">
        <v>0</v>
      </c>
      <c r="O156" s="6">
        <v>2.5699999332427979</v>
      </c>
      <c r="P156" s="5">
        <v>0.78593270129749171</v>
      </c>
      <c r="Q156" s="6">
        <v>0.30000001192092896</v>
      </c>
      <c r="R156" s="5">
        <v>9.174312291159907E-2</v>
      </c>
      <c r="S156" s="6">
        <v>0.40000001341104507</v>
      </c>
      <c r="T156" s="5">
        <v>0.12232416312264376</v>
      </c>
      <c r="U156" s="4">
        <v>0</v>
      </c>
      <c r="V156" s="4">
        <v>0</v>
      </c>
      <c r="W156" s="4">
        <v>2025</v>
      </c>
    </row>
    <row r="157" spans="1:23" x14ac:dyDescent="0.25">
      <c r="A157" s="4">
        <v>1</v>
      </c>
      <c r="B157" s="4">
        <v>4</v>
      </c>
      <c r="C157" s="4">
        <v>9</v>
      </c>
      <c r="D157" s="4" t="s">
        <v>188</v>
      </c>
      <c r="E157" s="4" t="s">
        <v>189</v>
      </c>
      <c r="F157" s="4">
        <v>1.88</v>
      </c>
      <c r="G157" s="8">
        <v>3</v>
      </c>
      <c r="H157" s="8">
        <v>1.8799999952316284</v>
      </c>
      <c r="I157" s="8">
        <v>0</v>
      </c>
      <c r="J157" s="8">
        <v>0</v>
      </c>
      <c r="K157" s="8">
        <v>0</v>
      </c>
      <c r="L157" s="8">
        <v>0</v>
      </c>
      <c r="M157" s="6">
        <v>0</v>
      </c>
      <c r="N157" s="5">
        <v>0</v>
      </c>
      <c r="O157" s="6">
        <v>0</v>
      </c>
      <c r="P157" s="5">
        <v>0</v>
      </c>
      <c r="Q157" s="6">
        <v>1.5800000429153442</v>
      </c>
      <c r="R157" s="5">
        <v>0.84042555474220448</v>
      </c>
      <c r="S157" s="6">
        <v>0.30000001192092896</v>
      </c>
      <c r="T157" s="5">
        <v>0.15957447442602604</v>
      </c>
      <c r="U157" s="4">
        <v>0</v>
      </c>
      <c r="V157" s="4">
        <v>0</v>
      </c>
      <c r="W157" s="4">
        <v>2025</v>
      </c>
    </row>
    <row r="158" spans="1:23" x14ac:dyDescent="0.25">
      <c r="A158" s="4">
        <v>1</v>
      </c>
      <c r="B158" s="4">
        <v>5</v>
      </c>
      <c r="C158" s="4">
        <v>0</v>
      </c>
      <c r="D158" s="4" t="s">
        <v>190</v>
      </c>
      <c r="E158" s="4" t="s">
        <v>175</v>
      </c>
      <c r="F158" s="4">
        <v>3.12</v>
      </c>
      <c r="G158" s="8">
        <v>3</v>
      </c>
      <c r="H158" s="8">
        <v>2.7200000286102295</v>
      </c>
      <c r="I158" s="8">
        <v>0</v>
      </c>
      <c r="J158" s="8">
        <v>0</v>
      </c>
      <c r="K158" s="8">
        <v>0.40000000596046448</v>
      </c>
      <c r="L158" s="8">
        <v>0</v>
      </c>
      <c r="M158" s="6">
        <v>0</v>
      </c>
      <c r="N158" s="5">
        <v>0</v>
      </c>
      <c r="O158" s="6">
        <v>1</v>
      </c>
      <c r="P158" s="5">
        <v>0.32051282051282048</v>
      </c>
      <c r="Q158" s="6">
        <v>0.92000001668930054</v>
      </c>
      <c r="R158" s="5">
        <v>0.29487180022092963</v>
      </c>
      <c r="S158" s="6">
        <v>1.2000000178813934</v>
      </c>
      <c r="T158" s="5">
        <v>0.38461539034660047</v>
      </c>
      <c r="U158" s="4">
        <v>0</v>
      </c>
      <c r="V158" s="4">
        <v>0</v>
      </c>
      <c r="W158" s="4">
        <v>2025</v>
      </c>
    </row>
    <row r="159" spans="1:23" x14ac:dyDescent="0.25">
      <c r="A159" s="4">
        <v>1</v>
      </c>
      <c r="B159" s="4">
        <v>5</v>
      </c>
      <c r="C159" s="4">
        <v>1</v>
      </c>
      <c r="D159" s="4" t="s">
        <v>191</v>
      </c>
      <c r="E159" s="4" t="s">
        <v>172</v>
      </c>
      <c r="F159" s="4">
        <v>3.39</v>
      </c>
      <c r="G159" s="8">
        <v>3</v>
      </c>
      <c r="H159" s="8">
        <v>0.60000002384185791</v>
      </c>
      <c r="I159" s="8">
        <v>0</v>
      </c>
      <c r="J159" s="8">
        <v>0</v>
      </c>
      <c r="K159" s="8">
        <v>0</v>
      </c>
      <c r="L159" s="8">
        <v>2.7899999618530273</v>
      </c>
      <c r="M159" s="6">
        <v>0</v>
      </c>
      <c r="N159" s="5">
        <v>0</v>
      </c>
      <c r="O159" s="6">
        <v>0.60000002384185791</v>
      </c>
      <c r="P159" s="5">
        <v>0.17699115747547431</v>
      </c>
      <c r="Q159" s="6">
        <v>0</v>
      </c>
      <c r="R159" s="5">
        <v>0</v>
      </c>
      <c r="S159" s="6">
        <v>2.7899999618530273</v>
      </c>
      <c r="T159" s="5">
        <v>0.82300883830472782</v>
      </c>
      <c r="U159" s="4">
        <v>0</v>
      </c>
      <c r="V159" s="4">
        <v>0</v>
      </c>
      <c r="W159" s="4">
        <v>2025</v>
      </c>
    </row>
    <row r="160" spans="1:23" x14ac:dyDescent="0.25">
      <c r="A160" s="4">
        <v>1</v>
      </c>
      <c r="B160" s="4">
        <v>5</v>
      </c>
      <c r="C160" s="4">
        <v>2</v>
      </c>
      <c r="D160" s="4" t="s">
        <v>192</v>
      </c>
      <c r="E160" s="4" t="s">
        <v>175</v>
      </c>
      <c r="F160" s="4">
        <v>2.94</v>
      </c>
      <c r="G160" s="8">
        <v>3.5</v>
      </c>
      <c r="H160" s="8">
        <v>2.940000057220459</v>
      </c>
      <c r="I160" s="8">
        <v>0</v>
      </c>
      <c r="J160" s="8">
        <v>0</v>
      </c>
      <c r="K160" s="8">
        <v>0</v>
      </c>
      <c r="L160" s="8">
        <v>0</v>
      </c>
      <c r="M160" s="6">
        <v>0</v>
      </c>
      <c r="N160" s="5">
        <v>0</v>
      </c>
      <c r="O160" s="6">
        <v>2.0399999618530273</v>
      </c>
      <c r="P160" s="5">
        <v>0.69387753804524743</v>
      </c>
      <c r="Q160" s="6">
        <v>0.80000001192092896</v>
      </c>
      <c r="R160" s="5">
        <v>0.2721088475921527</v>
      </c>
      <c r="S160" s="6">
        <v>0.10000000149011612</v>
      </c>
      <c r="T160" s="5">
        <v>3.4013605949019088E-2</v>
      </c>
      <c r="U160" s="4">
        <v>0</v>
      </c>
      <c r="V160" s="4">
        <v>0</v>
      </c>
      <c r="W160" s="4">
        <v>2025</v>
      </c>
    </row>
    <row r="161" spans="1:23" x14ac:dyDescent="0.25">
      <c r="A161" s="4">
        <v>1</v>
      </c>
      <c r="B161" s="4">
        <v>5</v>
      </c>
      <c r="C161" s="4">
        <v>3</v>
      </c>
      <c r="D161" s="4" t="s">
        <v>193</v>
      </c>
      <c r="E161" s="4" t="s">
        <v>172</v>
      </c>
      <c r="F161" s="4">
        <v>0.06</v>
      </c>
      <c r="G161" s="8">
        <v>3.5</v>
      </c>
      <c r="H161" s="8">
        <v>5.9999998658895493E-2</v>
      </c>
      <c r="I161" s="8">
        <v>0</v>
      </c>
      <c r="J161" s="8">
        <v>0</v>
      </c>
      <c r="K161" s="8">
        <v>0</v>
      </c>
      <c r="L161" s="8">
        <v>0</v>
      </c>
      <c r="M161" s="6">
        <v>5.9999998658895493E-2</v>
      </c>
      <c r="N161" s="5">
        <v>0.99999997764825821</v>
      </c>
      <c r="O161" s="6">
        <v>0</v>
      </c>
      <c r="P161" s="5">
        <v>0</v>
      </c>
      <c r="Q161" s="6">
        <v>0</v>
      </c>
      <c r="R161" s="5">
        <v>0</v>
      </c>
      <c r="S161" s="6">
        <v>0</v>
      </c>
      <c r="T161" s="5">
        <v>0</v>
      </c>
      <c r="U161" s="4">
        <v>0</v>
      </c>
      <c r="V161" s="4">
        <v>0</v>
      </c>
      <c r="W161" s="4">
        <v>2025</v>
      </c>
    </row>
    <row r="162" spans="1:23" x14ac:dyDescent="0.25">
      <c r="A162" s="4">
        <v>1</v>
      </c>
      <c r="B162" s="4">
        <v>5</v>
      </c>
      <c r="C162" s="4">
        <v>4</v>
      </c>
      <c r="D162" s="4" t="s">
        <v>194</v>
      </c>
      <c r="E162" s="4" t="s">
        <v>172</v>
      </c>
      <c r="F162" s="4">
        <v>4.2699999999999996</v>
      </c>
      <c r="G162" s="8">
        <v>3.5</v>
      </c>
      <c r="H162" s="8">
        <v>4.1700000762939453</v>
      </c>
      <c r="I162" s="8">
        <v>0</v>
      </c>
      <c r="J162" s="8">
        <v>0.10000000149011612</v>
      </c>
      <c r="K162" s="8">
        <v>0</v>
      </c>
      <c r="L162" s="8">
        <v>0</v>
      </c>
      <c r="M162" s="6">
        <v>0.60000002384185791</v>
      </c>
      <c r="N162" s="5">
        <v>0.14051522806600888</v>
      </c>
      <c r="O162" s="6">
        <v>0.30000001192092896</v>
      </c>
      <c r="P162" s="5">
        <v>7.0257614033004442E-2</v>
      </c>
      <c r="Q162" s="6">
        <v>0.40000000596046448</v>
      </c>
      <c r="R162" s="5">
        <v>9.3676816384183723E-2</v>
      </c>
      <c r="S162" s="6">
        <v>2.9700000286102295</v>
      </c>
      <c r="T162" s="5">
        <v>0.69555035798834419</v>
      </c>
      <c r="U162" s="4">
        <v>0</v>
      </c>
      <c r="V162" s="4">
        <v>0</v>
      </c>
      <c r="W162" s="4">
        <v>2025</v>
      </c>
    </row>
    <row r="163" spans="1:23" x14ac:dyDescent="0.25">
      <c r="A163" s="4">
        <v>1</v>
      </c>
      <c r="B163" s="4">
        <v>5</v>
      </c>
      <c r="C163" s="4">
        <v>5</v>
      </c>
      <c r="D163" s="4" t="s">
        <v>195</v>
      </c>
      <c r="E163" s="4" t="s">
        <v>172</v>
      </c>
      <c r="F163" s="4">
        <v>4.6500000000000004</v>
      </c>
      <c r="G163" s="8">
        <v>3</v>
      </c>
      <c r="H163" s="8">
        <v>0.60000002384185791</v>
      </c>
      <c r="I163" s="8">
        <v>0</v>
      </c>
      <c r="J163" s="8">
        <v>0.89999997615814209</v>
      </c>
      <c r="K163" s="8">
        <v>3.1500000953674316</v>
      </c>
      <c r="L163" s="8">
        <v>0</v>
      </c>
      <c r="M163" s="6">
        <v>0</v>
      </c>
      <c r="N163" s="5">
        <v>0</v>
      </c>
      <c r="O163" s="6">
        <v>0</v>
      </c>
      <c r="P163" s="5">
        <v>0</v>
      </c>
      <c r="Q163" s="6">
        <v>0.40000000596046448</v>
      </c>
      <c r="R163" s="5">
        <v>8.6021506658164396E-2</v>
      </c>
      <c r="S163" s="6">
        <v>4.2500001192092896</v>
      </c>
      <c r="T163" s="5">
        <v>0.91397852026006221</v>
      </c>
      <c r="U163" s="4">
        <v>0</v>
      </c>
      <c r="V163" s="4">
        <v>0</v>
      </c>
      <c r="W163" s="4">
        <v>2025</v>
      </c>
    </row>
    <row r="164" spans="1:23" x14ac:dyDescent="0.25">
      <c r="A164" s="4">
        <v>1</v>
      </c>
      <c r="B164" s="4">
        <v>5</v>
      </c>
      <c r="C164" s="4">
        <v>6</v>
      </c>
      <c r="D164" s="4" t="s">
        <v>196</v>
      </c>
      <c r="E164" s="4" t="s">
        <v>172</v>
      </c>
      <c r="F164" s="4">
        <v>4.88</v>
      </c>
      <c r="G164" s="8">
        <v>3.2799999713897705</v>
      </c>
      <c r="H164" s="8">
        <v>0</v>
      </c>
      <c r="I164" s="8">
        <v>0</v>
      </c>
      <c r="J164" s="8">
        <v>0.98000001907348633</v>
      </c>
      <c r="K164" s="8">
        <v>0</v>
      </c>
      <c r="L164" s="8">
        <v>3.9000000953674316</v>
      </c>
      <c r="M164" s="6">
        <v>0</v>
      </c>
      <c r="N164" s="5">
        <v>0</v>
      </c>
      <c r="O164" s="6">
        <v>0.98000001907348633</v>
      </c>
      <c r="P164" s="5">
        <v>0.20081967603964884</v>
      </c>
      <c r="Q164" s="6">
        <v>0</v>
      </c>
      <c r="R164" s="5">
        <v>0</v>
      </c>
      <c r="S164" s="6">
        <v>3.9000000953674316</v>
      </c>
      <c r="T164" s="5">
        <v>0.79918034741135902</v>
      </c>
      <c r="U164" s="4">
        <v>0</v>
      </c>
      <c r="V164" s="4">
        <v>0</v>
      </c>
      <c r="W164" s="4">
        <v>2025</v>
      </c>
    </row>
    <row r="165" spans="1:23" x14ac:dyDescent="0.25">
      <c r="A165" s="4">
        <v>1</v>
      </c>
      <c r="B165" s="4">
        <v>5</v>
      </c>
      <c r="C165" s="4">
        <v>7</v>
      </c>
      <c r="D165" s="4" t="s">
        <v>197</v>
      </c>
      <c r="E165" s="4" t="s">
        <v>172</v>
      </c>
      <c r="F165" s="4">
        <v>4.57</v>
      </c>
      <c r="G165" s="8">
        <v>4</v>
      </c>
      <c r="H165" s="8">
        <v>0</v>
      </c>
      <c r="I165" s="8">
        <v>0</v>
      </c>
      <c r="J165" s="8">
        <v>0</v>
      </c>
      <c r="K165" s="8">
        <v>0</v>
      </c>
      <c r="L165" s="8">
        <v>4.570000171661377</v>
      </c>
      <c r="M165" s="6">
        <v>0</v>
      </c>
      <c r="N165" s="5">
        <v>0</v>
      </c>
      <c r="O165" s="6">
        <v>0</v>
      </c>
      <c r="P165" s="5">
        <v>0</v>
      </c>
      <c r="Q165" s="6">
        <v>0</v>
      </c>
      <c r="R165" s="5">
        <v>0</v>
      </c>
      <c r="S165" s="6">
        <v>4.570000171661377</v>
      </c>
      <c r="T165" s="5">
        <v>1.0000000375626645</v>
      </c>
      <c r="U165" s="4">
        <v>0</v>
      </c>
      <c r="V165" s="4">
        <v>0</v>
      </c>
      <c r="W165" s="4">
        <v>2025</v>
      </c>
    </row>
    <row r="166" spans="1:23" x14ac:dyDescent="0.25">
      <c r="A166" s="4">
        <v>1</v>
      </c>
      <c r="B166" s="4">
        <v>5</v>
      </c>
      <c r="C166" s="4">
        <v>8</v>
      </c>
      <c r="D166" s="4" t="s">
        <v>198</v>
      </c>
      <c r="E166" s="4" t="s">
        <v>172</v>
      </c>
      <c r="F166" s="4">
        <v>2.35</v>
      </c>
      <c r="G166" s="8">
        <v>3.5</v>
      </c>
      <c r="H166" s="8">
        <v>2.3499999046325684</v>
      </c>
      <c r="I166" s="8">
        <v>0</v>
      </c>
      <c r="J166" s="8">
        <v>0</v>
      </c>
      <c r="K166" s="8">
        <v>0</v>
      </c>
      <c r="L166" s="8">
        <v>0</v>
      </c>
      <c r="M166" s="6">
        <v>0.10000000149011612</v>
      </c>
      <c r="N166" s="5">
        <v>4.2553192123453668E-2</v>
      </c>
      <c r="O166" s="6">
        <v>1.1499999761581421</v>
      </c>
      <c r="P166" s="5">
        <v>0.4893616919821881</v>
      </c>
      <c r="Q166" s="6">
        <v>1</v>
      </c>
      <c r="R166" s="5">
        <v>0.42553191489361702</v>
      </c>
      <c r="S166" s="6">
        <v>0.10000000149011612</v>
      </c>
      <c r="T166" s="5">
        <v>4.2553192123453668E-2</v>
      </c>
      <c r="U166" s="4">
        <v>0</v>
      </c>
      <c r="V166" s="4">
        <v>0</v>
      </c>
      <c r="W166" s="4">
        <v>2025</v>
      </c>
    </row>
    <row r="167" spans="1:23" x14ac:dyDescent="0.25">
      <c r="A167" s="4">
        <v>1</v>
      </c>
      <c r="B167" s="4">
        <v>5</v>
      </c>
      <c r="C167" s="4">
        <v>9</v>
      </c>
      <c r="D167" s="4" t="s">
        <v>199</v>
      </c>
      <c r="E167" s="4" t="s">
        <v>172</v>
      </c>
      <c r="F167" s="4">
        <v>1.62</v>
      </c>
      <c r="G167" s="8">
        <v>3</v>
      </c>
      <c r="H167" s="8">
        <v>1.6200000047683716</v>
      </c>
      <c r="I167" s="8">
        <v>0</v>
      </c>
      <c r="J167" s="8">
        <v>0</v>
      </c>
      <c r="K167" s="8">
        <v>0</v>
      </c>
      <c r="L167" s="8">
        <v>0</v>
      </c>
      <c r="M167" s="6">
        <v>0</v>
      </c>
      <c r="N167" s="5">
        <v>0</v>
      </c>
      <c r="O167" s="6">
        <v>1.5</v>
      </c>
      <c r="P167" s="5">
        <v>0.92592592592592582</v>
      </c>
      <c r="Q167" s="6">
        <v>0.11999999731779099</v>
      </c>
      <c r="R167" s="5">
        <v>7.4074072418389494E-2</v>
      </c>
      <c r="S167" s="6">
        <v>0</v>
      </c>
      <c r="T167" s="5">
        <v>0</v>
      </c>
      <c r="U167" s="4">
        <v>0</v>
      </c>
      <c r="V167" s="4">
        <v>0</v>
      </c>
      <c r="W167" s="4">
        <v>2025</v>
      </c>
    </row>
    <row r="168" spans="1:23" x14ac:dyDescent="0.25">
      <c r="A168" s="4">
        <v>1</v>
      </c>
      <c r="B168" s="4">
        <v>6</v>
      </c>
      <c r="C168" s="4">
        <v>0</v>
      </c>
      <c r="D168" s="4" t="s">
        <v>200</v>
      </c>
      <c r="E168" s="4" t="s">
        <v>172</v>
      </c>
      <c r="F168" s="4">
        <v>0.47</v>
      </c>
      <c r="G168" s="8">
        <v>3</v>
      </c>
      <c r="H168" s="8">
        <v>0.4699999988079071</v>
      </c>
      <c r="I168" s="8">
        <v>0</v>
      </c>
      <c r="J168" s="8">
        <v>0</v>
      </c>
      <c r="K168" s="8">
        <v>0</v>
      </c>
      <c r="L168" s="8">
        <v>0</v>
      </c>
      <c r="M168" s="6">
        <v>0</v>
      </c>
      <c r="N168" s="5">
        <v>0</v>
      </c>
      <c r="O168" s="6">
        <v>0.4699999988079071</v>
      </c>
      <c r="P168" s="5">
        <v>0.99999999746363222</v>
      </c>
      <c r="Q168" s="6">
        <v>0</v>
      </c>
      <c r="R168" s="5">
        <v>0</v>
      </c>
      <c r="S168" s="6">
        <v>0</v>
      </c>
      <c r="T168" s="5">
        <v>0</v>
      </c>
      <c r="U168" s="4">
        <v>0</v>
      </c>
      <c r="V168" s="4">
        <v>0</v>
      </c>
      <c r="W168" s="4">
        <v>2025</v>
      </c>
    </row>
    <row r="169" spans="1:23" x14ac:dyDescent="0.25">
      <c r="A169" s="4">
        <v>1</v>
      </c>
      <c r="B169" s="4">
        <v>6</v>
      </c>
      <c r="C169" s="4">
        <v>1</v>
      </c>
      <c r="D169" s="4" t="s">
        <v>201</v>
      </c>
      <c r="E169" s="4" t="s">
        <v>172</v>
      </c>
      <c r="F169" s="4">
        <v>2.23</v>
      </c>
      <c r="G169" s="8">
        <v>3</v>
      </c>
      <c r="H169" s="8">
        <v>2.2300000190734863</v>
      </c>
      <c r="I169" s="8">
        <v>0</v>
      </c>
      <c r="J169" s="8">
        <v>0</v>
      </c>
      <c r="K169" s="8">
        <v>0</v>
      </c>
      <c r="L169" s="8">
        <v>0</v>
      </c>
      <c r="M169" s="6">
        <v>0</v>
      </c>
      <c r="N169" s="5">
        <v>0</v>
      </c>
      <c r="O169" s="6">
        <v>1.9299999475479126</v>
      </c>
      <c r="P169" s="5">
        <v>0.86547082849682178</v>
      </c>
      <c r="Q169" s="6">
        <v>0.30000001192092896</v>
      </c>
      <c r="R169" s="5">
        <v>0.13452915332777082</v>
      </c>
      <c r="S169" s="6">
        <v>0</v>
      </c>
      <c r="T169" s="5">
        <v>0</v>
      </c>
      <c r="U169" s="4">
        <v>0</v>
      </c>
      <c r="V169" s="4">
        <v>0</v>
      </c>
      <c r="W169" s="4">
        <v>2025</v>
      </c>
    </row>
    <row r="170" spans="1:23" x14ac:dyDescent="0.25">
      <c r="A170" s="4">
        <v>1</v>
      </c>
      <c r="B170" s="4">
        <v>6</v>
      </c>
      <c r="C170" s="4">
        <v>2</v>
      </c>
      <c r="D170" s="4" t="s">
        <v>202</v>
      </c>
      <c r="E170" s="4" t="s">
        <v>172</v>
      </c>
      <c r="F170" s="4">
        <v>2.36</v>
      </c>
      <c r="G170" s="8">
        <v>3.5</v>
      </c>
      <c r="H170" s="8">
        <v>2.3599998950958252</v>
      </c>
      <c r="I170" s="8">
        <v>0</v>
      </c>
      <c r="J170" s="8">
        <v>0</v>
      </c>
      <c r="K170" s="8">
        <v>0</v>
      </c>
      <c r="L170" s="8">
        <v>0</v>
      </c>
      <c r="M170" s="6">
        <v>2.059999942779541</v>
      </c>
      <c r="N170" s="5">
        <v>0.87288133168624626</v>
      </c>
      <c r="O170" s="6">
        <v>0.30000001192092896</v>
      </c>
      <c r="P170" s="5">
        <v>0.1271186491190377</v>
      </c>
      <c r="Q170" s="6">
        <v>0</v>
      </c>
      <c r="R170" s="5">
        <v>0</v>
      </c>
      <c r="S170" s="6">
        <v>0</v>
      </c>
      <c r="T170" s="5">
        <v>0</v>
      </c>
      <c r="U170" s="4">
        <v>0</v>
      </c>
      <c r="V170" s="4">
        <v>0</v>
      </c>
      <c r="W170" s="4">
        <v>2025</v>
      </c>
    </row>
    <row r="171" spans="1:23" x14ac:dyDescent="0.25">
      <c r="A171" s="4">
        <v>1</v>
      </c>
      <c r="B171" s="4">
        <v>6</v>
      </c>
      <c r="C171" s="4">
        <v>3</v>
      </c>
      <c r="D171" s="4" t="s">
        <v>203</v>
      </c>
      <c r="E171" s="4" t="s">
        <v>172</v>
      </c>
      <c r="F171" s="4">
        <v>0.45</v>
      </c>
      <c r="G171" s="8">
        <v>3</v>
      </c>
      <c r="H171" s="8">
        <v>0.44999998807907104</v>
      </c>
      <c r="I171" s="8">
        <v>0</v>
      </c>
      <c r="J171" s="8">
        <v>0</v>
      </c>
      <c r="K171" s="8">
        <v>0</v>
      </c>
      <c r="L171" s="8">
        <v>0</v>
      </c>
      <c r="M171" s="6">
        <v>0</v>
      </c>
      <c r="N171" s="5">
        <v>0</v>
      </c>
      <c r="O171" s="6">
        <v>0.34999999403953552</v>
      </c>
      <c r="P171" s="5">
        <v>0.77777776453230119</v>
      </c>
      <c r="Q171" s="6">
        <v>0.10000000149011612</v>
      </c>
      <c r="R171" s="5">
        <v>0.22222222553359136</v>
      </c>
      <c r="S171" s="6">
        <v>0</v>
      </c>
      <c r="T171" s="5">
        <v>0</v>
      </c>
      <c r="U171" s="4">
        <v>0</v>
      </c>
      <c r="V171" s="4">
        <v>0</v>
      </c>
      <c r="W171" s="4">
        <v>2025</v>
      </c>
    </row>
    <row r="172" spans="1:23" x14ac:dyDescent="0.25">
      <c r="A172" s="4">
        <v>1</v>
      </c>
      <c r="B172" s="4">
        <v>6</v>
      </c>
      <c r="C172" s="4">
        <v>4</v>
      </c>
      <c r="D172" s="4" t="s">
        <v>204</v>
      </c>
      <c r="E172" s="4" t="s">
        <v>172</v>
      </c>
      <c r="F172" s="4">
        <v>0.24</v>
      </c>
      <c r="G172" s="8">
        <v>3</v>
      </c>
      <c r="H172" s="8">
        <v>0.23999999463558197</v>
      </c>
      <c r="I172" s="8">
        <v>0</v>
      </c>
      <c r="J172" s="8">
        <v>0</v>
      </c>
      <c r="K172" s="8">
        <v>0</v>
      </c>
      <c r="L172" s="8">
        <v>0</v>
      </c>
      <c r="M172" s="6">
        <v>0</v>
      </c>
      <c r="N172" s="5">
        <v>0</v>
      </c>
      <c r="O172" s="6">
        <v>0.14000000059604645</v>
      </c>
      <c r="P172" s="5">
        <v>0.5833333358168602</v>
      </c>
      <c r="Q172" s="6">
        <v>0.10000000149011612</v>
      </c>
      <c r="R172" s="5">
        <v>0.41666667287548387</v>
      </c>
      <c r="S172" s="6">
        <v>0</v>
      </c>
      <c r="T172" s="5">
        <v>0</v>
      </c>
      <c r="U172" s="4">
        <v>0</v>
      </c>
      <c r="V172" s="4">
        <v>0</v>
      </c>
      <c r="W172" s="4">
        <v>2025</v>
      </c>
    </row>
    <row r="173" spans="1:23" x14ac:dyDescent="0.25">
      <c r="A173" s="4">
        <v>1</v>
      </c>
      <c r="B173" s="4">
        <v>6</v>
      </c>
      <c r="C173" s="4">
        <v>5</v>
      </c>
      <c r="D173" s="4" t="s">
        <v>205</v>
      </c>
      <c r="E173" s="4" t="s">
        <v>206</v>
      </c>
      <c r="F173" s="4">
        <v>4</v>
      </c>
      <c r="G173" s="8">
        <v>2</v>
      </c>
      <c r="H173" s="8">
        <v>0</v>
      </c>
      <c r="I173" s="8">
        <v>0</v>
      </c>
      <c r="J173" s="8">
        <v>0.70000001788139343</v>
      </c>
      <c r="K173" s="8">
        <v>0</v>
      </c>
      <c r="L173" s="8">
        <v>3.2999999523162842</v>
      </c>
      <c r="M173" s="6">
        <v>0</v>
      </c>
      <c r="N173" s="5">
        <v>0</v>
      </c>
      <c r="O173" s="6">
        <v>0.30000001192092896</v>
      </c>
      <c r="P173" s="5">
        <v>7.5000002980232239E-2</v>
      </c>
      <c r="Q173" s="6">
        <v>0</v>
      </c>
      <c r="R173" s="5">
        <v>0</v>
      </c>
      <c r="S173" s="6">
        <v>3.6999999582767487</v>
      </c>
      <c r="T173" s="5">
        <v>0.92499998956918716</v>
      </c>
      <c r="U173" s="4">
        <v>0</v>
      </c>
      <c r="V173" s="4">
        <v>0</v>
      </c>
      <c r="W173" s="4">
        <v>2025</v>
      </c>
    </row>
    <row r="174" spans="1:23" x14ac:dyDescent="0.25">
      <c r="A174" s="4">
        <v>1</v>
      </c>
      <c r="B174" s="4">
        <v>6</v>
      </c>
      <c r="C174" s="4">
        <v>6</v>
      </c>
      <c r="D174" s="4" t="s">
        <v>207</v>
      </c>
      <c r="E174" s="4" t="s">
        <v>172</v>
      </c>
      <c r="F174" s="4">
        <v>1.98</v>
      </c>
      <c r="G174" s="8">
        <v>1.5</v>
      </c>
      <c r="H174" s="8">
        <v>0</v>
      </c>
      <c r="I174" s="8">
        <v>0</v>
      </c>
      <c r="J174" s="8">
        <v>1.9800000190734863</v>
      </c>
      <c r="K174" s="8">
        <v>0</v>
      </c>
      <c r="L174" s="8">
        <v>0</v>
      </c>
      <c r="M174" s="6">
        <v>0</v>
      </c>
      <c r="N174" s="5">
        <v>0</v>
      </c>
      <c r="O174" s="6">
        <v>0</v>
      </c>
      <c r="P174" s="5">
        <v>0</v>
      </c>
      <c r="Q174" s="6">
        <v>0</v>
      </c>
      <c r="R174" s="5">
        <v>0</v>
      </c>
      <c r="S174" s="6">
        <v>1.9800000190734863</v>
      </c>
      <c r="T174" s="5">
        <v>1.0000000096330739</v>
      </c>
      <c r="U174" s="4">
        <v>0</v>
      </c>
      <c r="V174" s="4">
        <v>0</v>
      </c>
      <c r="W174" s="4">
        <v>2025</v>
      </c>
    </row>
    <row r="175" spans="1:23" x14ac:dyDescent="0.25">
      <c r="A175" s="4">
        <v>1</v>
      </c>
      <c r="B175" s="4">
        <v>6</v>
      </c>
      <c r="C175" s="4">
        <v>7</v>
      </c>
      <c r="D175" s="4" t="s">
        <v>208</v>
      </c>
      <c r="E175" s="4" t="s">
        <v>209</v>
      </c>
      <c r="F175" s="4">
        <v>3.03</v>
      </c>
      <c r="G175" s="8">
        <v>3.5</v>
      </c>
      <c r="H175" s="8">
        <v>3.0299999713897705</v>
      </c>
      <c r="I175" s="8">
        <v>0</v>
      </c>
      <c r="J175" s="8">
        <v>0</v>
      </c>
      <c r="K175" s="8">
        <v>0</v>
      </c>
      <c r="L175" s="8">
        <v>0</v>
      </c>
      <c r="M175" s="6">
        <v>1</v>
      </c>
      <c r="N175" s="5">
        <v>0.33003300330033003</v>
      </c>
      <c r="O175" s="6">
        <v>1.1299999952316284</v>
      </c>
      <c r="P175" s="5">
        <v>0.37293729215565297</v>
      </c>
      <c r="Q175" s="6">
        <v>0.89999997615814209</v>
      </c>
      <c r="R175" s="5">
        <v>0.29702969510169708</v>
      </c>
      <c r="S175" s="6">
        <v>0</v>
      </c>
      <c r="T175" s="5">
        <v>0</v>
      </c>
      <c r="U175" s="4">
        <v>0</v>
      </c>
      <c r="V175" s="4">
        <v>0</v>
      </c>
      <c r="W175" s="4">
        <v>2025</v>
      </c>
    </row>
    <row r="176" spans="1:23" x14ac:dyDescent="0.25">
      <c r="A176" s="4">
        <v>1</v>
      </c>
      <c r="B176" s="4">
        <v>6</v>
      </c>
      <c r="C176" s="4">
        <v>8</v>
      </c>
      <c r="D176" s="4" t="s">
        <v>210</v>
      </c>
      <c r="E176" s="4" t="s">
        <v>209</v>
      </c>
      <c r="F176" s="4">
        <v>1.1100000000000001</v>
      </c>
      <c r="G176" s="8">
        <v>3</v>
      </c>
      <c r="H176" s="8">
        <v>1.1100000143051147</v>
      </c>
      <c r="I176" s="8">
        <v>0</v>
      </c>
      <c r="J176" s="8">
        <v>0</v>
      </c>
      <c r="K176" s="8">
        <v>0</v>
      </c>
      <c r="L176" s="8">
        <v>0</v>
      </c>
      <c r="M176" s="6">
        <v>0.9100000262260437</v>
      </c>
      <c r="N176" s="5">
        <v>0.81981984344688619</v>
      </c>
      <c r="O176" s="6">
        <v>0.20000000298023224</v>
      </c>
      <c r="P176" s="5">
        <v>0.18018018286507406</v>
      </c>
      <c r="Q176" s="6">
        <v>0</v>
      </c>
      <c r="R176" s="5">
        <v>0</v>
      </c>
      <c r="S176" s="6">
        <v>0</v>
      </c>
      <c r="T176" s="5">
        <v>0</v>
      </c>
      <c r="U176" s="4">
        <v>0</v>
      </c>
      <c r="V176" s="4">
        <v>0</v>
      </c>
      <c r="W176" s="4">
        <v>2025</v>
      </c>
    </row>
    <row r="177" spans="1:23" x14ac:dyDescent="0.25">
      <c r="A177" s="4">
        <v>1</v>
      </c>
      <c r="B177" s="4">
        <v>6</v>
      </c>
      <c r="C177" s="4">
        <v>9</v>
      </c>
      <c r="D177" s="4" t="s">
        <v>211</v>
      </c>
      <c r="E177" s="4" t="s">
        <v>212</v>
      </c>
      <c r="F177" s="4">
        <v>4.57</v>
      </c>
      <c r="G177" s="8">
        <v>3.5</v>
      </c>
      <c r="H177" s="8">
        <v>4.570000171661377</v>
      </c>
      <c r="I177" s="8">
        <v>0</v>
      </c>
      <c r="J177" s="8">
        <v>0</v>
      </c>
      <c r="K177" s="8">
        <v>0</v>
      </c>
      <c r="L177" s="8">
        <v>0</v>
      </c>
      <c r="M177" s="6">
        <v>0</v>
      </c>
      <c r="N177" s="5">
        <v>0</v>
      </c>
      <c r="O177" s="6">
        <v>2.5699999332427979</v>
      </c>
      <c r="P177" s="5">
        <v>0.56236322390433213</v>
      </c>
      <c r="Q177" s="6">
        <v>2</v>
      </c>
      <c r="R177" s="5">
        <v>0.43763676148796499</v>
      </c>
      <c r="S177" s="6">
        <v>0</v>
      </c>
      <c r="T177" s="5">
        <v>0</v>
      </c>
      <c r="U177" s="4">
        <v>0</v>
      </c>
      <c r="V177" s="4">
        <v>0</v>
      </c>
      <c r="W177" s="4">
        <v>2025</v>
      </c>
    </row>
    <row r="178" spans="1:23" x14ac:dyDescent="0.25">
      <c r="A178" s="4">
        <v>1</v>
      </c>
      <c r="B178" s="4">
        <v>7</v>
      </c>
      <c r="C178" s="4">
        <v>0</v>
      </c>
      <c r="D178" s="4" t="s">
        <v>213</v>
      </c>
      <c r="E178" s="4" t="s">
        <v>212</v>
      </c>
      <c r="F178" s="4">
        <v>1.07</v>
      </c>
      <c r="G178" s="8">
        <v>3</v>
      </c>
      <c r="H178" s="8">
        <v>1.0700000524520874</v>
      </c>
      <c r="I178" s="8">
        <v>0</v>
      </c>
      <c r="J178" s="8">
        <v>0</v>
      </c>
      <c r="K178" s="8">
        <v>0</v>
      </c>
      <c r="L178" s="8">
        <v>0</v>
      </c>
      <c r="M178" s="6">
        <v>0</v>
      </c>
      <c r="N178" s="5">
        <v>0</v>
      </c>
      <c r="O178" s="6">
        <v>7.0000000298023224E-2</v>
      </c>
      <c r="P178" s="5">
        <v>6.5420561026189927E-2</v>
      </c>
      <c r="Q178" s="6">
        <v>0.5</v>
      </c>
      <c r="R178" s="5">
        <v>0.46728971962616822</v>
      </c>
      <c r="S178" s="6">
        <v>0.5</v>
      </c>
      <c r="T178" s="5">
        <v>0.46728971962616822</v>
      </c>
      <c r="U178" s="4">
        <v>0</v>
      </c>
      <c r="V178" s="4">
        <v>0</v>
      </c>
      <c r="W178" s="4">
        <v>2025</v>
      </c>
    </row>
    <row r="179" spans="1:23" x14ac:dyDescent="0.25">
      <c r="A179" s="4">
        <v>1</v>
      </c>
      <c r="B179" s="4">
        <v>7</v>
      </c>
      <c r="C179" s="4">
        <v>1</v>
      </c>
      <c r="D179" s="4" t="s">
        <v>214</v>
      </c>
      <c r="E179" s="4" t="s">
        <v>215</v>
      </c>
      <c r="F179" s="4">
        <v>6.74</v>
      </c>
      <c r="G179" s="8">
        <v>3</v>
      </c>
      <c r="H179" s="8">
        <v>6.7399997711181641</v>
      </c>
      <c r="I179" s="8">
        <v>0</v>
      </c>
      <c r="J179" s="8">
        <v>0</v>
      </c>
      <c r="K179" s="8">
        <v>0</v>
      </c>
      <c r="L179" s="8">
        <v>0</v>
      </c>
      <c r="M179" s="6">
        <v>0.89999997615814209</v>
      </c>
      <c r="N179" s="5">
        <v>0.13353115373266203</v>
      </c>
      <c r="O179" s="6">
        <v>2.1400001049041748</v>
      </c>
      <c r="P179" s="5">
        <v>0.31750743396204373</v>
      </c>
      <c r="Q179" s="6">
        <v>2</v>
      </c>
      <c r="R179" s="5">
        <v>0.29673590504451036</v>
      </c>
      <c r="S179" s="6">
        <v>1.7000000476837158</v>
      </c>
      <c r="T179" s="5">
        <v>0.25222552636256912</v>
      </c>
      <c r="U179" s="4">
        <v>0</v>
      </c>
      <c r="V179" s="4">
        <v>0</v>
      </c>
      <c r="W179" s="4">
        <v>2025</v>
      </c>
    </row>
    <row r="180" spans="1:23" x14ac:dyDescent="0.25">
      <c r="A180" s="4">
        <v>1</v>
      </c>
      <c r="B180" s="4">
        <v>7</v>
      </c>
      <c r="C180" s="4">
        <v>2</v>
      </c>
      <c r="D180" s="4" t="s">
        <v>216</v>
      </c>
      <c r="E180" s="4" t="s">
        <v>209</v>
      </c>
      <c r="F180" s="4">
        <v>5.88</v>
      </c>
      <c r="G180" s="8">
        <v>3</v>
      </c>
      <c r="H180" s="8">
        <v>5.880000114440918</v>
      </c>
      <c r="I180" s="8">
        <v>0</v>
      </c>
      <c r="J180" s="8">
        <v>0</v>
      </c>
      <c r="K180" s="8">
        <v>0</v>
      </c>
      <c r="L180" s="8">
        <v>0</v>
      </c>
      <c r="M180" s="6">
        <v>1.7000000476837158</v>
      </c>
      <c r="N180" s="5">
        <v>0.28911565436797887</v>
      </c>
      <c r="O180" s="6">
        <v>3.2799999713897705</v>
      </c>
      <c r="P180" s="5">
        <v>0.55782312438601545</v>
      </c>
      <c r="Q180" s="6">
        <v>0.89999997615814209</v>
      </c>
      <c r="R180" s="5">
        <v>0.15306122043505818</v>
      </c>
      <c r="S180" s="6">
        <v>0</v>
      </c>
      <c r="T180" s="5">
        <v>0</v>
      </c>
      <c r="U180" s="4">
        <v>0</v>
      </c>
      <c r="V180" s="4">
        <v>0</v>
      </c>
      <c r="W180" s="4">
        <v>2025</v>
      </c>
    </row>
    <row r="181" spans="1:23" x14ac:dyDescent="0.25">
      <c r="A181" s="4">
        <v>1</v>
      </c>
      <c r="B181" s="4">
        <v>7</v>
      </c>
      <c r="C181" s="4">
        <v>3</v>
      </c>
      <c r="D181" s="4" t="s">
        <v>217</v>
      </c>
      <c r="E181" s="4" t="s">
        <v>209</v>
      </c>
      <c r="F181" s="4">
        <v>1.49</v>
      </c>
      <c r="G181" s="8">
        <v>3</v>
      </c>
      <c r="H181" s="8">
        <v>1.4900000095367432</v>
      </c>
      <c r="I181" s="8">
        <v>0</v>
      </c>
      <c r="J181" s="8">
        <v>0</v>
      </c>
      <c r="K181" s="8">
        <v>0</v>
      </c>
      <c r="L181" s="8">
        <v>0</v>
      </c>
      <c r="M181" s="6">
        <v>1.4900000095367432</v>
      </c>
      <c r="N181" s="5">
        <v>1.0000000064004988</v>
      </c>
      <c r="O181" s="6">
        <v>0</v>
      </c>
      <c r="P181" s="5">
        <v>0</v>
      </c>
      <c r="Q181" s="6">
        <v>0</v>
      </c>
      <c r="R181" s="5">
        <v>0</v>
      </c>
      <c r="S181" s="6">
        <v>0</v>
      </c>
      <c r="T181" s="5">
        <v>0</v>
      </c>
      <c r="U181" s="4">
        <v>0</v>
      </c>
      <c r="V181" s="4">
        <v>0</v>
      </c>
      <c r="W181" s="4">
        <v>2025</v>
      </c>
    </row>
    <row r="182" spans="1:23" x14ac:dyDescent="0.25">
      <c r="A182" s="4">
        <v>1</v>
      </c>
      <c r="B182" s="4">
        <v>7</v>
      </c>
      <c r="C182" s="4">
        <v>4</v>
      </c>
      <c r="D182" s="4" t="s">
        <v>218</v>
      </c>
      <c r="E182" s="4" t="s">
        <v>209</v>
      </c>
      <c r="F182" s="4">
        <v>3.58</v>
      </c>
      <c r="G182" s="8">
        <v>3</v>
      </c>
      <c r="H182" s="8">
        <v>1.1000000238418579</v>
      </c>
      <c r="I182" s="8">
        <v>0</v>
      </c>
      <c r="J182" s="8">
        <v>0</v>
      </c>
      <c r="K182" s="8">
        <v>2.4800000190734863</v>
      </c>
      <c r="L182" s="8">
        <v>0</v>
      </c>
      <c r="M182" s="6">
        <v>0</v>
      </c>
      <c r="N182" s="5">
        <v>0</v>
      </c>
      <c r="O182" s="6">
        <v>1</v>
      </c>
      <c r="P182" s="5">
        <v>0.27932960893854747</v>
      </c>
      <c r="Q182" s="6">
        <v>0.10000000149011612</v>
      </c>
      <c r="R182" s="5">
        <v>2.7932961310088301E-2</v>
      </c>
      <c r="S182" s="6">
        <v>2.4800000190734863</v>
      </c>
      <c r="T182" s="5">
        <v>0.69273743549538724</v>
      </c>
      <c r="U182" s="4">
        <v>0</v>
      </c>
      <c r="V182" s="4">
        <v>0</v>
      </c>
      <c r="W182" s="4">
        <v>2025</v>
      </c>
    </row>
    <row r="183" spans="1:23" x14ac:dyDescent="0.25">
      <c r="A183" s="4">
        <v>1</v>
      </c>
      <c r="B183" s="4">
        <v>7</v>
      </c>
      <c r="C183" s="4">
        <v>5</v>
      </c>
      <c r="D183" s="4" t="s">
        <v>219</v>
      </c>
      <c r="E183" s="4" t="s">
        <v>219</v>
      </c>
      <c r="F183" s="4">
        <v>5.58</v>
      </c>
      <c r="G183" s="8">
        <v>3</v>
      </c>
      <c r="H183" s="8">
        <v>5.5799999237060547</v>
      </c>
      <c r="I183" s="8">
        <v>0</v>
      </c>
      <c r="J183" s="8">
        <v>0</v>
      </c>
      <c r="K183" s="8">
        <v>0</v>
      </c>
      <c r="L183" s="8">
        <v>0</v>
      </c>
      <c r="M183" s="6">
        <v>0.40000000596046448</v>
      </c>
      <c r="N183" s="5">
        <v>7.1684588881803665E-2</v>
      </c>
      <c r="O183" s="6">
        <v>3.9800000190734863</v>
      </c>
      <c r="P183" s="5">
        <v>0.71326165216370718</v>
      </c>
      <c r="Q183" s="6">
        <v>1.2000000476837158</v>
      </c>
      <c r="R183" s="5">
        <v>0.215053771986329</v>
      </c>
      <c r="S183" s="6">
        <v>0</v>
      </c>
      <c r="T183" s="5">
        <v>0</v>
      </c>
      <c r="U183" s="4">
        <v>0</v>
      </c>
      <c r="V183" s="4">
        <v>0</v>
      </c>
      <c r="W183" s="4">
        <v>2025</v>
      </c>
    </row>
    <row r="184" spans="1:23" x14ac:dyDescent="0.25">
      <c r="A184" s="4">
        <v>1</v>
      </c>
      <c r="B184" s="4">
        <v>7</v>
      </c>
      <c r="C184" s="4">
        <v>6</v>
      </c>
      <c r="D184" s="4" t="s">
        <v>220</v>
      </c>
      <c r="E184" s="4" t="s">
        <v>219</v>
      </c>
      <c r="F184" s="4">
        <v>2.09</v>
      </c>
      <c r="G184" s="8">
        <v>3</v>
      </c>
      <c r="H184" s="8">
        <v>2.0899999141693115</v>
      </c>
      <c r="I184" s="8">
        <v>0</v>
      </c>
      <c r="J184" s="8">
        <v>0</v>
      </c>
      <c r="K184" s="8">
        <v>0</v>
      </c>
      <c r="L184" s="8">
        <v>0</v>
      </c>
      <c r="M184" s="6">
        <v>0</v>
      </c>
      <c r="N184" s="5">
        <v>0</v>
      </c>
      <c r="O184" s="6">
        <v>1.8899999856948853</v>
      </c>
      <c r="P184" s="5">
        <v>0.90430621325114136</v>
      </c>
      <c r="Q184" s="6">
        <v>0.20000000298023224</v>
      </c>
      <c r="R184" s="5">
        <v>9.5693781330254662E-2</v>
      </c>
      <c r="S184" s="6">
        <v>0</v>
      </c>
      <c r="T184" s="5">
        <v>0</v>
      </c>
      <c r="U184" s="4">
        <v>0</v>
      </c>
      <c r="V184" s="4">
        <v>0</v>
      </c>
      <c r="W184" s="4">
        <v>2025</v>
      </c>
    </row>
    <row r="185" spans="1:23" x14ac:dyDescent="0.25">
      <c r="A185" s="4">
        <v>1</v>
      </c>
      <c r="B185" s="4">
        <v>7</v>
      </c>
      <c r="C185" s="4">
        <v>7</v>
      </c>
      <c r="D185" s="4" t="s">
        <v>221</v>
      </c>
      <c r="E185" s="4" t="s">
        <v>219</v>
      </c>
      <c r="F185" s="4">
        <v>2.11</v>
      </c>
      <c r="G185" s="8">
        <v>3.5</v>
      </c>
      <c r="H185" s="8">
        <v>2.1099998950958252</v>
      </c>
      <c r="I185" s="8">
        <v>0</v>
      </c>
      <c r="J185" s="8">
        <v>0</v>
      </c>
      <c r="K185" s="8">
        <v>0</v>
      </c>
      <c r="L185" s="8">
        <v>0</v>
      </c>
      <c r="M185" s="6">
        <v>0</v>
      </c>
      <c r="N185" s="5">
        <v>0</v>
      </c>
      <c r="O185" s="6">
        <v>2.0099999904632568</v>
      </c>
      <c r="P185" s="5">
        <v>0.95260663055130657</v>
      </c>
      <c r="Q185" s="6">
        <v>0.10000000149011612</v>
      </c>
      <c r="R185" s="5">
        <v>4.7393365635126125E-2</v>
      </c>
      <c r="S185" s="6">
        <v>0</v>
      </c>
      <c r="T185" s="5">
        <v>0</v>
      </c>
      <c r="U185" s="4">
        <v>0</v>
      </c>
      <c r="V185" s="4">
        <v>0</v>
      </c>
      <c r="W185" s="4">
        <v>2025</v>
      </c>
    </row>
    <row r="186" spans="1:23" x14ac:dyDescent="0.25">
      <c r="A186" s="4">
        <v>1</v>
      </c>
      <c r="B186" s="4">
        <v>7</v>
      </c>
      <c r="C186" s="4">
        <v>8</v>
      </c>
      <c r="D186" s="4" t="s">
        <v>222</v>
      </c>
      <c r="E186" s="4" t="s">
        <v>209</v>
      </c>
      <c r="F186" s="4">
        <v>7</v>
      </c>
      <c r="G186" s="8">
        <v>3</v>
      </c>
      <c r="H186" s="8">
        <v>5.4000000953674316</v>
      </c>
      <c r="I186" s="8">
        <v>0</v>
      </c>
      <c r="J186" s="8">
        <v>0</v>
      </c>
      <c r="K186" s="8">
        <v>1.6000000238418579</v>
      </c>
      <c r="L186" s="8">
        <v>0</v>
      </c>
      <c r="M186" s="6">
        <v>1.3999999761581421</v>
      </c>
      <c r="N186" s="5">
        <v>0.19999999659402029</v>
      </c>
      <c r="O186" s="6">
        <v>1.1000000238418579</v>
      </c>
      <c r="P186" s="5">
        <v>0.15714286054883683</v>
      </c>
      <c r="Q186" s="6">
        <v>1.2999999523162842</v>
      </c>
      <c r="R186" s="5">
        <v>0.18571427890232631</v>
      </c>
      <c r="S186" s="6">
        <v>3.2000000476837158</v>
      </c>
      <c r="T186" s="5">
        <v>0.45714286395481657</v>
      </c>
      <c r="U186" s="4">
        <v>0</v>
      </c>
      <c r="V186" s="4">
        <v>0</v>
      </c>
      <c r="W186" s="4">
        <v>2025</v>
      </c>
    </row>
    <row r="187" spans="1:23" x14ac:dyDescent="0.25">
      <c r="A187" s="4">
        <v>1</v>
      </c>
      <c r="B187" s="4">
        <v>7</v>
      </c>
      <c r="C187" s="4">
        <v>9</v>
      </c>
      <c r="D187" s="4" t="s">
        <v>223</v>
      </c>
      <c r="E187" s="4" t="s">
        <v>212</v>
      </c>
      <c r="F187" s="4">
        <v>4.9000000000000004</v>
      </c>
      <c r="G187" s="8">
        <v>3.5</v>
      </c>
      <c r="H187" s="8">
        <v>4.9000000953674316</v>
      </c>
      <c r="I187" s="8">
        <v>0</v>
      </c>
      <c r="J187" s="8">
        <v>0</v>
      </c>
      <c r="K187" s="8">
        <v>0</v>
      </c>
      <c r="L187" s="8">
        <v>0</v>
      </c>
      <c r="M187" s="6">
        <v>0</v>
      </c>
      <c r="N187" s="5">
        <v>0</v>
      </c>
      <c r="O187" s="6">
        <v>3</v>
      </c>
      <c r="P187" s="5">
        <v>0.61224489795918358</v>
      </c>
      <c r="Q187" s="6">
        <v>1.8999999761581421</v>
      </c>
      <c r="R187" s="5">
        <v>0.38775509717513101</v>
      </c>
      <c r="S187" s="6">
        <v>0</v>
      </c>
      <c r="T187" s="5">
        <v>0</v>
      </c>
      <c r="U187" s="4">
        <v>0</v>
      </c>
      <c r="V187" s="4">
        <v>0</v>
      </c>
      <c r="W187" s="4">
        <v>2025</v>
      </c>
    </row>
    <row r="188" spans="1:23" x14ac:dyDescent="0.25">
      <c r="A188" s="4">
        <v>1</v>
      </c>
      <c r="B188" s="4">
        <v>8</v>
      </c>
      <c r="C188" s="4">
        <v>0</v>
      </c>
      <c r="D188" s="4" t="s">
        <v>224</v>
      </c>
      <c r="E188" s="4" t="s">
        <v>209</v>
      </c>
      <c r="F188" s="4">
        <v>2.95</v>
      </c>
      <c r="G188" s="8">
        <v>3.5</v>
      </c>
      <c r="H188" s="8">
        <v>2.9500000476837158</v>
      </c>
      <c r="I188" s="8">
        <v>0</v>
      </c>
      <c r="J188" s="8">
        <v>0</v>
      </c>
      <c r="K188" s="8">
        <v>0</v>
      </c>
      <c r="L188" s="8">
        <v>0</v>
      </c>
      <c r="M188" s="6">
        <v>0</v>
      </c>
      <c r="N188" s="5">
        <v>0</v>
      </c>
      <c r="O188" s="6">
        <v>1.0499999523162842</v>
      </c>
      <c r="P188" s="5">
        <v>0.35593218722585901</v>
      </c>
      <c r="Q188" s="6">
        <v>1.6000000238418579</v>
      </c>
      <c r="R188" s="5">
        <v>0.54237288943791795</v>
      </c>
      <c r="S188" s="6">
        <v>0.30000001192092896</v>
      </c>
      <c r="T188" s="5">
        <v>0.10169491929523015</v>
      </c>
      <c r="U188" s="4">
        <v>0</v>
      </c>
      <c r="V188" s="4">
        <v>0</v>
      </c>
      <c r="W188" s="4">
        <v>2025</v>
      </c>
    </row>
    <row r="189" spans="1:23" x14ac:dyDescent="0.25">
      <c r="A189" s="4">
        <v>1</v>
      </c>
      <c r="B189" s="4">
        <v>8</v>
      </c>
      <c r="C189" s="4">
        <v>1</v>
      </c>
      <c r="D189" s="4" t="s">
        <v>225</v>
      </c>
      <c r="E189" s="4" t="s">
        <v>209</v>
      </c>
      <c r="F189" s="4">
        <v>1.26</v>
      </c>
      <c r="G189" s="8">
        <v>3.5</v>
      </c>
      <c r="H189" s="8">
        <v>1</v>
      </c>
      <c r="I189" s="8">
        <v>0</v>
      </c>
      <c r="J189" s="8">
        <v>0.25999999046325684</v>
      </c>
      <c r="K189" s="8">
        <v>0</v>
      </c>
      <c r="L189" s="8">
        <v>0</v>
      </c>
      <c r="M189" s="6">
        <v>0</v>
      </c>
      <c r="N189" s="5">
        <v>0</v>
      </c>
      <c r="O189" s="6">
        <v>0.69999998807907104</v>
      </c>
      <c r="P189" s="5">
        <v>0.55555554609450086</v>
      </c>
      <c r="Q189" s="6">
        <v>0.30000001192092896</v>
      </c>
      <c r="R189" s="5">
        <v>0.23809524755629283</v>
      </c>
      <c r="S189" s="6">
        <v>0.25999999046325684</v>
      </c>
      <c r="T189" s="5">
        <v>0.20634919878036256</v>
      </c>
      <c r="U189" s="4">
        <v>0</v>
      </c>
      <c r="V189" s="4">
        <v>0</v>
      </c>
      <c r="W189" s="4">
        <v>2025</v>
      </c>
    </row>
    <row r="190" spans="1:23" x14ac:dyDescent="0.25">
      <c r="A190" s="4">
        <v>1</v>
      </c>
      <c r="B190" s="4">
        <v>8</v>
      </c>
      <c r="C190" s="4">
        <v>2</v>
      </c>
      <c r="D190" s="4" t="s">
        <v>226</v>
      </c>
      <c r="E190" s="4" t="s">
        <v>209</v>
      </c>
      <c r="F190" s="4">
        <v>0.55000000000000004</v>
      </c>
      <c r="G190" s="8">
        <v>3</v>
      </c>
      <c r="H190" s="8">
        <v>0.40000000596046448</v>
      </c>
      <c r="I190" s="8">
        <v>0</v>
      </c>
      <c r="J190" s="8">
        <v>0</v>
      </c>
      <c r="K190" s="8">
        <v>0.15000000596046448</v>
      </c>
      <c r="L190" s="8">
        <v>0</v>
      </c>
      <c r="M190" s="6">
        <v>0.10000000149011612</v>
      </c>
      <c r="N190" s="5">
        <v>0.18181818452748383</v>
      </c>
      <c r="O190" s="6">
        <v>0.20000000298023224</v>
      </c>
      <c r="P190" s="5">
        <v>0.36363636905496766</v>
      </c>
      <c r="Q190" s="6">
        <v>0.10000000149011612</v>
      </c>
      <c r="R190" s="5">
        <v>0.18181818452748383</v>
      </c>
      <c r="S190" s="6">
        <v>0.15000000596046448</v>
      </c>
      <c r="T190" s="5">
        <v>0.27272728356448084</v>
      </c>
      <c r="U190" s="4">
        <v>0</v>
      </c>
      <c r="V190" s="4">
        <v>0</v>
      </c>
      <c r="W190" s="4">
        <v>2025</v>
      </c>
    </row>
    <row r="191" spans="1:23" x14ac:dyDescent="0.25">
      <c r="A191" s="4">
        <v>1</v>
      </c>
      <c r="B191" s="4">
        <v>8</v>
      </c>
      <c r="C191" s="4">
        <v>3</v>
      </c>
      <c r="D191" s="4" t="s">
        <v>227</v>
      </c>
      <c r="E191" s="4" t="s">
        <v>215</v>
      </c>
      <c r="F191" s="4">
        <v>3.67</v>
      </c>
      <c r="G191" s="8">
        <v>3</v>
      </c>
      <c r="H191" s="8">
        <v>0</v>
      </c>
      <c r="I191" s="8">
        <v>0</v>
      </c>
      <c r="J191" s="8">
        <v>0</v>
      </c>
      <c r="K191" s="8">
        <v>0</v>
      </c>
      <c r="L191" s="8">
        <v>3.6700000762939453</v>
      </c>
      <c r="M191" s="6">
        <v>0</v>
      </c>
      <c r="N191" s="5">
        <v>0</v>
      </c>
      <c r="O191" s="6">
        <v>0</v>
      </c>
      <c r="P191" s="5">
        <v>0</v>
      </c>
      <c r="Q191" s="6">
        <v>0</v>
      </c>
      <c r="R191" s="5">
        <v>0</v>
      </c>
      <c r="S191" s="6">
        <v>3.6700000762939453</v>
      </c>
      <c r="T191" s="5">
        <v>1.0000000207885409</v>
      </c>
      <c r="U191" s="4">
        <v>0</v>
      </c>
      <c r="V191" s="4">
        <v>0</v>
      </c>
      <c r="W191" s="4">
        <v>2025</v>
      </c>
    </row>
    <row r="192" spans="1:23" x14ac:dyDescent="0.25">
      <c r="A192" s="4">
        <v>1</v>
      </c>
      <c r="B192" s="4">
        <v>8</v>
      </c>
      <c r="C192" s="4">
        <v>4</v>
      </c>
      <c r="D192" s="4" t="s">
        <v>228</v>
      </c>
      <c r="E192" s="4" t="s">
        <v>209</v>
      </c>
      <c r="F192" s="4">
        <v>2.2599999999999998</v>
      </c>
      <c r="G192" s="8">
        <v>3</v>
      </c>
      <c r="H192" s="8">
        <v>2.2599999904632568</v>
      </c>
      <c r="I192" s="8">
        <v>0</v>
      </c>
      <c r="J192" s="8">
        <v>0</v>
      </c>
      <c r="K192" s="8">
        <v>0</v>
      </c>
      <c r="L192" s="8">
        <v>0</v>
      </c>
      <c r="M192" s="6">
        <v>1.2000000476837158</v>
      </c>
      <c r="N192" s="5">
        <v>0.53097347242642301</v>
      </c>
      <c r="O192" s="6">
        <v>1.059999942779541</v>
      </c>
      <c r="P192" s="5">
        <v>0.46902652335377926</v>
      </c>
      <c r="Q192" s="6">
        <v>0</v>
      </c>
      <c r="R192" s="5">
        <v>0</v>
      </c>
      <c r="S192" s="6">
        <v>0</v>
      </c>
      <c r="T192" s="5">
        <v>0</v>
      </c>
      <c r="U192" s="4">
        <v>0</v>
      </c>
      <c r="V192" s="4">
        <v>0</v>
      </c>
      <c r="W192" s="4">
        <v>2025</v>
      </c>
    </row>
    <row r="193" spans="1:23" x14ac:dyDescent="0.25">
      <c r="A193" s="4">
        <v>1</v>
      </c>
      <c r="B193" s="4">
        <v>8</v>
      </c>
      <c r="C193" s="4">
        <v>5</v>
      </c>
      <c r="D193" s="4" t="s">
        <v>229</v>
      </c>
      <c r="E193" s="4" t="s">
        <v>209</v>
      </c>
      <c r="F193" s="4">
        <v>0.98</v>
      </c>
      <c r="G193" s="8">
        <v>3</v>
      </c>
      <c r="H193" s="8">
        <v>0</v>
      </c>
      <c r="I193" s="8">
        <v>0</v>
      </c>
      <c r="J193" s="8">
        <v>0.98000001907348633</v>
      </c>
      <c r="K193" s="8">
        <v>0</v>
      </c>
      <c r="L193" s="8">
        <v>0</v>
      </c>
      <c r="M193" s="6">
        <v>0</v>
      </c>
      <c r="N193" s="5">
        <v>0</v>
      </c>
      <c r="O193" s="6">
        <v>0.57999998331069946</v>
      </c>
      <c r="P193" s="5">
        <v>0.59183671766397905</v>
      </c>
      <c r="Q193" s="6">
        <v>0.10000000149011612</v>
      </c>
      <c r="R193" s="5">
        <v>0.10204081784705726</v>
      </c>
      <c r="S193" s="6">
        <v>0.30000001192092896</v>
      </c>
      <c r="T193" s="5">
        <v>0.30612246114380504</v>
      </c>
      <c r="U193" s="4">
        <v>0</v>
      </c>
      <c r="V193" s="4">
        <v>0</v>
      </c>
      <c r="W193" s="4">
        <v>2025</v>
      </c>
    </row>
    <row r="194" spans="1:23" x14ac:dyDescent="0.25">
      <c r="A194" s="4">
        <v>1</v>
      </c>
      <c r="B194" s="4">
        <v>8</v>
      </c>
      <c r="C194" s="4">
        <v>6</v>
      </c>
      <c r="D194" s="4" t="s">
        <v>230</v>
      </c>
      <c r="E194" s="4" t="s">
        <v>209</v>
      </c>
      <c r="F194" s="4">
        <v>3.63</v>
      </c>
      <c r="G194" s="8">
        <v>3</v>
      </c>
      <c r="H194" s="8">
        <v>1.3999999761581421</v>
      </c>
      <c r="I194" s="8">
        <v>0</v>
      </c>
      <c r="J194" s="8">
        <v>0</v>
      </c>
      <c r="K194" s="8">
        <v>2.2300000190734863</v>
      </c>
      <c r="L194" s="8">
        <v>0</v>
      </c>
      <c r="M194" s="6">
        <v>0</v>
      </c>
      <c r="N194" s="5">
        <v>0</v>
      </c>
      <c r="O194" s="6">
        <v>0.20000000298023224</v>
      </c>
      <c r="P194" s="5">
        <v>5.5096419553782985E-2</v>
      </c>
      <c r="Q194" s="6">
        <v>1.1000000238418579</v>
      </c>
      <c r="R194" s="5">
        <v>0.30303030959830796</v>
      </c>
      <c r="S194" s="6">
        <v>2.3300000205636024</v>
      </c>
      <c r="T194" s="5">
        <v>0.64187328390181886</v>
      </c>
      <c r="U194" s="4">
        <v>0</v>
      </c>
      <c r="V194" s="4">
        <v>0</v>
      </c>
      <c r="W194" s="4">
        <v>2025</v>
      </c>
    </row>
    <row r="195" spans="1:23" x14ac:dyDescent="0.25">
      <c r="A195" s="4">
        <v>1</v>
      </c>
      <c r="B195" s="4">
        <v>8</v>
      </c>
      <c r="C195" s="4">
        <v>7</v>
      </c>
      <c r="D195" s="4" t="s">
        <v>231</v>
      </c>
      <c r="E195" s="4" t="s">
        <v>209</v>
      </c>
      <c r="F195" s="4">
        <v>1.57</v>
      </c>
      <c r="G195" s="8">
        <v>3.5</v>
      </c>
      <c r="H195" s="8">
        <v>0.20000000298023224</v>
      </c>
      <c r="I195" s="8">
        <v>0</v>
      </c>
      <c r="J195" s="8">
        <v>0</v>
      </c>
      <c r="K195" s="8">
        <v>1.3700000047683716</v>
      </c>
      <c r="L195" s="8">
        <v>0</v>
      </c>
      <c r="M195" s="6">
        <v>0</v>
      </c>
      <c r="N195" s="5">
        <v>0</v>
      </c>
      <c r="O195" s="6">
        <v>0</v>
      </c>
      <c r="P195" s="5">
        <v>0</v>
      </c>
      <c r="Q195" s="6">
        <v>0</v>
      </c>
      <c r="R195" s="5">
        <v>0</v>
      </c>
      <c r="S195" s="6">
        <v>1.5700000077486038</v>
      </c>
      <c r="T195" s="5">
        <v>1.0000000049354163</v>
      </c>
      <c r="U195" s="4">
        <v>0</v>
      </c>
      <c r="V195" s="4">
        <v>0</v>
      </c>
      <c r="W195" s="4">
        <v>2025</v>
      </c>
    </row>
    <row r="196" spans="1:23" x14ac:dyDescent="0.25">
      <c r="A196" s="4">
        <v>1</v>
      </c>
      <c r="B196" s="4">
        <v>8</v>
      </c>
      <c r="C196" s="4">
        <v>8</v>
      </c>
      <c r="D196" s="4" t="s">
        <v>232</v>
      </c>
      <c r="E196" s="4" t="s">
        <v>209</v>
      </c>
      <c r="F196" s="4">
        <v>0.44</v>
      </c>
      <c r="G196" s="8">
        <v>3</v>
      </c>
      <c r="H196" s="8">
        <v>0.43999999761581421</v>
      </c>
      <c r="I196" s="8">
        <v>0</v>
      </c>
      <c r="J196" s="8">
        <v>0</v>
      </c>
      <c r="K196" s="8">
        <v>0</v>
      </c>
      <c r="L196" s="8">
        <v>0</v>
      </c>
      <c r="M196" s="6">
        <v>0.30000001192092896</v>
      </c>
      <c r="N196" s="5">
        <v>0.68181820891120215</v>
      </c>
      <c r="O196" s="6">
        <v>3.9999999105930328E-2</v>
      </c>
      <c r="P196" s="5">
        <v>9.090908887711438E-2</v>
      </c>
      <c r="Q196" s="6">
        <v>0</v>
      </c>
      <c r="R196" s="5">
        <v>0</v>
      </c>
      <c r="S196" s="6">
        <v>0.10000000149011612</v>
      </c>
      <c r="T196" s="5">
        <v>0.22727273065935483</v>
      </c>
      <c r="U196" s="4">
        <v>0</v>
      </c>
      <c r="V196" s="4">
        <v>0</v>
      </c>
      <c r="W196" s="4">
        <v>2025</v>
      </c>
    </row>
    <row r="197" spans="1:23" x14ac:dyDescent="0.25">
      <c r="A197" s="4">
        <v>1</v>
      </c>
      <c r="B197" s="4">
        <v>8</v>
      </c>
      <c r="C197" s="4">
        <v>9</v>
      </c>
      <c r="D197" s="4" t="s">
        <v>233</v>
      </c>
      <c r="E197" s="4" t="s">
        <v>209</v>
      </c>
      <c r="F197" s="4">
        <v>1.71</v>
      </c>
      <c r="G197" s="8">
        <v>3</v>
      </c>
      <c r="H197" s="8">
        <v>1.7100000381469727</v>
      </c>
      <c r="I197" s="8">
        <v>0</v>
      </c>
      <c r="J197" s="8">
        <v>0</v>
      </c>
      <c r="K197" s="8">
        <v>0</v>
      </c>
      <c r="L197" s="8">
        <v>0</v>
      </c>
      <c r="M197" s="6">
        <v>0.5</v>
      </c>
      <c r="N197" s="5">
        <v>0.29239766081871343</v>
      </c>
      <c r="O197" s="6">
        <v>1.2100000381469727</v>
      </c>
      <c r="P197" s="5">
        <v>0.70760236148945765</v>
      </c>
      <c r="Q197" s="6">
        <v>0</v>
      </c>
      <c r="R197" s="5">
        <v>0</v>
      </c>
      <c r="S197" s="6">
        <v>0</v>
      </c>
      <c r="T197" s="5">
        <v>0</v>
      </c>
      <c r="U197" s="4">
        <v>0</v>
      </c>
      <c r="V197" s="4">
        <v>0</v>
      </c>
      <c r="W197" s="4">
        <v>2025</v>
      </c>
    </row>
    <row r="198" spans="1:23" x14ac:dyDescent="0.25">
      <c r="A198" s="4">
        <v>1</v>
      </c>
      <c r="B198" s="4">
        <v>9</v>
      </c>
      <c r="C198" s="4">
        <v>0</v>
      </c>
      <c r="D198" s="4" t="s">
        <v>234</v>
      </c>
      <c r="E198" s="4" t="s">
        <v>209</v>
      </c>
      <c r="F198" s="4">
        <v>0.7</v>
      </c>
      <c r="G198" s="8">
        <v>3</v>
      </c>
      <c r="H198" s="8">
        <v>0.69999998807907104</v>
      </c>
      <c r="I198" s="8">
        <v>0</v>
      </c>
      <c r="J198" s="8">
        <v>0</v>
      </c>
      <c r="K198" s="8">
        <v>0</v>
      </c>
      <c r="L198" s="8">
        <v>0</v>
      </c>
      <c r="M198" s="6">
        <v>0.10000000149011612</v>
      </c>
      <c r="N198" s="5">
        <v>0.14285714498588017</v>
      </c>
      <c r="O198" s="6">
        <v>0.30000001192092896</v>
      </c>
      <c r="P198" s="5">
        <v>0.42857144560132709</v>
      </c>
      <c r="Q198" s="6">
        <v>0.20000000298023224</v>
      </c>
      <c r="R198" s="5">
        <v>0.28571428997176035</v>
      </c>
      <c r="S198" s="6">
        <v>0.10000000149011612</v>
      </c>
      <c r="T198" s="5">
        <v>0.14285714498588017</v>
      </c>
      <c r="U198" s="4">
        <v>0</v>
      </c>
      <c r="V198" s="4">
        <v>0</v>
      </c>
      <c r="W198" s="4">
        <v>2025</v>
      </c>
    </row>
    <row r="199" spans="1:23" x14ac:dyDescent="0.25">
      <c r="A199" s="4">
        <v>1</v>
      </c>
      <c r="B199" s="4">
        <v>9</v>
      </c>
      <c r="C199" s="4">
        <v>1</v>
      </c>
      <c r="D199" s="4" t="s">
        <v>235</v>
      </c>
      <c r="E199" s="4" t="s">
        <v>209</v>
      </c>
      <c r="F199" s="4">
        <v>0.66</v>
      </c>
      <c r="G199" s="8">
        <v>3</v>
      </c>
      <c r="H199" s="8">
        <v>0.10000000149011612</v>
      </c>
      <c r="I199" s="8">
        <v>0</v>
      </c>
      <c r="J199" s="8">
        <v>0</v>
      </c>
      <c r="K199" s="8">
        <v>0.56000000238418579</v>
      </c>
      <c r="L199" s="8">
        <v>0</v>
      </c>
      <c r="M199" s="6">
        <v>0</v>
      </c>
      <c r="N199" s="5">
        <v>0</v>
      </c>
      <c r="O199" s="6">
        <v>0</v>
      </c>
      <c r="P199" s="5">
        <v>0</v>
      </c>
      <c r="Q199" s="6">
        <v>0.10000000149011612</v>
      </c>
      <c r="R199" s="5">
        <v>0.1515151537729032</v>
      </c>
      <c r="S199" s="6">
        <v>0.56000000238418579</v>
      </c>
      <c r="T199" s="5">
        <v>0.84848485209725111</v>
      </c>
      <c r="U199" s="4">
        <v>0</v>
      </c>
      <c r="V199" s="4">
        <v>0</v>
      </c>
      <c r="W199" s="4">
        <v>2025</v>
      </c>
    </row>
    <row r="200" spans="1:23" x14ac:dyDescent="0.25">
      <c r="A200" s="4">
        <v>1</v>
      </c>
      <c r="B200" s="4">
        <v>9</v>
      </c>
      <c r="C200" s="4">
        <v>2</v>
      </c>
      <c r="D200" s="4" t="s">
        <v>236</v>
      </c>
      <c r="E200" s="4" t="s">
        <v>209</v>
      </c>
      <c r="F200" s="4">
        <v>1.18</v>
      </c>
      <c r="G200" s="8">
        <v>3.5</v>
      </c>
      <c r="H200" s="8">
        <v>1.1799999475479126</v>
      </c>
      <c r="I200" s="8">
        <v>0</v>
      </c>
      <c r="J200" s="8">
        <v>0</v>
      </c>
      <c r="K200" s="8">
        <v>0</v>
      </c>
      <c r="L200" s="8">
        <v>0</v>
      </c>
      <c r="M200" s="6">
        <v>0.98000001907348633</v>
      </c>
      <c r="N200" s="5">
        <v>0.83050849074024269</v>
      </c>
      <c r="O200" s="6">
        <v>0.10000000149011612</v>
      </c>
      <c r="P200" s="5">
        <v>8.4745763974674676E-2</v>
      </c>
      <c r="Q200" s="6">
        <v>0.10000000149011612</v>
      </c>
      <c r="R200" s="5">
        <v>8.4745763974674676E-2</v>
      </c>
      <c r="S200" s="6">
        <v>0</v>
      </c>
      <c r="T200" s="5">
        <v>0</v>
      </c>
      <c r="U200" s="4">
        <v>0</v>
      </c>
      <c r="V200" s="4">
        <v>0</v>
      </c>
      <c r="W200" s="4">
        <v>2025</v>
      </c>
    </row>
    <row r="201" spans="1:23" x14ac:dyDescent="0.25">
      <c r="A201" s="4">
        <v>1</v>
      </c>
      <c r="B201" s="4">
        <v>9</v>
      </c>
      <c r="C201" s="4">
        <v>3</v>
      </c>
      <c r="D201" s="4" t="s">
        <v>237</v>
      </c>
      <c r="E201" s="4" t="s">
        <v>238</v>
      </c>
      <c r="F201" s="4">
        <v>2.82</v>
      </c>
      <c r="G201" s="8">
        <v>3</v>
      </c>
      <c r="H201" s="8">
        <v>2.8199999332427979</v>
      </c>
      <c r="I201" s="8">
        <v>0</v>
      </c>
      <c r="J201" s="8">
        <v>0</v>
      </c>
      <c r="K201" s="8">
        <v>0</v>
      </c>
      <c r="L201" s="8">
        <v>0</v>
      </c>
      <c r="M201" s="6">
        <v>0</v>
      </c>
      <c r="N201" s="5">
        <v>0</v>
      </c>
      <c r="O201" s="6">
        <v>0.89999997615814209</v>
      </c>
      <c r="P201" s="5">
        <v>0.31914892771565323</v>
      </c>
      <c r="Q201" s="6">
        <v>1.0199999809265137</v>
      </c>
      <c r="R201" s="5">
        <v>0.36170212089592685</v>
      </c>
      <c r="S201" s="6">
        <v>0.89999997615814209</v>
      </c>
      <c r="T201" s="5">
        <v>0.31914892771565323</v>
      </c>
      <c r="U201" s="4">
        <v>0</v>
      </c>
      <c r="V201" s="4">
        <v>0</v>
      </c>
      <c r="W201" s="4">
        <v>2025</v>
      </c>
    </row>
    <row r="202" spans="1:23" x14ac:dyDescent="0.25">
      <c r="A202" s="4">
        <v>1</v>
      </c>
      <c r="B202" s="4">
        <v>9</v>
      </c>
      <c r="C202" s="4">
        <v>4</v>
      </c>
      <c r="D202" s="4" t="s">
        <v>239</v>
      </c>
      <c r="E202" s="4" t="s">
        <v>238</v>
      </c>
      <c r="F202" s="4">
        <v>1.66</v>
      </c>
      <c r="G202" s="8">
        <v>3.5</v>
      </c>
      <c r="H202" s="8">
        <v>1.6599999666213989</v>
      </c>
      <c r="I202" s="8">
        <v>0</v>
      </c>
      <c r="J202" s="8">
        <v>0</v>
      </c>
      <c r="K202" s="8">
        <v>0</v>
      </c>
      <c r="L202" s="8">
        <v>0</v>
      </c>
      <c r="M202" s="6">
        <v>0.10000000149011612</v>
      </c>
      <c r="N202" s="5">
        <v>6.0240964753082001E-2</v>
      </c>
      <c r="O202" s="6">
        <v>1.559999942779541</v>
      </c>
      <c r="P202" s="5">
        <v>0.93975900167442239</v>
      </c>
      <c r="Q202" s="6">
        <v>0</v>
      </c>
      <c r="R202" s="5">
        <v>0</v>
      </c>
      <c r="S202" s="6">
        <v>0</v>
      </c>
      <c r="T202" s="5">
        <v>0</v>
      </c>
      <c r="U202" s="4">
        <v>0</v>
      </c>
      <c r="V202" s="4">
        <v>0</v>
      </c>
      <c r="W202" s="4">
        <v>2025</v>
      </c>
    </row>
    <row r="203" spans="1:23" x14ac:dyDescent="0.25">
      <c r="A203" s="4">
        <v>1</v>
      </c>
      <c r="B203" s="4">
        <v>9</v>
      </c>
      <c r="C203" s="4">
        <v>5</v>
      </c>
      <c r="D203" s="4" t="s">
        <v>240</v>
      </c>
      <c r="E203" s="4" t="s">
        <v>238</v>
      </c>
      <c r="F203" s="4">
        <v>2.86</v>
      </c>
      <c r="G203" s="8">
        <v>3.5</v>
      </c>
      <c r="H203" s="8">
        <v>2.8599998950958252</v>
      </c>
      <c r="I203" s="8">
        <v>0</v>
      </c>
      <c r="J203" s="8">
        <v>0</v>
      </c>
      <c r="K203" s="8">
        <v>0</v>
      </c>
      <c r="L203" s="8">
        <v>0</v>
      </c>
      <c r="M203" s="6">
        <v>0</v>
      </c>
      <c r="N203" s="5">
        <v>0</v>
      </c>
      <c r="O203" s="6">
        <v>2.5999999046325684</v>
      </c>
      <c r="P203" s="5">
        <v>0.90909087574565328</v>
      </c>
      <c r="Q203" s="6">
        <v>0.25999999046325684</v>
      </c>
      <c r="R203" s="5">
        <v>9.0909087574565325E-2</v>
      </c>
      <c r="S203" s="6">
        <v>0</v>
      </c>
      <c r="T203" s="5">
        <v>0</v>
      </c>
      <c r="U203" s="4">
        <v>0</v>
      </c>
      <c r="V203" s="4">
        <v>0</v>
      </c>
      <c r="W203" s="4">
        <v>2025</v>
      </c>
    </row>
    <row r="204" spans="1:23" x14ac:dyDescent="0.25">
      <c r="A204" s="4">
        <v>1</v>
      </c>
      <c r="B204" s="4">
        <v>9</v>
      </c>
      <c r="C204" s="4">
        <v>6</v>
      </c>
      <c r="D204" s="4" t="s">
        <v>241</v>
      </c>
      <c r="E204" s="4" t="s">
        <v>238</v>
      </c>
      <c r="F204" s="4">
        <v>5</v>
      </c>
      <c r="G204" s="8">
        <v>3</v>
      </c>
      <c r="H204" s="8">
        <v>5</v>
      </c>
      <c r="I204" s="8">
        <v>0</v>
      </c>
      <c r="J204" s="8">
        <v>0</v>
      </c>
      <c r="K204" s="8">
        <v>0</v>
      </c>
      <c r="L204" s="8">
        <v>0</v>
      </c>
      <c r="M204" s="6">
        <v>0</v>
      </c>
      <c r="N204" s="5">
        <v>0</v>
      </c>
      <c r="O204" s="6">
        <v>3.7999999523162842</v>
      </c>
      <c r="P204" s="5">
        <v>0.75999999046325684</v>
      </c>
      <c r="Q204" s="6">
        <v>1.1000000238418579</v>
      </c>
      <c r="R204" s="5">
        <v>0.22000000476837159</v>
      </c>
      <c r="S204" s="6">
        <v>0.10000000149011612</v>
      </c>
      <c r="T204" s="5">
        <v>2.0000000298023225E-2</v>
      </c>
      <c r="U204" s="4">
        <v>0</v>
      </c>
      <c r="V204" s="4">
        <v>0</v>
      </c>
      <c r="W204" s="4">
        <v>2025</v>
      </c>
    </row>
    <row r="205" spans="1:23" x14ac:dyDescent="0.25">
      <c r="A205" s="4">
        <v>1</v>
      </c>
      <c r="B205" s="4">
        <v>9</v>
      </c>
      <c r="C205" s="4">
        <v>7</v>
      </c>
      <c r="D205" s="4" t="s">
        <v>242</v>
      </c>
      <c r="E205" s="4" t="s">
        <v>238</v>
      </c>
      <c r="F205" s="4">
        <v>4.1900000000000004</v>
      </c>
      <c r="G205" s="8">
        <v>3</v>
      </c>
      <c r="H205" s="8">
        <v>4.190000057220459</v>
      </c>
      <c r="I205" s="8">
        <v>0</v>
      </c>
      <c r="J205" s="8">
        <v>0</v>
      </c>
      <c r="K205" s="8">
        <v>0</v>
      </c>
      <c r="L205" s="8">
        <v>0</v>
      </c>
      <c r="M205" s="6">
        <v>0.69999998807907104</v>
      </c>
      <c r="N205" s="5">
        <v>0.16706443629572099</v>
      </c>
      <c r="O205" s="6">
        <v>2.4900000095367432</v>
      </c>
      <c r="P205" s="5">
        <v>0.59427207864838738</v>
      </c>
      <c r="Q205" s="6">
        <v>1</v>
      </c>
      <c r="R205" s="5">
        <v>0.2386634844868735</v>
      </c>
      <c r="S205" s="6">
        <v>0</v>
      </c>
      <c r="T205" s="5">
        <v>0</v>
      </c>
      <c r="U205" s="4">
        <v>0</v>
      </c>
      <c r="V205" s="4">
        <v>0</v>
      </c>
      <c r="W205" s="4">
        <v>2025</v>
      </c>
    </row>
    <row r="206" spans="1:23" x14ac:dyDescent="0.25">
      <c r="A206" s="4">
        <v>1</v>
      </c>
      <c r="B206" s="4">
        <v>9</v>
      </c>
      <c r="C206" s="4">
        <v>8</v>
      </c>
      <c r="D206" s="4" t="s">
        <v>243</v>
      </c>
      <c r="E206" s="4" t="s">
        <v>238</v>
      </c>
      <c r="F206" s="4">
        <v>0.97</v>
      </c>
      <c r="G206" s="8">
        <v>1.5</v>
      </c>
      <c r="H206" s="8">
        <v>0</v>
      </c>
      <c r="I206" s="8">
        <v>0</v>
      </c>
      <c r="J206" s="8">
        <v>0.9700000062584877</v>
      </c>
      <c r="K206" s="8">
        <v>0</v>
      </c>
      <c r="L206" s="8">
        <v>0</v>
      </c>
      <c r="M206" s="6">
        <v>0</v>
      </c>
      <c r="N206" s="5">
        <v>0</v>
      </c>
      <c r="O206" s="6">
        <v>0.10000000149011612</v>
      </c>
      <c r="P206" s="5">
        <v>0.10309278504135683</v>
      </c>
      <c r="Q206" s="6">
        <v>0.30000001192092896</v>
      </c>
      <c r="R206" s="5">
        <v>0.30927836280508142</v>
      </c>
      <c r="S206" s="6">
        <v>0.56999999284744263</v>
      </c>
      <c r="T206" s="5">
        <v>0.58762885860561098</v>
      </c>
      <c r="U206" s="4">
        <v>0</v>
      </c>
      <c r="V206" s="4">
        <v>0</v>
      </c>
      <c r="W206" s="4">
        <v>2025</v>
      </c>
    </row>
    <row r="207" spans="1:23" x14ac:dyDescent="0.25">
      <c r="A207" s="4">
        <v>1</v>
      </c>
      <c r="B207" s="4">
        <v>9</v>
      </c>
      <c r="C207" s="4">
        <v>9</v>
      </c>
      <c r="D207" s="4" t="s">
        <v>244</v>
      </c>
      <c r="E207" s="4" t="s">
        <v>238</v>
      </c>
      <c r="F207" s="4">
        <v>0.3</v>
      </c>
      <c r="G207" s="8">
        <v>3</v>
      </c>
      <c r="H207" s="8">
        <v>0</v>
      </c>
      <c r="I207" s="8">
        <v>0</v>
      </c>
      <c r="J207" s="8">
        <v>0.20000000298023224</v>
      </c>
      <c r="K207" s="8">
        <v>0.10000000149011612</v>
      </c>
      <c r="L207" s="8">
        <v>0</v>
      </c>
      <c r="M207" s="6">
        <v>0</v>
      </c>
      <c r="N207" s="5">
        <v>0</v>
      </c>
      <c r="O207" s="6">
        <v>0</v>
      </c>
      <c r="P207" s="5">
        <v>0</v>
      </c>
      <c r="Q207" s="6">
        <v>0.20000000298023224</v>
      </c>
      <c r="R207" s="5">
        <v>0.66666667660077417</v>
      </c>
      <c r="S207" s="6">
        <v>0.10000000149011612</v>
      </c>
      <c r="T207" s="5">
        <v>0.33333333830038708</v>
      </c>
      <c r="U207" s="4">
        <v>0</v>
      </c>
      <c r="V207" s="4">
        <v>0</v>
      </c>
      <c r="W207" s="4">
        <v>2025</v>
      </c>
    </row>
    <row r="208" spans="1:23" x14ac:dyDescent="0.25">
      <c r="A208" s="4">
        <v>2</v>
      </c>
      <c r="B208" s="4">
        <v>0</v>
      </c>
      <c r="C208" s="4">
        <v>0</v>
      </c>
      <c r="D208" s="4" t="s">
        <v>245</v>
      </c>
      <c r="E208" s="4" t="s">
        <v>238</v>
      </c>
      <c r="F208" s="4">
        <v>0.56000000000000005</v>
      </c>
      <c r="G208" s="8">
        <v>3.5</v>
      </c>
      <c r="H208" s="8">
        <v>0.56000000238418579</v>
      </c>
      <c r="I208" s="8">
        <v>0</v>
      </c>
      <c r="J208" s="8">
        <v>0</v>
      </c>
      <c r="K208" s="8">
        <v>0</v>
      </c>
      <c r="L208" s="8">
        <v>0</v>
      </c>
      <c r="M208" s="6">
        <v>0.36000001430511475</v>
      </c>
      <c r="N208" s="5">
        <v>0.64285716840199059</v>
      </c>
      <c r="O208" s="6">
        <v>0.20000000298023224</v>
      </c>
      <c r="P208" s="5">
        <v>0.35714286246470039</v>
      </c>
      <c r="Q208" s="6">
        <v>0</v>
      </c>
      <c r="R208" s="5">
        <v>0</v>
      </c>
      <c r="S208" s="6">
        <v>0</v>
      </c>
      <c r="T208" s="5">
        <v>0</v>
      </c>
      <c r="U208" s="4">
        <v>0</v>
      </c>
      <c r="V208" s="4">
        <v>0</v>
      </c>
      <c r="W208" s="4">
        <v>2025</v>
      </c>
    </row>
    <row r="209" spans="1:23" x14ac:dyDescent="0.25">
      <c r="A209" s="4">
        <v>2</v>
      </c>
      <c r="B209" s="4">
        <v>0</v>
      </c>
      <c r="C209" s="4">
        <v>1</v>
      </c>
      <c r="D209" s="4" t="s">
        <v>246</v>
      </c>
      <c r="E209" s="4" t="s">
        <v>238</v>
      </c>
      <c r="F209" s="4">
        <v>0.95</v>
      </c>
      <c r="G209" s="8">
        <v>3.5</v>
      </c>
      <c r="H209" s="8">
        <v>0</v>
      </c>
      <c r="I209" s="8">
        <v>0</v>
      </c>
      <c r="J209" s="8">
        <v>0.89999997615814209</v>
      </c>
      <c r="K209" s="8">
        <v>5.000000074505806E-2</v>
      </c>
      <c r="L209" s="8">
        <v>0</v>
      </c>
      <c r="M209" s="6">
        <v>0</v>
      </c>
      <c r="N209" s="5">
        <v>0</v>
      </c>
      <c r="O209" s="6">
        <v>0.89999997615814209</v>
      </c>
      <c r="P209" s="5">
        <v>0.94736839595593914</v>
      </c>
      <c r="Q209" s="6">
        <v>0</v>
      </c>
      <c r="R209" s="5">
        <v>0</v>
      </c>
      <c r="S209" s="6">
        <v>5.000000074505806E-2</v>
      </c>
      <c r="T209" s="5">
        <v>5.2631579731640066E-2</v>
      </c>
      <c r="U209" s="4">
        <v>0</v>
      </c>
      <c r="V209" s="4">
        <v>0</v>
      </c>
      <c r="W209" s="4">
        <v>2025</v>
      </c>
    </row>
    <row r="210" spans="1:23" x14ac:dyDescent="0.25">
      <c r="A210" s="4">
        <v>2</v>
      </c>
      <c r="B210" s="4">
        <v>0</v>
      </c>
      <c r="C210" s="4">
        <v>2</v>
      </c>
      <c r="D210" s="4" t="s">
        <v>247</v>
      </c>
      <c r="E210" s="4" t="s">
        <v>238</v>
      </c>
      <c r="F210" s="4">
        <v>4.45</v>
      </c>
      <c r="G210" s="8">
        <v>2</v>
      </c>
      <c r="H210" s="8">
        <v>0</v>
      </c>
      <c r="I210" s="8">
        <v>0</v>
      </c>
      <c r="J210" s="8">
        <v>4.4499998092651367</v>
      </c>
      <c r="K210" s="8">
        <v>0</v>
      </c>
      <c r="L210" s="8">
        <v>0</v>
      </c>
      <c r="M210" s="6">
        <v>0</v>
      </c>
      <c r="N210" s="5">
        <v>0</v>
      </c>
      <c r="O210" s="6">
        <v>4.4499998092651367</v>
      </c>
      <c r="P210" s="5">
        <v>0.99999995713823298</v>
      </c>
      <c r="Q210" s="6">
        <v>0</v>
      </c>
      <c r="R210" s="5">
        <v>0</v>
      </c>
      <c r="S210" s="6">
        <v>0</v>
      </c>
      <c r="T210" s="5">
        <v>0</v>
      </c>
      <c r="U210" s="4">
        <v>0</v>
      </c>
      <c r="V210" s="4">
        <v>0</v>
      </c>
      <c r="W210" s="4">
        <v>2025</v>
      </c>
    </row>
    <row r="211" spans="1:23" x14ac:dyDescent="0.25">
      <c r="A211" s="4">
        <v>2</v>
      </c>
      <c r="B211" s="4">
        <v>0</v>
      </c>
      <c r="C211" s="4">
        <v>3</v>
      </c>
      <c r="D211" s="4" t="s">
        <v>248</v>
      </c>
      <c r="E211" s="4" t="s">
        <v>249</v>
      </c>
      <c r="F211" s="4">
        <v>1.91</v>
      </c>
      <c r="G211" s="8">
        <v>3</v>
      </c>
      <c r="H211" s="8">
        <v>1.9099999666213989</v>
      </c>
      <c r="I211" s="8">
        <v>0</v>
      </c>
      <c r="J211" s="8">
        <v>0</v>
      </c>
      <c r="K211" s="8">
        <v>0</v>
      </c>
      <c r="L211" s="8">
        <v>0</v>
      </c>
      <c r="M211" s="6">
        <v>1.809999942779541</v>
      </c>
      <c r="N211" s="5">
        <v>0.94764394909923622</v>
      </c>
      <c r="O211" s="6">
        <v>0.10000000149011612</v>
      </c>
      <c r="P211" s="5">
        <v>5.2356021722573885E-2</v>
      </c>
      <c r="Q211" s="6">
        <v>0</v>
      </c>
      <c r="R211" s="5">
        <v>0</v>
      </c>
      <c r="S211" s="6">
        <v>0</v>
      </c>
      <c r="T211" s="5">
        <v>0</v>
      </c>
      <c r="U211" s="4">
        <v>0</v>
      </c>
      <c r="V211" s="4">
        <v>0</v>
      </c>
      <c r="W211" s="4">
        <v>2025</v>
      </c>
    </row>
    <row r="212" spans="1:23" x14ac:dyDescent="0.25">
      <c r="A212" s="4">
        <v>2</v>
      </c>
      <c r="B212" s="4">
        <v>0</v>
      </c>
      <c r="C212" s="4">
        <v>4</v>
      </c>
      <c r="D212" s="4" t="s">
        <v>250</v>
      </c>
      <c r="E212" s="4" t="s">
        <v>249</v>
      </c>
      <c r="F212" s="4">
        <v>6.36</v>
      </c>
      <c r="G212" s="8">
        <v>3.5</v>
      </c>
      <c r="H212" s="8">
        <v>6.3600001335144043</v>
      </c>
      <c r="I212" s="8">
        <v>0</v>
      </c>
      <c r="J212" s="8">
        <v>0</v>
      </c>
      <c r="K212" s="8">
        <v>0</v>
      </c>
      <c r="L212" s="8">
        <v>0</v>
      </c>
      <c r="M212" s="6">
        <v>0.40000000596046448</v>
      </c>
      <c r="N212" s="5">
        <v>6.2893082698186234E-2</v>
      </c>
      <c r="O212" s="6">
        <v>0.80000001192092896</v>
      </c>
      <c r="P212" s="5">
        <v>0.12578616539637247</v>
      </c>
      <c r="Q212" s="6">
        <v>2.0999999046325684</v>
      </c>
      <c r="R212" s="5">
        <v>0.33018866425040383</v>
      </c>
      <c r="S212" s="6">
        <v>3.059999942779541</v>
      </c>
      <c r="T212" s="5">
        <v>0.48113206647477058</v>
      </c>
      <c r="U212" s="4">
        <v>0</v>
      </c>
      <c r="V212" s="4">
        <v>0</v>
      </c>
      <c r="W212" s="4">
        <v>2025</v>
      </c>
    </row>
    <row r="213" spans="1:23" x14ac:dyDescent="0.25">
      <c r="A213" s="4">
        <v>2</v>
      </c>
      <c r="B213" s="4">
        <v>0</v>
      </c>
      <c r="C213" s="4">
        <v>5</v>
      </c>
      <c r="D213" s="4" t="s">
        <v>251</v>
      </c>
      <c r="E213" s="4" t="s">
        <v>252</v>
      </c>
      <c r="F213" s="4">
        <v>3.13</v>
      </c>
      <c r="G213" s="8">
        <v>3</v>
      </c>
      <c r="H213" s="8">
        <v>3.130000114440918</v>
      </c>
      <c r="I213" s="8">
        <v>0</v>
      </c>
      <c r="J213" s="8">
        <v>0</v>
      </c>
      <c r="K213" s="8">
        <v>0</v>
      </c>
      <c r="L213" s="8">
        <v>0</v>
      </c>
      <c r="M213" s="6">
        <v>1.1299999952316284</v>
      </c>
      <c r="N213" s="5">
        <v>0.36102236269381099</v>
      </c>
      <c r="O213" s="6">
        <v>1.3999999761581421</v>
      </c>
      <c r="P213" s="5">
        <v>0.44728433743071633</v>
      </c>
      <c r="Q213" s="6">
        <v>0.60000002384185791</v>
      </c>
      <c r="R213" s="5">
        <v>0.19169329835203128</v>
      </c>
      <c r="S213" s="6">
        <v>0</v>
      </c>
      <c r="T213" s="5">
        <v>0</v>
      </c>
      <c r="U213" s="4">
        <v>0</v>
      </c>
      <c r="V213" s="4">
        <v>0</v>
      </c>
      <c r="W213" s="4">
        <v>2025</v>
      </c>
    </row>
    <row r="214" spans="1:23" x14ac:dyDescent="0.25">
      <c r="A214" s="4">
        <v>2</v>
      </c>
      <c r="B214" s="4">
        <v>0</v>
      </c>
      <c r="C214" s="4">
        <v>6</v>
      </c>
      <c r="D214" s="4" t="s">
        <v>253</v>
      </c>
      <c r="E214" s="4" t="s">
        <v>249</v>
      </c>
      <c r="F214" s="4">
        <v>1.03</v>
      </c>
      <c r="G214" s="8">
        <v>3</v>
      </c>
      <c r="H214" s="8">
        <v>1.0299999713897705</v>
      </c>
      <c r="I214" s="8">
        <v>0</v>
      </c>
      <c r="J214" s="8">
        <v>0</v>
      </c>
      <c r="K214" s="8">
        <v>0</v>
      </c>
      <c r="L214" s="8">
        <v>0</v>
      </c>
      <c r="M214" s="6">
        <v>0.23000000417232513</v>
      </c>
      <c r="N214" s="5">
        <v>0.2233009749245875</v>
      </c>
      <c r="O214" s="6">
        <v>0.60000002384185791</v>
      </c>
      <c r="P214" s="5">
        <v>0.58252429499209502</v>
      </c>
      <c r="Q214" s="6">
        <v>0.20000000298023224</v>
      </c>
      <c r="R214" s="5">
        <v>0.19417476017498275</v>
      </c>
      <c r="S214" s="6">
        <v>0</v>
      </c>
      <c r="T214" s="5">
        <v>0</v>
      </c>
      <c r="U214" s="4">
        <v>0</v>
      </c>
      <c r="V214" s="4">
        <v>0</v>
      </c>
      <c r="W214" s="4">
        <v>2025</v>
      </c>
    </row>
    <row r="215" spans="1:23" x14ac:dyDescent="0.25">
      <c r="A215" s="4">
        <v>2</v>
      </c>
      <c r="B215" s="4">
        <v>0</v>
      </c>
      <c r="C215" s="4">
        <v>7</v>
      </c>
      <c r="D215" s="4" t="s">
        <v>254</v>
      </c>
      <c r="E215" s="4" t="s">
        <v>252</v>
      </c>
      <c r="F215" s="4">
        <v>2.73</v>
      </c>
      <c r="G215" s="8">
        <v>3.5</v>
      </c>
      <c r="H215" s="8">
        <v>2.7300000190734863</v>
      </c>
      <c r="I215" s="8">
        <v>0</v>
      </c>
      <c r="J215" s="8">
        <v>0</v>
      </c>
      <c r="K215" s="8">
        <v>0</v>
      </c>
      <c r="L215" s="8">
        <v>0</v>
      </c>
      <c r="M215" s="6">
        <v>1.0299999713897705</v>
      </c>
      <c r="N215" s="5">
        <v>0.37728936680943975</v>
      </c>
      <c r="O215" s="6">
        <v>1.5</v>
      </c>
      <c r="P215" s="5">
        <v>0.5494505494505495</v>
      </c>
      <c r="Q215" s="6">
        <v>0.20000000298023224</v>
      </c>
      <c r="R215" s="5">
        <v>7.3260074351733415E-2</v>
      </c>
      <c r="S215" s="6">
        <v>0</v>
      </c>
      <c r="T215" s="5">
        <v>0</v>
      </c>
      <c r="U215" s="4">
        <v>0</v>
      </c>
      <c r="V215" s="4">
        <v>0</v>
      </c>
      <c r="W215" s="4">
        <v>2025</v>
      </c>
    </row>
    <row r="216" spans="1:23" x14ac:dyDescent="0.25">
      <c r="A216" s="4">
        <v>2</v>
      </c>
      <c r="B216" s="4">
        <v>0</v>
      </c>
      <c r="C216" s="4">
        <v>8</v>
      </c>
      <c r="D216" s="4" t="s">
        <v>255</v>
      </c>
      <c r="E216" s="4" t="s">
        <v>249</v>
      </c>
      <c r="F216" s="4">
        <v>3.35</v>
      </c>
      <c r="G216" s="8">
        <v>3.5</v>
      </c>
      <c r="H216" s="8">
        <v>3.3499999046325684</v>
      </c>
      <c r="I216" s="8">
        <v>0</v>
      </c>
      <c r="J216" s="8">
        <v>0</v>
      </c>
      <c r="K216" s="8">
        <v>0</v>
      </c>
      <c r="L216" s="8">
        <v>0</v>
      </c>
      <c r="M216" s="6">
        <v>3.3499999046325684</v>
      </c>
      <c r="N216" s="5">
        <v>0.99999997153210995</v>
      </c>
      <c r="O216" s="6">
        <v>0</v>
      </c>
      <c r="P216" s="5">
        <v>0</v>
      </c>
      <c r="Q216" s="6">
        <v>0</v>
      </c>
      <c r="R216" s="5">
        <v>0</v>
      </c>
      <c r="S216" s="6">
        <v>0</v>
      </c>
      <c r="T216" s="5">
        <v>0</v>
      </c>
      <c r="U216" s="4">
        <v>0</v>
      </c>
      <c r="V216" s="4">
        <v>0</v>
      </c>
      <c r="W216" s="4">
        <v>2025</v>
      </c>
    </row>
    <row r="217" spans="1:23" x14ac:dyDescent="0.25">
      <c r="A217" s="4">
        <v>2</v>
      </c>
      <c r="B217" s="4">
        <v>0</v>
      </c>
      <c r="C217" s="4">
        <v>9</v>
      </c>
      <c r="D217" s="4" t="s">
        <v>256</v>
      </c>
      <c r="E217" s="4" t="s">
        <v>249</v>
      </c>
      <c r="F217" s="4">
        <v>2.93</v>
      </c>
      <c r="G217" s="8">
        <v>3</v>
      </c>
      <c r="H217" s="8">
        <v>2.9300000667572021</v>
      </c>
      <c r="I217" s="8">
        <v>0</v>
      </c>
      <c r="J217" s="8">
        <v>0</v>
      </c>
      <c r="K217" s="8">
        <v>0</v>
      </c>
      <c r="L217" s="8">
        <v>0</v>
      </c>
      <c r="M217" s="6">
        <v>1</v>
      </c>
      <c r="N217" s="5">
        <v>0.34129692832764502</v>
      </c>
      <c r="O217" s="6">
        <v>0.10000000149011612</v>
      </c>
      <c r="P217" s="5">
        <v>3.4129693341336559E-2</v>
      </c>
      <c r="Q217" s="6">
        <v>0.52999997138977051</v>
      </c>
      <c r="R217" s="5">
        <v>0.18088736224906843</v>
      </c>
      <c r="S217" s="6">
        <v>1.2999999523162842</v>
      </c>
      <c r="T217" s="5">
        <v>0.44368599055163283</v>
      </c>
      <c r="U217" s="4">
        <v>0</v>
      </c>
      <c r="V217" s="4">
        <v>0</v>
      </c>
      <c r="W217" s="4">
        <v>2025</v>
      </c>
    </row>
    <row r="218" spans="1:23" x14ac:dyDescent="0.25">
      <c r="A218" s="4">
        <v>2</v>
      </c>
      <c r="B218" s="4">
        <v>1</v>
      </c>
      <c r="C218" s="4">
        <v>0</v>
      </c>
      <c r="D218" s="4" t="s">
        <v>257</v>
      </c>
      <c r="E218" s="4" t="s">
        <v>249</v>
      </c>
      <c r="F218" s="4">
        <v>1.56</v>
      </c>
      <c r="G218" s="8">
        <v>3.5</v>
      </c>
      <c r="H218" s="8">
        <v>1.559999942779541</v>
      </c>
      <c r="I218" s="8">
        <v>0</v>
      </c>
      <c r="J218" s="8">
        <v>0</v>
      </c>
      <c r="K218" s="8">
        <v>0</v>
      </c>
      <c r="L218" s="8">
        <v>0</v>
      </c>
      <c r="M218" s="6">
        <v>0.10000000149011612</v>
      </c>
      <c r="N218" s="5">
        <v>6.4102565057766736E-2</v>
      </c>
      <c r="O218" s="6">
        <v>1.1599999666213989</v>
      </c>
      <c r="P218" s="5">
        <v>0.74358972219320441</v>
      </c>
      <c r="Q218" s="6">
        <v>0.30000001192092896</v>
      </c>
      <c r="R218" s="5">
        <v>0.19230769994931343</v>
      </c>
      <c r="S218" s="6">
        <v>0</v>
      </c>
      <c r="T218" s="5">
        <v>0</v>
      </c>
      <c r="U218" s="4">
        <v>0</v>
      </c>
      <c r="V218" s="4">
        <v>0</v>
      </c>
      <c r="W218" s="4">
        <v>2025</v>
      </c>
    </row>
    <row r="219" spans="1:23" x14ac:dyDescent="0.25">
      <c r="A219" s="4">
        <v>2</v>
      </c>
      <c r="B219" s="4">
        <v>1</v>
      </c>
      <c r="C219" s="4">
        <v>1</v>
      </c>
      <c r="D219" s="4" t="s">
        <v>258</v>
      </c>
      <c r="E219" s="4" t="s">
        <v>249</v>
      </c>
      <c r="F219" s="4">
        <v>3.91</v>
      </c>
      <c r="G219" s="8">
        <v>3.5</v>
      </c>
      <c r="H219" s="8">
        <v>3.9100000858306885</v>
      </c>
      <c r="I219" s="8">
        <v>0</v>
      </c>
      <c r="J219" s="8">
        <v>0</v>
      </c>
      <c r="K219" s="8">
        <v>0</v>
      </c>
      <c r="L219" s="8">
        <v>0</v>
      </c>
      <c r="M219" s="6">
        <v>0</v>
      </c>
      <c r="N219" s="5">
        <v>0</v>
      </c>
      <c r="O219" s="6">
        <v>1.7000000476837158</v>
      </c>
      <c r="P219" s="5">
        <v>0.43478262089097591</v>
      </c>
      <c r="Q219" s="6">
        <v>0.89999997615814209</v>
      </c>
      <c r="R219" s="5">
        <v>0.23017902203533044</v>
      </c>
      <c r="S219" s="6">
        <v>1.309999942779541</v>
      </c>
      <c r="T219" s="5">
        <v>0.33503834853696701</v>
      </c>
      <c r="U219" s="4">
        <v>0</v>
      </c>
      <c r="V219" s="4">
        <v>0</v>
      </c>
      <c r="W219" s="4">
        <v>2025</v>
      </c>
    </row>
    <row r="220" spans="1:23" x14ac:dyDescent="0.25">
      <c r="A220" s="4">
        <v>2</v>
      </c>
      <c r="B220" s="4">
        <v>1</v>
      </c>
      <c r="C220" s="4">
        <v>2</v>
      </c>
      <c r="D220" s="4" t="s">
        <v>259</v>
      </c>
      <c r="E220" s="4" t="s">
        <v>249</v>
      </c>
      <c r="F220" s="4">
        <v>4.78</v>
      </c>
      <c r="G220" s="8">
        <v>3.5</v>
      </c>
      <c r="H220" s="8">
        <v>4</v>
      </c>
      <c r="I220" s="8">
        <v>0</v>
      </c>
      <c r="J220" s="8">
        <v>0</v>
      </c>
      <c r="K220" s="8">
        <v>0</v>
      </c>
      <c r="L220" s="8">
        <v>0.77999997138977051</v>
      </c>
      <c r="M220" s="6">
        <v>0</v>
      </c>
      <c r="N220" s="5">
        <v>0</v>
      </c>
      <c r="O220" s="6">
        <v>2.2999999523162842</v>
      </c>
      <c r="P220" s="5">
        <v>0.481171538141482</v>
      </c>
      <c r="Q220" s="6">
        <v>0.30000001192092896</v>
      </c>
      <c r="R220" s="5">
        <v>6.2761508770068822E-2</v>
      </c>
      <c r="S220" s="6">
        <v>2.1799999475479126</v>
      </c>
      <c r="T220" s="5">
        <v>0.45606693463345449</v>
      </c>
      <c r="U220" s="4">
        <v>0</v>
      </c>
      <c r="V220" s="4">
        <v>0</v>
      </c>
      <c r="W220" s="4">
        <v>2025</v>
      </c>
    </row>
    <row r="221" spans="1:23" x14ac:dyDescent="0.25">
      <c r="A221" s="4">
        <v>2</v>
      </c>
      <c r="B221" s="4">
        <v>1</v>
      </c>
      <c r="C221" s="4">
        <v>3</v>
      </c>
      <c r="D221" s="4" t="s">
        <v>260</v>
      </c>
      <c r="E221" s="4" t="s">
        <v>249</v>
      </c>
      <c r="F221" s="4">
        <v>2.12</v>
      </c>
      <c r="G221" s="8">
        <v>3.5</v>
      </c>
      <c r="H221" s="8">
        <v>1.6000000238418579</v>
      </c>
      <c r="I221" s="8">
        <v>0</v>
      </c>
      <c r="J221" s="8">
        <v>0</v>
      </c>
      <c r="K221" s="8">
        <v>0</v>
      </c>
      <c r="L221" s="8">
        <v>0.51999998092651367</v>
      </c>
      <c r="M221" s="6">
        <v>0</v>
      </c>
      <c r="N221" s="5">
        <v>0</v>
      </c>
      <c r="O221" s="6">
        <v>0.10000000149011612</v>
      </c>
      <c r="P221" s="5">
        <v>4.7169812023639679E-2</v>
      </c>
      <c r="Q221" s="6">
        <v>0.30000001192092896</v>
      </c>
      <c r="R221" s="5">
        <v>0.14150943958534384</v>
      </c>
      <c r="S221" s="6">
        <v>1.7200000286102295</v>
      </c>
      <c r="T221" s="5">
        <v>0.81132076821237231</v>
      </c>
      <c r="U221" s="4">
        <v>0</v>
      </c>
      <c r="V221" s="4">
        <v>0</v>
      </c>
      <c r="W221" s="4">
        <v>2025</v>
      </c>
    </row>
    <row r="222" spans="1:23" x14ac:dyDescent="0.25">
      <c r="A222" s="4">
        <v>2</v>
      </c>
      <c r="B222" s="4">
        <v>1</v>
      </c>
      <c r="C222" s="4">
        <v>4</v>
      </c>
      <c r="D222" s="4" t="s">
        <v>261</v>
      </c>
      <c r="E222" s="4" t="s">
        <v>249</v>
      </c>
      <c r="F222" s="4">
        <v>4.3600000000000003</v>
      </c>
      <c r="G222" s="8">
        <v>3.5</v>
      </c>
      <c r="H222" s="8">
        <v>4.3600001335144043</v>
      </c>
      <c r="I222" s="8">
        <v>0</v>
      </c>
      <c r="J222" s="8">
        <v>0</v>
      </c>
      <c r="K222" s="8">
        <v>0</v>
      </c>
      <c r="L222" s="8">
        <v>0</v>
      </c>
      <c r="M222" s="6">
        <v>2</v>
      </c>
      <c r="N222" s="5">
        <v>0.4587155963302752</v>
      </c>
      <c r="O222" s="6">
        <v>2.1600000858306885</v>
      </c>
      <c r="P222" s="5">
        <v>0.49541286372263493</v>
      </c>
      <c r="Q222" s="6">
        <v>0.20000000298023224</v>
      </c>
      <c r="R222" s="5">
        <v>4.5871560316567021E-2</v>
      </c>
      <c r="S222" s="6">
        <v>0</v>
      </c>
      <c r="T222" s="5">
        <v>0</v>
      </c>
      <c r="U222" s="4">
        <v>0</v>
      </c>
      <c r="V222" s="4">
        <v>0</v>
      </c>
      <c r="W222" s="4">
        <v>2025</v>
      </c>
    </row>
    <row r="223" spans="1:23" x14ac:dyDescent="0.25">
      <c r="A223" s="4">
        <v>2</v>
      </c>
      <c r="B223" s="4">
        <v>1</v>
      </c>
      <c r="C223" s="4">
        <v>5</v>
      </c>
      <c r="D223" s="4" t="s">
        <v>262</v>
      </c>
      <c r="E223" s="4" t="s">
        <v>249</v>
      </c>
      <c r="F223" s="4">
        <v>0.9</v>
      </c>
      <c r="G223" s="8">
        <v>3.5</v>
      </c>
      <c r="H223" s="8">
        <v>0.89999997615814209</v>
      </c>
      <c r="I223" s="8">
        <v>0</v>
      </c>
      <c r="J223" s="8">
        <v>0</v>
      </c>
      <c r="K223" s="8">
        <v>0</v>
      </c>
      <c r="L223" s="8">
        <v>0</v>
      </c>
      <c r="M223" s="6">
        <v>0</v>
      </c>
      <c r="N223" s="5">
        <v>0</v>
      </c>
      <c r="O223" s="6">
        <v>0.40000000596046448</v>
      </c>
      <c r="P223" s="5">
        <v>0.44444445106718272</v>
      </c>
      <c r="Q223" s="6">
        <v>0.5</v>
      </c>
      <c r="R223" s="5">
        <v>0.55555555555555558</v>
      </c>
      <c r="S223" s="6">
        <v>0</v>
      </c>
      <c r="T223" s="5">
        <v>0</v>
      </c>
      <c r="U223" s="4">
        <v>0</v>
      </c>
      <c r="V223" s="4">
        <v>0</v>
      </c>
      <c r="W223" s="4">
        <v>2025</v>
      </c>
    </row>
    <row r="224" spans="1:23" x14ac:dyDescent="0.25">
      <c r="A224" s="4">
        <v>2</v>
      </c>
      <c r="B224" s="4">
        <v>1</v>
      </c>
      <c r="C224" s="4">
        <v>6</v>
      </c>
      <c r="D224" s="4" t="s">
        <v>263</v>
      </c>
      <c r="E224" s="4" t="s">
        <v>249</v>
      </c>
      <c r="F224" s="4">
        <v>1.32</v>
      </c>
      <c r="G224" s="8">
        <v>3.5</v>
      </c>
      <c r="H224" s="8">
        <v>1.3200000524520874</v>
      </c>
      <c r="I224" s="8">
        <v>0</v>
      </c>
      <c r="J224" s="8">
        <v>0</v>
      </c>
      <c r="K224" s="8">
        <v>0</v>
      </c>
      <c r="L224" s="8">
        <v>0</v>
      </c>
      <c r="M224" s="6">
        <v>1.3200000524520874</v>
      </c>
      <c r="N224" s="5">
        <v>1.0000000397364297</v>
      </c>
      <c r="O224" s="6">
        <v>0</v>
      </c>
      <c r="P224" s="5">
        <v>0</v>
      </c>
      <c r="Q224" s="6">
        <v>0</v>
      </c>
      <c r="R224" s="5">
        <v>0</v>
      </c>
      <c r="S224" s="6">
        <v>0</v>
      </c>
      <c r="T224" s="5">
        <v>0</v>
      </c>
      <c r="U224" s="4">
        <v>0</v>
      </c>
      <c r="V224" s="4">
        <v>0</v>
      </c>
      <c r="W224" s="4">
        <v>2025</v>
      </c>
    </row>
    <row r="225" spans="1:23" x14ac:dyDescent="0.25">
      <c r="A225" s="4">
        <v>2</v>
      </c>
      <c r="B225" s="4">
        <v>1</v>
      </c>
      <c r="C225" s="4">
        <v>7</v>
      </c>
      <c r="D225" s="4" t="s">
        <v>264</v>
      </c>
      <c r="E225" s="4" t="s">
        <v>249</v>
      </c>
      <c r="F225" s="4">
        <v>0.39</v>
      </c>
      <c r="G225" s="8">
        <v>3</v>
      </c>
      <c r="H225" s="8">
        <v>0.38999998569488525</v>
      </c>
      <c r="I225" s="8">
        <v>0</v>
      </c>
      <c r="J225" s="8">
        <v>0</v>
      </c>
      <c r="K225" s="8">
        <v>0</v>
      </c>
      <c r="L225" s="8">
        <v>0</v>
      </c>
      <c r="M225" s="6">
        <v>0.28999999165534973</v>
      </c>
      <c r="N225" s="5">
        <v>0.74358972219320441</v>
      </c>
      <c r="O225" s="6">
        <v>0.10000000149011612</v>
      </c>
      <c r="P225" s="5">
        <v>0.25641026023106694</v>
      </c>
      <c r="Q225" s="6">
        <v>0</v>
      </c>
      <c r="R225" s="5">
        <v>0</v>
      </c>
      <c r="S225" s="6">
        <v>0</v>
      </c>
      <c r="T225" s="5">
        <v>0</v>
      </c>
      <c r="U225" s="4">
        <v>0</v>
      </c>
      <c r="V225" s="4">
        <v>0</v>
      </c>
      <c r="W225" s="4">
        <v>2025</v>
      </c>
    </row>
    <row r="226" spans="1:23" x14ac:dyDescent="0.25">
      <c r="A226" s="4">
        <v>2</v>
      </c>
      <c r="B226" s="4">
        <v>1</v>
      </c>
      <c r="C226" s="4">
        <v>8</v>
      </c>
      <c r="D226" s="4" t="s">
        <v>265</v>
      </c>
      <c r="E226" s="4" t="s">
        <v>249</v>
      </c>
      <c r="F226" s="4">
        <v>0.54</v>
      </c>
      <c r="G226" s="8">
        <v>3.5</v>
      </c>
      <c r="H226" s="8">
        <v>0.54000002145767212</v>
      </c>
      <c r="I226" s="8">
        <v>0</v>
      </c>
      <c r="J226" s="8">
        <v>0</v>
      </c>
      <c r="K226" s="8">
        <v>0</v>
      </c>
      <c r="L226" s="8">
        <v>0</v>
      </c>
      <c r="M226" s="6">
        <v>0</v>
      </c>
      <c r="N226" s="5">
        <v>0</v>
      </c>
      <c r="O226" s="6">
        <v>0.54000002145767212</v>
      </c>
      <c r="P226" s="5">
        <v>1.0000000397364297</v>
      </c>
      <c r="Q226" s="6">
        <v>0</v>
      </c>
      <c r="R226" s="5">
        <v>0</v>
      </c>
      <c r="S226" s="6">
        <v>0</v>
      </c>
      <c r="T226" s="5">
        <v>0</v>
      </c>
      <c r="U226" s="4">
        <v>0</v>
      </c>
      <c r="V226" s="4">
        <v>0</v>
      </c>
      <c r="W226" s="4">
        <v>2025</v>
      </c>
    </row>
    <row r="227" spans="1:23" x14ac:dyDescent="0.25">
      <c r="A227" s="4">
        <v>2</v>
      </c>
      <c r="B227" s="4">
        <v>1</v>
      </c>
      <c r="C227" s="4">
        <v>9</v>
      </c>
      <c r="D227" s="4" t="s">
        <v>266</v>
      </c>
      <c r="E227" s="4" t="s">
        <v>249</v>
      </c>
      <c r="F227" s="4">
        <v>2.33</v>
      </c>
      <c r="G227" s="8">
        <v>3.5</v>
      </c>
      <c r="H227" s="8">
        <v>2.3299999237060547</v>
      </c>
      <c r="I227" s="8">
        <v>0</v>
      </c>
      <c r="J227" s="8">
        <v>0</v>
      </c>
      <c r="K227" s="8">
        <v>0</v>
      </c>
      <c r="L227" s="8">
        <v>0</v>
      </c>
      <c r="M227" s="6">
        <v>0</v>
      </c>
      <c r="N227" s="5">
        <v>0</v>
      </c>
      <c r="O227" s="6">
        <v>2.3299999237060547</v>
      </c>
      <c r="P227" s="5">
        <v>0.99999996725581741</v>
      </c>
      <c r="Q227" s="6">
        <v>0</v>
      </c>
      <c r="R227" s="5">
        <v>0</v>
      </c>
      <c r="S227" s="6">
        <v>0</v>
      </c>
      <c r="T227" s="5">
        <v>0</v>
      </c>
      <c r="U227" s="4">
        <v>0</v>
      </c>
      <c r="V227" s="4">
        <v>0</v>
      </c>
      <c r="W227" s="4">
        <v>2025</v>
      </c>
    </row>
    <row r="228" spans="1:23" x14ac:dyDescent="0.25">
      <c r="A228" s="4">
        <v>2</v>
      </c>
      <c r="B228" s="4">
        <v>2</v>
      </c>
      <c r="C228" s="4">
        <v>0</v>
      </c>
      <c r="D228" s="4" t="s">
        <v>267</v>
      </c>
      <c r="E228" s="4" t="s">
        <v>249</v>
      </c>
      <c r="F228" s="4">
        <v>1.1599999999999999</v>
      </c>
      <c r="G228" s="8">
        <v>3</v>
      </c>
      <c r="H228" s="8">
        <v>1</v>
      </c>
      <c r="I228" s="8">
        <v>0</v>
      </c>
      <c r="J228" s="8">
        <v>0</v>
      </c>
      <c r="K228" s="8">
        <v>0</v>
      </c>
      <c r="L228" s="8">
        <v>0.15999999642372131</v>
      </c>
      <c r="M228" s="6">
        <v>0</v>
      </c>
      <c r="N228" s="5">
        <v>0</v>
      </c>
      <c r="O228" s="6">
        <v>0.80000001192092896</v>
      </c>
      <c r="P228" s="5">
        <v>0.689655182690456</v>
      </c>
      <c r="Q228" s="6">
        <v>0.20000000298023224</v>
      </c>
      <c r="R228" s="5">
        <v>0.172413795672614</v>
      </c>
      <c r="S228" s="6">
        <v>0.15999999642372131</v>
      </c>
      <c r="T228" s="5">
        <v>0.13793103139975976</v>
      </c>
      <c r="U228" s="4">
        <v>0</v>
      </c>
      <c r="V228" s="4">
        <v>0</v>
      </c>
      <c r="W228" s="4">
        <v>2025</v>
      </c>
    </row>
    <row r="229" spans="1:23" x14ac:dyDescent="0.25">
      <c r="A229" s="4">
        <v>2</v>
      </c>
      <c r="B229" s="4">
        <v>2</v>
      </c>
      <c r="C229" s="4">
        <v>1</v>
      </c>
      <c r="D229" s="4" t="s">
        <v>268</v>
      </c>
      <c r="E229" s="4" t="s">
        <v>249</v>
      </c>
      <c r="F229" s="4">
        <v>0.34</v>
      </c>
      <c r="G229" s="8">
        <v>3</v>
      </c>
      <c r="H229" s="8">
        <v>0.34000000357627869</v>
      </c>
      <c r="I229" s="8">
        <v>0</v>
      </c>
      <c r="J229" s="8">
        <v>0</v>
      </c>
      <c r="K229" s="8">
        <v>0</v>
      </c>
      <c r="L229" s="8">
        <v>0</v>
      </c>
      <c r="M229" s="6">
        <v>0.14000000059604645</v>
      </c>
      <c r="N229" s="5">
        <v>0.41176470763543072</v>
      </c>
      <c r="O229" s="6">
        <v>0.20000000298023224</v>
      </c>
      <c r="P229" s="5">
        <v>0.58823530288303594</v>
      </c>
      <c r="Q229" s="6">
        <v>0</v>
      </c>
      <c r="R229" s="5">
        <v>0</v>
      </c>
      <c r="S229" s="6">
        <v>0</v>
      </c>
      <c r="T229" s="5">
        <v>0</v>
      </c>
      <c r="U229" s="4">
        <v>0</v>
      </c>
      <c r="V229" s="4">
        <v>0</v>
      </c>
      <c r="W229" s="4">
        <v>2025</v>
      </c>
    </row>
    <row r="230" spans="1:23" x14ac:dyDescent="0.25">
      <c r="A230" s="4">
        <v>2</v>
      </c>
      <c r="B230" s="4">
        <v>2</v>
      </c>
      <c r="C230" s="4">
        <v>2</v>
      </c>
      <c r="D230" s="4" t="s">
        <v>269</v>
      </c>
      <c r="E230" s="4" t="s">
        <v>249</v>
      </c>
      <c r="F230" s="4">
        <v>1.24</v>
      </c>
      <c r="G230" s="8">
        <v>3</v>
      </c>
      <c r="H230" s="8">
        <v>1.2400000095367432</v>
      </c>
      <c r="I230" s="8">
        <v>0</v>
      </c>
      <c r="J230" s="8">
        <v>0</v>
      </c>
      <c r="K230" s="8">
        <v>0</v>
      </c>
      <c r="L230" s="8">
        <v>0</v>
      </c>
      <c r="M230" s="6">
        <v>0</v>
      </c>
      <c r="N230" s="5">
        <v>0</v>
      </c>
      <c r="O230" s="6">
        <v>0.63999998569488525</v>
      </c>
      <c r="P230" s="5">
        <v>0.51612902072168165</v>
      </c>
      <c r="Q230" s="6">
        <v>0</v>
      </c>
      <c r="R230" s="5">
        <v>0</v>
      </c>
      <c r="S230" s="6">
        <v>0.60000002384185791</v>
      </c>
      <c r="T230" s="5">
        <v>0.48387098696924025</v>
      </c>
      <c r="U230" s="4">
        <v>0</v>
      </c>
      <c r="V230" s="4">
        <v>0</v>
      </c>
      <c r="W230" s="4">
        <v>2025</v>
      </c>
    </row>
    <row r="231" spans="1:23" x14ac:dyDescent="0.25">
      <c r="A231" s="4">
        <v>2</v>
      </c>
      <c r="B231" s="4">
        <v>2</v>
      </c>
      <c r="C231" s="4">
        <v>3</v>
      </c>
      <c r="D231" s="4" t="s">
        <v>270</v>
      </c>
      <c r="E231" s="4" t="s">
        <v>271</v>
      </c>
      <c r="F231" s="4">
        <v>1.86</v>
      </c>
      <c r="G231" s="8">
        <v>3.5</v>
      </c>
      <c r="H231" s="8">
        <v>1.8600000143051147</v>
      </c>
      <c r="I231" s="8">
        <v>0</v>
      </c>
      <c r="J231" s="8">
        <v>0</v>
      </c>
      <c r="K231" s="8">
        <v>0</v>
      </c>
      <c r="L231" s="8">
        <v>0</v>
      </c>
      <c r="M231" s="6">
        <v>0</v>
      </c>
      <c r="N231" s="5">
        <v>0</v>
      </c>
      <c r="O231" s="6">
        <v>1.8600000143051147</v>
      </c>
      <c r="P231" s="5">
        <v>1.0000000076909219</v>
      </c>
      <c r="Q231" s="6">
        <v>0</v>
      </c>
      <c r="R231" s="5">
        <v>0</v>
      </c>
      <c r="S231" s="6">
        <v>0</v>
      </c>
      <c r="T231" s="5">
        <v>0</v>
      </c>
      <c r="U231" s="4">
        <v>0</v>
      </c>
      <c r="V231" s="4">
        <v>0</v>
      </c>
      <c r="W231" s="4">
        <v>2025</v>
      </c>
    </row>
    <row r="232" spans="1:23" x14ac:dyDescent="0.25">
      <c r="A232" s="4">
        <v>2</v>
      </c>
      <c r="B232" s="4">
        <v>2</v>
      </c>
      <c r="C232" s="4">
        <v>4</v>
      </c>
      <c r="D232" s="4" t="s">
        <v>272</v>
      </c>
      <c r="E232" s="4" t="s">
        <v>249</v>
      </c>
      <c r="F232" s="4">
        <v>0.82</v>
      </c>
      <c r="G232" s="8">
        <v>3</v>
      </c>
      <c r="H232" s="8">
        <v>0.69999998807907104</v>
      </c>
      <c r="I232" s="8">
        <v>0</v>
      </c>
      <c r="J232" s="8">
        <v>0</v>
      </c>
      <c r="K232" s="8">
        <v>0</v>
      </c>
      <c r="L232" s="8">
        <v>0.11999999731779099</v>
      </c>
      <c r="M232" s="6">
        <v>0.20000000298023224</v>
      </c>
      <c r="N232" s="5">
        <v>0.24390244265881983</v>
      </c>
      <c r="O232" s="6">
        <v>0.5</v>
      </c>
      <c r="P232" s="5">
        <v>0.6097560975609756</v>
      </c>
      <c r="Q232" s="6">
        <v>0</v>
      </c>
      <c r="R232" s="5">
        <v>0</v>
      </c>
      <c r="S232" s="6">
        <v>0.11999999731779099</v>
      </c>
      <c r="T232" s="5">
        <v>0.14634146014364754</v>
      </c>
      <c r="U232" s="4">
        <v>0</v>
      </c>
      <c r="V232" s="4">
        <v>0</v>
      </c>
      <c r="W232" s="4">
        <v>2025</v>
      </c>
    </row>
    <row r="233" spans="1:23" x14ac:dyDescent="0.25">
      <c r="A233" s="4">
        <v>2</v>
      </c>
      <c r="B233" s="4">
        <v>2</v>
      </c>
      <c r="C233" s="4">
        <v>5</v>
      </c>
      <c r="D233" s="4" t="s">
        <v>273</v>
      </c>
      <c r="E233" s="4" t="s">
        <v>249</v>
      </c>
      <c r="F233" s="4">
        <v>0.69</v>
      </c>
      <c r="G233" s="8">
        <v>3</v>
      </c>
      <c r="H233" s="8">
        <v>0.68999999761581421</v>
      </c>
      <c r="I233" s="8">
        <v>0</v>
      </c>
      <c r="J233" s="8">
        <v>0</v>
      </c>
      <c r="K233" s="8">
        <v>0</v>
      </c>
      <c r="L233" s="8">
        <v>0</v>
      </c>
      <c r="M233" s="6">
        <v>0.68999999761581421</v>
      </c>
      <c r="N233" s="5">
        <v>0.99999999654465832</v>
      </c>
      <c r="O233" s="6">
        <v>0</v>
      </c>
      <c r="P233" s="5">
        <v>0</v>
      </c>
      <c r="Q233" s="6">
        <v>0</v>
      </c>
      <c r="R233" s="5">
        <v>0</v>
      </c>
      <c r="S233" s="6">
        <v>0</v>
      </c>
      <c r="T233" s="5">
        <v>0</v>
      </c>
      <c r="U233" s="4">
        <v>0</v>
      </c>
      <c r="V233" s="4">
        <v>0</v>
      </c>
      <c r="W233" s="4">
        <v>2025</v>
      </c>
    </row>
    <row r="234" spans="1:23" x14ac:dyDescent="0.25">
      <c r="A234" s="4">
        <v>2</v>
      </c>
      <c r="B234" s="4">
        <v>2</v>
      </c>
      <c r="C234" s="4">
        <v>6</v>
      </c>
      <c r="D234" s="4" t="s">
        <v>274</v>
      </c>
      <c r="E234" s="4" t="s">
        <v>249</v>
      </c>
      <c r="F234" s="4">
        <v>0.62</v>
      </c>
      <c r="G234" s="8">
        <v>3</v>
      </c>
      <c r="H234" s="8">
        <v>0</v>
      </c>
      <c r="I234" s="8">
        <v>0</v>
      </c>
      <c r="J234" s="8">
        <v>0</v>
      </c>
      <c r="K234" s="8">
        <v>0.62000000476837158</v>
      </c>
      <c r="L234" s="8">
        <v>0</v>
      </c>
      <c r="M234" s="6">
        <v>0</v>
      </c>
      <c r="N234" s="5">
        <v>0</v>
      </c>
      <c r="O234" s="6">
        <v>0</v>
      </c>
      <c r="P234" s="5">
        <v>0</v>
      </c>
      <c r="Q234" s="6">
        <v>0</v>
      </c>
      <c r="R234" s="5">
        <v>0</v>
      </c>
      <c r="S234" s="6">
        <v>0.62000000476837158</v>
      </c>
      <c r="T234" s="5">
        <v>1.0000000076909219</v>
      </c>
      <c r="U234" s="4">
        <v>0</v>
      </c>
      <c r="V234" s="4">
        <v>0</v>
      </c>
      <c r="W234" s="4">
        <v>2025</v>
      </c>
    </row>
    <row r="235" spans="1:23" x14ac:dyDescent="0.25">
      <c r="A235" s="4">
        <v>2</v>
      </c>
      <c r="B235" s="4">
        <v>2</v>
      </c>
      <c r="C235" s="4">
        <v>7</v>
      </c>
      <c r="D235" s="4" t="s">
        <v>275</v>
      </c>
      <c r="E235" s="4" t="s">
        <v>249</v>
      </c>
      <c r="F235" s="4">
        <v>1.21</v>
      </c>
      <c r="G235" s="8">
        <v>3.5</v>
      </c>
      <c r="H235" s="8">
        <v>1.2100000381469727</v>
      </c>
      <c r="I235" s="8">
        <v>0</v>
      </c>
      <c r="J235" s="8">
        <v>0</v>
      </c>
      <c r="K235" s="8">
        <v>0</v>
      </c>
      <c r="L235" s="8">
        <v>0</v>
      </c>
      <c r="M235" s="6">
        <v>1.2100000381469727</v>
      </c>
      <c r="N235" s="5">
        <v>1.0000000315264237</v>
      </c>
      <c r="O235" s="6">
        <v>0</v>
      </c>
      <c r="P235" s="5">
        <v>0</v>
      </c>
      <c r="Q235" s="6">
        <v>0</v>
      </c>
      <c r="R235" s="5">
        <v>0</v>
      </c>
      <c r="S235" s="6">
        <v>0</v>
      </c>
      <c r="T235" s="5">
        <v>0</v>
      </c>
      <c r="U235" s="4">
        <v>0</v>
      </c>
      <c r="V235" s="4">
        <v>0</v>
      </c>
      <c r="W235" s="4">
        <v>2025</v>
      </c>
    </row>
    <row r="236" spans="1:23" x14ac:dyDescent="0.25">
      <c r="A236" s="4">
        <v>2</v>
      </c>
      <c r="B236" s="4">
        <v>2</v>
      </c>
      <c r="C236" s="4">
        <v>8</v>
      </c>
      <c r="D236" s="4" t="s">
        <v>276</v>
      </c>
      <c r="E236" s="4" t="s">
        <v>249</v>
      </c>
      <c r="F236" s="4">
        <v>0.82</v>
      </c>
      <c r="G236" s="8">
        <v>3</v>
      </c>
      <c r="H236" s="8">
        <v>0.81999999284744263</v>
      </c>
      <c r="I236" s="8">
        <v>0</v>
      </c>
      <c r="J236" s="8">
        <v>0</v>
      </c>
      <c r="K236" s="8">
        <v>0</v>
      </c>
      <c r="L236" s="8">
        <v>0</v>
      </c>
      <c r="M236" s="6">
        <v>0.81999999284744263</v>
      </c>
      <c r="N236" s="5">
        <v>0.99999999127736916</v>
      </c>
      <c r="O236" s="6">
        <v>0</v>
      </c>
      <c r="P236" s="5">
        <v>0</v>
      </c>
      <c r="Q236" s="6">
        <v>0</v>
      </c>
      <c r="R236" s="5">
        <v>0</v>
      </c>
      <c r="S236" s="6">
        <v>0</v>
      </c>
      <c r="T236" s="5">
        <v>0</v>
      </c>
      <c r="U236" s="4">
        <v>0</v>
      </c>
      <c r="V236" s="4">
        <v>0</v>
      </c>
      <c r="W236" s="4">
        <v>2025</v>
      </c>
    </row>
    <row r="237" spans="1:23" x14ac:dyDescent="0.25">
      <c r="A237" s="4">
        <v>2</v>
      </c>
      <c r="B237" s="4">
        <v>2</v>
      </c>
      <c r="C237" s="4">
        <v>9</v>
      </c>
      <c r="D237" s="4" t="s">
        <v>277</v>
      </c>
      <c r="E237" s="4" t="s">
        <v>249</v>
      </c>
      <c r="F237" s="4">
        <v>1.28</v>
      </c>
      <c r="G237" s="8">
        <v>3.5</v>
      </c>
      <c r="H237" s="8">
        <v>0.60000002384185791</v>
      </c>
      <c r="I237" s="8">
        <v>0</v>
      </c>
      <c r="J237" s="8">
        <v>0</v>
      </c>
      <c r="K237" s="8">
        <v>0.68000000715255737</v>
      </c>
      <c r="L237" s="8">
        <v>0</v>
      </c>
      <c r="M237" s="6">
        <v>0.5</v>
      </c>
      <c r="N237" s="5">
        <v>0.390625</v>
      </c>
      <c r="O237" s="6">
        <v>0.10000000149011612</v>
      </c>
      <c r="P237" s="5">
        <v>7.8125001164153218E-2</v>
      </c>
      <c r="Q237" s="6">
        <v>0</v>
      </c>
      <c r="R237" s="5">
        <v>0</v>
      </c>
      <c r="S237" s="6">
        <v>0.68000000715255737</v>
      </c>
      <c r="T237" s="5">
        <v>0.53125000558793545</v>
      </c>
      <c r="U237" s="4">
        <v>0</v>
      </c>
      <c r="V237" s="4">
        <v>0</v>
      </c>
      <c r="W237" s="4">
        <v>2025</v>
      </c>
    </row>
    <row r="238" spans="1:23" x14ac:dyDescent="0.25">
      <c r="A238" s="4">
        <v>2</v>
      </c>
      <c r="B238" s="4">
        <v>3</v>
      </c>
      <c r="C238" s="4">
        <v>0</v>
      </c>
      <c r="D238" s="4" t="s">
        <v>278</v>
      </c>
      <c r="E238" s="4" t="s">
        <v>249</v>
      </c>
      <c r="F238" s="4">
        <v>0.71</v>
      </c>
      <c r="G238" s="8">
        <v>3</v>
      </c>
      <c r="H238" s="8">
        <v>0.70999997854232788</v>
      </c>
      <c r="I238" s="8">
        <v>0</v>
      </c>
      <c r="J238" s="8">
        <v>0</v>
      </c>
      <c r="K238" s="8">
        <v>0</v>
      </c>
      <c r="L238" s="8">
        <v>0</v>
      </c>
      <c r="M238" s="6">
        <v>0.61000001430511475</v>
      </c>
      <c r="N238" s="5">
        <v>0.85915494972551376</v>
      </c>
      <c r="O238" s="6">
        <v>0.10000000149011612</v>
      </c>
      <c r="P238" s="5">
        <v>0.1408450725212903</v>
      </c>
      <c r="Q238" s="6">
        <v>0</v>
      </c>
      <c r="R238" s="5">
        <v>0</v>
      </c>
      <c r="S238" s="6">
        <v>0</v>
      </c>
      <c r="T238" s="5">
        <v>0</v>
      </c>
      <c r="U238" s="4">
        <v>0</v>
      </c>
      <c r="V238" s="4">
        <v>0</v>
      </c>
      <c r="W238" s="4">
        <v>2025</v>
      </c>
    </row>
    <row r="239" spans="1:23" x14ac:dyDescent="0.25">
      <c r="A239" s="4">
        <v>2</v>
      </c>
      <c r="B239" s="4">
        <v>3</v>
      </c>
      <c r="C239" s="4">
        <v>1</v>
      </c>
      <c r="D239" s="4" t="s">
        <v>279</v>
      </c>
      <c r="E239" s="4" t="s">
        <v>249</v>
      </c>
      <c r="F239" s="4">
        <v>1.23</v>
      </c>
      <c r="G239" s="8">
        <v>3</v>
      </c>
      <c r="H239" s="8">
        <v>1.2300000190734863</v>
      </c>
      <c r="I239" s="8">
        <v>0</v>
      </c>
      <c r="J239" s="8">
        <v>0</v>
      </c>
      <c r="K239" s="8">
        <v>0</v>
      </c>
      <c r="L239" s="8">
        <v>0</v>
      </c>
      <c r="M239" s="6">
        <v>0</v>
      </c>
      <c r="N239" s="5">
        <v>0</v>
      </c>
      <c r="O239" s="6">
        <v>0.23000000417232513</v>
      </c>
      <c r="P239" s="5">
        <v>0.18699187331083345</v>
      </c>
      <c r="Q239" s="6">
        <v>0.5</v>
      </c>
      <c r="R239" s="5">
        <v>0.4065040650406504</v>
      </c>
      <c r="S239" s="6">
        <v>0.5</v>
      </c>
      <c r="T239" s="5">
        <v>0.4065040650406504</v>
      </c>
      <c r="U239" s="4">
        <v>0</v>
      </c>
      <c r="V239" s="4">
        <v>0</v>
      </c>
      <c r="W239" s="4">
        <v>2025</v>
      </c>
    </row>
    <row r="240" spans="1:23" x14ac:dyDescent="0.25">
      <c r="A240" s="4">
        <v>2</v>
      </c>
      <c r="B240" s="4">
        <v>3</v>
      </c>
      <c r="C240" s="4">
        <v>2</v>
      </c>
      <c r="D240" s="4" t="s">
        <v>280</v>
      </c>
      <c r="E240" s="4" t="s">
        <v>249</v>
      </c>
      <c r="F240" s="4">
        <v>0.52</v>
      </c>
      <c r="G240" s="8">
        <v>3</v>
      </c>
      <c r="H240" s="8">
        <v>0.51999998092651367</v>
      </c>
      <c r="I240" s="8">
        <v>0</v>
      </c>
      <c r="J240" s="8">
        <v>0</v>
      </c>
      <c r="K240" s="8">
        <v>0</v>
      </c>
      <c r="L240" s="8">
        <v>0</v>
      </c>
      <c r="M240" s="6">
        <v>0.41999998688697815</v>
      </c>
      <c r="N240" s="5">
        <v>0.80769228247495795</v>
      </c>
      <c r="O240" s="6">
        <v>0.10000000149011612</v>
      </c>
      <c r="P240" s="5">
        <v>0.19230769517330024</v>
      </c>
      <c r="Q240" s="6">
        <v>0</v>
      </c>
      <c r="R240" s="5">
        <v>0</v>
      </c>
      <c r="S240" s="6">
        <v>0</v>
      </c>
      <c r="T240" s="5">
        <v>0</v>
      </c>
      <c r="U240" s="4">
        <v>0</v>
      </c>
      <c r="V240" s="4">
        <v>0</v>
      </c>
      <c r="W240" s="4">
        <v>2025</v>
      </c>
    </row>
    <row r="241" spans="1:23" x14ac:dyDescent="0.25">
      <c r="A241" s="4">
        <v>2</v>
      </c>
      <c r="B241" s="4">
        <v>3</v>
      </c>
      <c r="C241" s="4">
        <v>3</v>
      </c>
      <c r="D241" s="4" t="s">
        <v>281</v>
      </c>
      <c r="E241" s="4" t="s">
        <v>249</v>
      </c>
      <c r="F241" s="4">
        <v>0.34</v>
      </c>
      <c r="G241" s="8">
        <v>3</v>
      </c>
      <c r="H241" s="8">
        <v>0.34000000357627869</v>
      </c>
      <c r="I241" s="8">
        <v>0</v>
      </c>
      <c r="J241" s="8">
        <v>0</v>
      </c>
      <c r="K241" s="8">
        <v>0</v>
      </c>
      <c r="L241" s="8">
        <v>0</v>
      </c>
      <c r="M241" s="6">
        <v>0.34000000357627869</v>
      </c>
      <c r="N241" s="5">
        <v>1.0000000105184665</v>
      </c>
      <c r="O241" s="6">
        <v>0</v>
      </c>
      <c r="P241" s="5">
        <v>0</v>
      </c>
      <c r="Q241" s="6">
        <v>0</v>
      </c>
      <c r="R241" s="5">
        <v>0</v>
      </c>
      <c r="S241" s="6">
        <v>0</v>
      </c>
      <c r="T241" s="5">
        <v>0</v>
      </c>
      <c r="U241" s="4">
        <v>0</v>
      </c>
      <c r="V241" s="4">
        <v>0</v>
      </c>
      <c r="W241" s="4">
        <v>2025</v>
      </c>
    </row>
    <row r="242" spans="1:23" x14ac:dyDescent="0.25">
      <c r="A242" s="4">
        <v>2</v>
      </c>
      <c r="B242" s="4">
        <v>3</v>
      </c>
      <c r="C242" s="4">
        <v>4</v>
      </c>
      <c r="D242" s="4" t="s">
        <v>282</v>
      </c>
      <c r="E242" s="4" t="s">
        <v>249</v>
      </c>
      <c r="F242" s="4">
        <v>1.06</v>
      </c>
      <c r="G242" s="8">
        <v>3</v>
      </c>
      <c r="H242" s="8">
        <v>1.059999942779541</v>
      </c>
      <c r="I242" s="8">
        <v>0</v>
      </c>
      <c r="J242" s="8">
        <v>0</v>
      </c>
      <c r="K242" s="8">
        <v>0</v>
      </c>
      <c r="L242" s="8">
        <v>0</v>
      </c>
      <c r="M242" s="6">
        <v>0.25999999046325684</v>
      </c>
      <c r="N242" s="5">
        <v>0.24528300987099699</v>
      </c>
      <c r="O242" s="6">
        <v>0.80000001192092896</v>
      </c>
      <c r="P242" s="5">
        <v>0.75471699237823486</v>
      </c>
      <c r="Q242" s="6">
        <v>0</v>
      </c>
      <c r="R242" s="5">
        <v>0</v>
      </c>
      <c r="S242" s="6">
        <v>0</v>
      </c>
      <c r="T242" s="5">
        <v>0</v>
      </c>
      <c r="U242" s="4">
        <v>0</v>
      </c>
      <c r="V242" s="4">
        <v>0</v>
      </c>
      <c r="W242" s="4">
        <v>2025</v>
      </c>
    </row>
    <row r="243" spans="1:23" x14ac:dyDescent="0.25">
      <c r="A243" s="4">
        <v>2</v>
      </c>
      <c r="B243" s="4">
        <v>3</v>
      </c>
      <c r="C243" s="4">
        <v>5</v>
      </c>
      <c r="D243" s="4" t="s">
        <v>283</v>
      </c>
      <c r="E243" s="4" t="s">
        <v>249</v>
      </c>
      <c r="F243" s="4">
        <v>0.5</v>
      </c>
      <c r="G243" s="8">
        <v>3</v>
      </c>
      <c r="H243" s="8">
        <v>0.5</v>
      </c>
      <c r="I243" s="8">
        <v>0</v>
      </c>
      <c r="J243" s="8">
        <v>0</v>
      </c>
      <c r="K243" s="8">
        <v>0</v>
      </c>
      <c r="L243" s="8">
        <v>0</v>
      </c>
      <c r="M243" s="6">
        <v>0.20000000298023224</v>
      </c>
      <c r="N243" s="5">
        <v>0.40000000596046448</v>
      </c>
      <c r="O243" s="6">
        <v>0.30000001192092896</v>
      </c>
      <c r="P243" s="5">
        <v>0.60000002384185791</v>
      </c>
      <c r="Q243" s="6">
        <v>0</v>
      </c>
      <c r="R243" s="5">
        <v>0</v>
      </c>
      <c r="S243" s="6">
        <v>0</v>
      </c>
      <c r="T243" s="5">
        <v>0</v>
      </c>
      <c r="U243" s="4">
        <v>0</v>
      </c>
      <c r="V243" s="4">
        <v>0</v>
      </c>
      <c r="W243" s="4">
        <v>2025</v>
      </c>
    </row>
    <row r="244" spans="1:23" x14ac:dyDescent="0.25">
      <c r="A244" s="4">
        <v>2</v>
      </c>
      <c r="B244" s="4">
        <v>3</v>
      </c>
      <c r="C244" s="4">
        <v>6</v>
      </c>
      <c r="D244" s="4" t="s">
        <v>284</v>
      </c>
      <c r="E244" s="4" t="s">
        <v>249</v>
      </c>
      <c r="F244" s="4">
        <v>0.6</v>
      </c>
      <c r="G244" s="8">
        <v>3.5</v>
      </c>
      <c r="H244" s="8">
        <v>0.60000002384185791</v>
      </c>
      <c r="I244" s="8">
        <v>0</v>
      </c>
      <c r="J244" s="8">
        <v>0</v>
      </c>
      <c r="K244" s="8">
        <v>0</v>
      </c>
      <c r="L244" s="8">
        <v>0</v>
      </c>
      <c r="M244" s="6">
        <v>0.60000002384185791</v>
      </c>
      <c r="N244" s="5">
        <v>1.0000000397364299</v>
      </c>
      <c r="O244" s="6">
        <v>0</v>
      </c>
      <c r="P244" s="5">
        <v>0</v>
      </c>
      <c r="Q244" s="6">
        <v>0</v>
      </c>
      <c r="R244" s="5">
        <v>0</v>
      </c>
      <c r="S244" s="6">
        <v>0</v>
      </c>
      <c r="T244" s="5">
        <v>0</v>
      </c>
      <c r="U244" s="4">
        <v>0</v>
      </c>
      <c r="V244" s="4">
        <v>0</v>
      </c>
      <c r="W244" s="4">
        <v>2025</v>
      </c>
    </row>
    <row r="245" spans="1:23" x14ac:dyDescent="0.25">
      <c r="A245" s="4">
        <v>2</v>
      </c>
      <c r="B245" s="4">
        <v>3</v>
      </c>
      <c r="C245" s="4">
        <v>7</v>
      </c>
      <c r="D245" s="4" t="s">
        <v>285</v>
      </c>
      <c r="E245" s="4" t="s">
        <v>249</v>
      </c>
      <c r="F245" s="4">
        <v>0.52</v>
      </c>
      <c r="G245" s="8">
        <v>3</v>
      </c>
      <c r="H245" s="8">
        <v>0.51999998092651367</v>
      </c>
      <c r="I245" s="8">
        <v>0</v>
      </c>
      <c r="J245" s="8">
        <v>0</v>
      </c>
      <c r="K245" s="8">
        <v>0</v>
      </c>
      <c r="L245" s="8">
        <v>0</v>
      </c>
      <c r="M245" s="6">
        <v>0.41999998688697815</v>
      </c>
      <c r="N245" s="5">
        <v>0.80769228247495795</v>
      </c>
      <c r="O245" s="6">
        <v>0.10000000149011612</v>
      </c>
      <c r="P245" s="5">
        <v>0.19230769517330024</v>
      </c>
      <c r="Q245" s="6">
        <v>0</v>
      </c>
      <c r="R245" s="5">
        <v>0</v>
      </c>
      <c r="S245" s="6">
        <v>0</v>
      </c>
      <c r="T245" s="5">
        <v>0</v>
      </c>
      <c r="U245" s="4">
        <v>0</v>
      </c>
      <c r="V245" s="4">
        <v>0</v>
      </c>
      <c r="W245" s="4">
        <v>2025</v>
      </c>
    </row>
    <row r="246" spans="1:23" x14ac:dyDescent="0.25">
      <c r="A246" s="4">
        <v>2</v>
      </c>
      <c r="B246" s="4">
        <v>3</v>
      </c>
      <c r="C246" s="4">
        <v>8</v>
      </c>
      <c r="D246" s="4" t="s">
        <v>286</v>
      </c>
      <c r="E246" s="4" t="s">
        <v>249</v>
      </c>
      <c r="F246" s="4">
        <v>0.47</v>
      </c>
      <c r="G246" s="8">
        <v>3</v>
      </c>
      <c r="H246" s="8">
        <v>0.4699999988079071</v>
      </c>
      <c r="I246" s="8">
        <v>0</v>
      </c>
      <c r="J246" s="8">
        <v>0</v>
      </c>
      <c r="K246" s="8">
        <v>0</v>
      </c>
      <c r="L246" s="8">
        <v>0</v>
      </c>
      <c r="M246" s="6">
        <v>0.10000000149011612</v>
      </c>
      <c r="N246" s="5">
        <v>0.21276596061726835</v>
      </c>
      <c r="O246" s="6">
        <v>0.37000000476837158</v>
      </c>
      <c r="P246" s="5">
        <v>0.78723405269866298</v>
      </c>
      <c r="Q246" s="6">
        <v>0</v>
      </c>
      <c r="R246" s="5">
        <v>0</v>
      </c>
      <c r="S246" s="6">
        <v>0</v>
      </c>
      <c r="T246" s="5">
        <v>0</v>
      </c>
      <c r="U246" s="4">
        <v>0</v>
      </c>
      <c r="V246" s="4">
        <v>0</v>
      </c>
      <c r="W246" s="4">
        <v>2025</v>
      </c>
    </row>
    <row r="247" spans="1:23" x14ac:dyDescent="0.25">
      <c r="A247" s="4">
        <v>2</v>
      </c>
      <c r="B247" s="4">
        <v>3</v>
      </c>
      <c r="C247" s="4">
        <v>9</v>
      </c>
      <c r="D247" s="4" t="s">
        <v>287</v>
      </c>
      <c r="E247" s="4" t="s">
        <v>249</v>
      </c>
      <c r="F247" s="4">
        <v>0.3</v>
      </c>
      <c r="G247" s="8">
        <v>3</v>
      </c>
      <c r="H247" s="8">
        <v>0.30000001192092896</v>
      </c>
      <c r="I247" s="8">
        <v>0</v>
      </c>
      <c r="J247" s="8">
        <v>0</v>
      </c>
      <c r="K247" s="8">
        <v>0</v>
      </c>
      <c r="L247" s="8">
        <v>0</v>
      </c>
      <c r="M247" s="6">
        <v>0</v>
      </c>
      <c r="N247" s="5">
        <v>0</v>
      </c>
      <c r="O247" s="6">
        <v>0.10000000149011612</v>
      </c>
      <c r="P247" s="5">
        <v>0.33333333830038708</v>
      </c>
      <c r="Q247" s="6">
        <v>0.20000000298023224</v>
      </c>
      <c r="R247" s="5">
        <v>0.66666667660077417</v>
      </c>
      <c r="S247" s="6">
        <v>0</v>
      </c>
      <c r="T247" s="5">
        <v>0</v>
      </c>
      <c r="U247" s="4">
        <v>0</v>
      </c>
      <c r="V247" s="4">
        <v>0</v>
      </c>
      <c r="W247" s="4">
        <v>2025</v>
      </c>
    </row>
    <row r="248" spans="1:23" x14ac:dyDescent="0.25">
      <c r="A248" s="4">
        <v>2</v>
      </c>
      <c r="B248" s="4">
        <v>4</v>
      </c>
      <c r="C248" s="4">
        <v>0</v>
      </c>
      <c r="D248" s="4" t="s">
        <v>288</v>
      </c>
      <c r="E248" s="4" t="s">
        <v>249</v>
      </c>
      <c r="F248" s="4">
        <v>0.5</v>
      </c>
      <c r="G248" s="8">
        <v>3</v>
      </c>
      <c r="H248" s="8">
        <v>0.5</v>
      </c>
      <c r="I248" s="8">
        <v>0</v>
      </c>
      <c r="J248" s="8">
        <v>0</v>
      </c>
      <c r="K248" s="8">
        <v>0</v>
      </c>
      <c r="L248" s="8">
        <v>0</v>
      </c>
      <c r="M248" s="6">
        <v>0</v>
      </c>
      <c r="N248" s="5">
        <v>0</v>
      </c>
      <c r="O248" s="6">
        <v>0.5</v>
      </c>
      <c r="P248" s="5">
        <v>1</v>
      </c>
      <c r="Q248" s="6">
        <v>0</v>
      </c>
      <c r="R248" s="5">
        <v>0</v>
      </c>
      <c r="S248" s="6">
        <v>0</v>
      </c>
      <c r="T248" s="5">
        <v>0</v>
      </c>
      <c r="U248" s="4">
        <v>0</v>
      </c>
      <c r="V248" s="4">
        <v>0</v>
      </c>
      <c r="W248" s="4">
        <v>2025</v>
      </c>
    </row>
    <row r="249" spans="1:23" x14ac:dyDescent="0.25">
      <c r="A249" s="4">
        <v>2</v>
      </c>
      <c r="B249" s="4">
        <v>4</v>
      </c>
      <c r="C249" s="4">
        <v>1</v>
      </c>
      <c r="D249" s="4" t="s">
        <v>289</v>
      </c>
      <c r="E249" s="4" t="s">
        <v>249</v>
      </c>
      <c r="F249" s="4">
        <v>0.83</v>
      </c>
      <c r="G249" s="8">
        <v>3</v>
      </c>
      <c r="H249" s="8">
        <v>0.82999998331069946</v>
      </c>
      <c r="I249" s="8">
        <v>0</v>
      </c>
      <c r="J249" s="8">
        <v>0</v>
      </c>
      <c r="K249" s="8">
        <v>0</v>
      </c>
      <c r="L249" s="8">
        <v>0</v>
      </c>
      <c r="M249" s="6">
        <v>0</v>
      </c>
      <c r="N249" s="5">
        <v>0</v>
      </c>
      <c r="O249" s="6">
        <v>0</v>
      </c>
      <c r="P249" s="5">
        <v>0</v>
      </c>
      <c r="Q249" s="6">
        <v>0</v>
      </c>
      <c r="R249" s="5">
        <v>0</v>
      </c>
      <c r="S249" s="6">
        <v>0.82999998331069946</v>
      </c>
      <c r="T249" s="5">
        <v>0.99999997989240907</v>
      </c>
      <c r="U249" s="4">
        <v>0</v>
      </c>
      <c r="V249" s="4">
        <v>0</v>
      </c>
      <c r="W249" s="4">
        <v>2025</v>
      </c>
    </row>
    <row r="250" spans="1:23" x14ac:dyDescent="0.25">
      <c r="A250" s="4">
        <v>2</v>
      </c>
      <c r="B250" s="4">
        <v>4</v>
      </c>
      <c r="C250" s="4">
        <v>2</v>
      </c>
      <c r="D250" s="4" t="s">
        <v>290</v>
      </c>
      <c r="E250" s="4" t="s">
        <v>249</v>
      </c>
      <c r="F250" s="4">
        <v>1.05</v>
      </c>
      <c r="G250" s="8">
        <v>3.5</v>
      </c>
      <c r="H250" s="8">
        <v>0</v>
      </c>
      <c r="I250" s="8">
        <v>0</v>
      </c>
      <c r="J250" s="8">
        <v>0</v>
      </c>
      <c r="K250" s="8">
        <v>1.0499999523162842</v>
      </c>
      <c r="L250" s="8">
        <v>0</v>
      </c>
      <c r="M250" s="6">
        <v>0</v>
      </c>
      <c r="N250" s="5">
        <v>0</v>
      </c>
      <c r="O250" s="6">
        <v>0</v>
      </c>
      <c r="P250" s="5">
        <v>0</v>
      </c>
      <c r="Q250" s="6">
        <v>0</v>
      </c>
      <c r="R250" s="5">
        <v>0</v>
      </c>
      <c r="S250" s="6">
        <v>1.0499999523162842</v>
      </c>
      <c r="T250" s="5">
        <v>0.99999995458693725</v>
      </c>
      <c r="U250" s="4">
        <v>0</v>
      </c>
      <c r="V250" s="4">
        <v>0</v>
      </c>
      <c r="W250" s="4">
        <v>2025</v>
      </c>
    </row>
    <row r="251" spans="1:23" x14ac:dyDescent="0.25">
      <c r="A251" s="4">
        <v>2</v>
      </c>
      <c r="B251" s="4">
        <v>4</v>
      </c>
      <c r="C251" s="4">
        <v>3</v>
      </c>
      <c r="D251" s="4" t="s">
        <v>291</v>
      </c>
      <c r="E251" s="4" t="s">
        <v>249</v>
      </c>
      <c r="F251" s="4">
        <v>1.39</v>
      </c>
      <c r="G251" s="8">
        <v>3</v>
      </c>
      <c r="H251" s="8">
        <v>1.3899999856948853</v>
      </c>
      <c r="I251" s="8">
        <v>0</v>
      </c>
      <c r="J251" s="8">
        <v>0</v>
      </c>
      <c r="K251" s="8">
        <v>0</v>
      </c>
      <c r="L251" s="8">
        <v>0</v>
      </c>
      <c r="M251" s="6">
        <v>0.40000000596046448</v>
      </c>
      <c r="N251" s="5">
        <v>0.28776978846076584</v>
      </c>
      <c r="O251" s="6">
        <v>0.49000000953674316</v>
      </c>
      <c r="P251" s="5">
        <v>0.35251799247247712</v>
      </c>
      <c r="Q251" s="6">
        <v>0.5</v>
      </c>
      <c r="R251" s="5">
        <v>0.35971223021582738</v>
      </c>
      <c r="S251" s="6">
        <v>0</v>
      </c>
      <c r="T251" s="5">
        <v>0</v>
      </c>
      <c r="U251" s="4">
        <v>0</v>
      </c>
      <c r="V251" s="4">
        <v>0</v>
      </c>
      <c r="W251" s="4">
        <v>2025</v>
      </c>
    </row>
    <row r="252" spans="1:23" x14ac:dyDescent="0.25">
      <c r="A252" s="4">
        <v>2</v>
      </c>
      <c r="B252" s="4">
        <v>4</v>
      </c>
      <c r="C252" s="4">
        <v>4</v>
      </c>
      <c r="D252" s="4" t="s">
        <v>292</v>
      </c>
      <c r="E252" s="4" t="s">
        <v>249</v>
      </c>
      <c r="F252" s="4">
        <v>0.34</v>
      </c>
      <c r="G252" s="8">
        <v>3</v>
      </c>
      <c r="H252" s="8">
        <v>0.34000000357627869</v>
      </c>
      <c r="I252" s="8">
        <v>0</v>
      </c>
      <c r="J252" s="8">
        <v>0</v>
      </c>
      <c r="K252" s="8">
        <v>0</v>
      </c>
      <c r="L252" s="8">
        <v>0</v>
      </c>
      <c r="M252" s="6">
        <v>0.23999999463558197</v>
      </c>
      <c r="N252" s="5">
        <v>0.70588233716347637</v>
      </c>
      <c r="O252" s="6">
        <v>0.10000000149011612</v>
      </c>
      <c r="P252" s="5">
        <v>0.29411765144151797</v>
      </c>
      <c r="Q252" s="6">
        <v>0</v>
      </c>
      <c r="R252" s="5">
        <v>0</v>
      </c>
      <c r="S252" s="6">
        <v>0</v>
      </c>
      <c r="T252" s="5">
        <v>0</v>
      </c>
      <c r="U252" s="4">
        <v>0</v>
      </c>
      <c r="V252" s="4">
        <v>0</v>
      </c>
      <c r="W252" s="4">
        <v>2025</v>
      </c>
    </row>
    <row r="253" spans="1:23" x14ac:dyDescent="0.25">
      <c r="A253" s="4">
        <v>2</v>
      </c>
      <c r="B253" s="4">
        <v>4</v>
      </c>
      <c r="C253" s="4">
        <v>5</v>
      </c>
      <c r="D253" s="4" t="s">
        <v>293</v>
      </c>
      <c r="E253" s="4" t="s">
        <v>249</v>
      </c>
      <c r="F253" s="4">
        <v>0.76</v>
      </c>
      <c r="G253" s="8">
        <v>3</v>
      </c>
      <c r="H253" s="8">
        <v>0.15999999642372131</v>
      </c>
      <c r="I253" s="8">
        <v>0</v>
      </c>
      <c r="J253" s="8">
        <v>0</v>
      </c>
      <c r="K253" s="8">
        <v>0</v>
      </c>
      <c r="L253" s="8">
        <v>0.60000002384185791</v>
      </c>
      <c r="M253" s="6">
        <v>0</v>
      </c>
      <c r="N253" s="5">
        <v>0</v>
      </c>
      <c r="O253" s="6">
        <v>0.15999999642372131</v>
      </c>
      <c r="P253" s="5">
        <v>0.21052631108384384</v>
      </c>
      <c r="Q253" s="6">
        <v>0</v>
      </c>
      <c r="R253" s="5">
        <v>0</v>
      </c>
      <c r="S253" s="6">
        <v>0.60000002384185791</v>
      </c>
      <c r="T253" s="5">
        <v>0.78947371558139201</v>
      </c>
      <c r="U253" s="4">
        <v>0</v>
      </c>
      <c r="V253" s="4">
        <v>0</v>
      </c>
      <c r="W253" s="4">
        <v>2025</v>
      </c>
    </row>
    <row r="254" spans="1:23" x14ac:dyDescent="0.25">
      <c r="A254" s="4">
        <v>2</v>
      </c>
      <c r="B254" s="4">
        <v>4</v>
      </c>
      <c r="C254" s="4">
        <v>6</v>
      </c>
      <c r="D254" s="4" t="s">
        <v>294</v>
      </c>
      <c r="E254" s="4" t="s">
        <v>295</v>
      </c>
      <c r="F254" s="4">
        <v>1.26</v>
      </c>
      <c r="G254" s="8">
        <v>3.5</v>
      </c>
      <c r="H254" s="8">
        <v>1.2599999904632568</v>
      </c>
      <c r="I254" s="8">
        <v>0</v>
      </c>
      <c r="J254" s="8">
        <v>0</v>
      </c>
      <c r="K254" s="8">
        <v>0</v>
      </c>
      <c r="L254" s="8">
        <v>0</v>
      </c>
      <c r="M254" s="6">
        <v>0</v>
      </c>
      <c r="N254" s="5">
        <v>0</v>
      </c>
      <c r="O254" s="6">
        <v>1.1599999666213989</v>
      </c>
      <c r="P254" s="5">
        <v>0.92063489414396737</v>
      </c>
      <c r="Q254" s="6">
        <v>0.10000000149011612</v>
      </c>
      <c r="R254" s="5">
        <v>7.93650805477112E-2</v>
      </c>
      <c r="S254" s="6">
        <v>0</v>
      </c>
      <c r="T254" s="5">
        <v>0</v>
      </c>
      <c r="U254" s="4">
        <v>0</v>
      </c>
      <c r="V254" s="4">
        <v>0</v>
      </c>
      <c r="W254" s="4">
        <v>2025</v>
      </c>
    </row>
    <row r="255" spans="1:23" x14ac:dyDescent="0.25">
      <c r="A255" s="4">
        <v>2</v>
      </c>
      <c r="B255" s="4">
        <v>4</v>
      </c>
      <c r="C255" s="4">
        <v>7</v>
      </c>
      <c r="D255" s="4" t="s">
        <v>296</v>
      </c>
      <c r="E255" s="4" t="s">
        <v>295</v>
      </c>
      <c r="F255" s="4">
        <v>5.21</v>
      </c>
      <c r="G255" s="8">
        <v>3.5</v>
      </c>
      <c r="H255" s="8">
        <v>5.2100000381469727</v>
      </c>
      <c r="I255" s="8">
        <v>0</v>
      </c>
      <c r="J255" s="8">
        <v>0</v>
      </c>
      <c r="K255" s="8">
        <v>0</v>
      </c>
      <c r="L255" s="8">
        <v>0</v>
      </c>
      <c r="M255" s="6">
        <v>1.309999942779541</v>
      </c>
      <c r="N255" s="5">
        <v>0.25143952836459521</v>
      </c>
      <c r="O255" s="6">
        <v>3.5999999046325684</v>
      </c>
      <c r="P255" s="5">
        <v>0.69097886845154866</v>
      </c>
      <c r="Q255" s="6">
        <v>0.30000001192092896</v>
      </c>
      <c r="R255" s="5">
        <v>5.7581576184439341E-2</v>
      </c>
      <c r="S255" s="6">
        <v>0</v>
      </c>
      <c r="T255" s="5">
        <v>0</v>
      </c>
      <c r="U255" s="4">
        <v>0</v>
      </c>
      <c r="V255" s="4">
        <v>0</v>
      </c>
      <c r="W255" s="4">
        <v>2025</v>
      </c>
    </row>
    <row r="256" spans="1:23" x14ac:dyDescent="0.25">
      <c r="A256" s="4">
        <v>2</v>
      </c>
      <c r="B256" s="4">
        <v>4</v>
      </c>
      <c r="C256" s="4">
        <v>8</v>
      </c>
      <c r="D256" s="4" t="s">
        <v>297</v>
      </c>
      <c r="E256" s="4" t="s">
        <v>295</v>
      </c>
      <c r="F256" s="4">
        <v>5.69</v>
      </c>
      <c r="G256" s="8">
        <v>5</v>
      </c>
      <c r="H256" s="8">
        <v>0</v>
      </c>
      <c r="I256" s="8">
        <v>0</v>
      </c>
      <c r="J256" s="8">
        <v>0</v>
      </c>
      <c r="K256" s="8">
        <v>5.690000057220459</v>
      </c>
      <c r="L256" s="8">
        <v>0</v>
      </c>
      <c r="M256" s="6">
        <v>0</v>
      </c>
      <c r="N256" s="5">
        <v>0</v>
      </c>
      <c r="O256" s="6">
        <v>0</v>
      </c>
      <c r="P256" s="5">
        <v>0</v>
      </c>
      <c r="Q256" s="6">
        <v>0</v>
      </c>
      <c r="R256" s="5">
        <v>0</v>
      </c>
      <c r="S256" s="6">
        <v>5.690000057220459</v>
      </c>
      <c r="T256" s="5">
        <v>1.0000000100563196</v>
      </c>
      <c r="U256" s="4">
        <v>0</v>
      </c>
      <c r="V256" s="4">
        <v>0</v>
      </c>
      <c r="W256" s="4">
        <v>2025</v>
      </c>
    </row>
    <row r="257" spans="1:23" x14ac:dyDescent="0.25">
      <c r="A257" s="4">
        <v>2</v>
      </c>
      <c r="B257" s="4">
        <v>4</v>
      </c>
      <c r="C257" s="4">
        <v>9</v>
      </c>
      <c r="D257" s="4" t="s">
        <v>298</v>
      </c>
      <c r="E257" s="4" t="s">
        <v>295</v>
      </c>
      <c r="F257" s="4">
        <v>9.7100000000000009</v>
      </c>
      <c r="G257" s="8">
        <v>4</v>
      </c>
      <c r="H257" s="8">
        <v>7.3000001907348633</v>
      </c>
      <c r="I257" s="8">
        <v>0</v>
      </c>
      <c r="J257" s="8">
        <v>0</v>
      </c>
      <c r="K257" s="8">
        <v>0</v>
      </c>
      <c r="L257" s="8">
        <v>2.4100000858306885</v>
      </c>
      <c r="M257" s="6">
        <v>6.5999999046325684</v>
      </c>
      <c r="N257" s="5">
        <v>0.67971162766555793</v>
      </c>
      <c r="O257" s="6">
        <v>0.69999998807907104</v>
      </c>
      <c r="P257" s="5">
        <v>7.2090626990635523E-2</v>
      </c>
      <c r="Q257" s="6">
        <v>0</v>
      </c>
      <c r="R257" s="5">
        <v>0</v>
      </c>
      <c r="S257" s="6">
        <v>2.4100000858306885</v>
      </c>
      <c r="T257" s="5">
        <v>0.24819774313395349</v>
      </c>
      <c r="U257" s="4">
        <v>0</v>
      </c>
      <c r="V257" s="4">
        <v>0</v>
      </c>
      <c r="W257" s="4">
        <v>2025</v>
      </c>
    </row>
    <row r="258" spans="1:23" x14ac:dyDescent="0.25">
      <c r="A258" s="4">
        <v>2</v>
      </c>
      <c r="B258" s="4">
        <v>5</v>
      </c>
      <c r="C258" s="4">
        <v>0</v>
      </c>
      <c r="D258" s="4" t="s">
        <v>299</v>
      </c>
      <c r="E258" s="4" t="s">
        <v>300</v>
      </c>
      <c r="F258" s="4">
        <v>4.34</v>
      </c>
      <c r="G258" s="8">
        <v>3.5</v>
      </c>
      <c r="H258" s="8">
        <v>4.3400001525878906</v>
      </c>
      <c r="I258" s="8">
        <v>0</v>
      </c>
      <c r="J258" s="8">
        <v>0</v>
      </c>
      <c r="K258" s="8">
        <v>0</v>
      </c>
      <c r="L258" s="8">
        <v>0</v>
      </c>
      <c r="M258" s="6">
        <v>1.5399999618530273</v>
      </c>
      <c r="N258" s="5">
        <v>0.35483870088779434</v>
      </c>
      <c r="O258" s="6">
        <v>1.3999999761581421</v>
      </c>
      <c r="P258" s="5">
        <v>0.32258063966777467</v>
      </c>
      <c r="Q258" s="6">
        <v>1.3999999761581421</v>
      </c>
      <c r="R258" s="5">
        <v>0.32258063966777467</v>
      </c>
      <c r="S258" s="6">
        <v>0</v>
      </c>
      <c r="T258" s="5">
        <v>0</v>
      </c>
      <c r="U258" s="4">
        <v>0</v>
      </c>
      <c r="V258" s="4">
        <v>0</v>
      </c>
      <c r="W258" s="4">
        <v>2025</v>
      </c>
    </row>
    <row r="259" spans="1:23" x14ac:dyDescent="0.25">
      <c r="A259" s="4">
        <v>2</v>
      </c>
      <c r="B259" s="4">
        <v>5</v>
      </c>
      <c r="C259" s="4">
        <v>1</v>
      </c>
      <c r="D259" s="4" t="s">
        <v>301</v>
      </c>
      <c r="E259" s="4" t="s">
        <v>295</v>
      </c>
      <c r="F259" s="4">
        <v>1.66</v>
      </c>
      <c r="G259" s="8">
        <v>3</v>
      </c>
      <c r="H259" s="8">
        <v>1.6599999666213989</v>
      </c>
      <c r="I259" s="8">
        <v>0</v>
      </c>
      <c r="J259" s="8">
        <v>0</v>
      </c>
      <c r="K259" s="8">
        <v>0</v>
      </c>
      <c r="L259" s="8">
        <v>0</v>
      </c>
      <c r="M259" s="6">
        <v>1.059999942779541</v>
      </c>
      <c r="N259" s="5">
        <v>0.63855418239731387</v>
      </c>
      <c r="O259" s="6">
        <v>0.60000002384185791</v>
      </c>
      <c r="P259" s="5">
        <v>0.36144579749509514</v>
      </c>
      <c r="Q259" s="6">
        <v>0</v>
      </c>
      <c r="R259" s="5">
        <v>0</v>
      </c>
      <c r="S259" s="6">
        <v>0</v>
      </c>
      <c r="T259" s="5">
        <v>0</v>
      </c>
      <c r="U259" s="4">
        <v>0</v>
      </c>
      <c r="V259" s="4">
        <v>0</v>
      </c>
      <c r="W259" s="4">
        <v>2025</v>
      </c>
    </row>
    <row r="260" spans="1:23" x14ac:dyDescent="0.25">
      <c r="A260" s="4">
        <v>2</v>
      </c>
      <c r="B260" s="4">
        <v>5</v>
      </c>
      <c r="C260" s="4">
        <v>2</v>
      </c>
      <c r="D260" s="4" t="s">
        <v>302</v>
      </c>
      <c r="E260" s="4" t="s">
        <v>295</v>
      </c>
      <c r="F260" s="4">
        <v>2.72</v>
      </c>
      <c r="G260" s="8">
        <v>3</v>
      </c>
      <c r="H260" s="8">
        <v>2.7200000286102295</v>
      </c>
      <c r="I260" s="8">
        <v>0</v>
      </c>
      <c r="J260" s="8">
        <v>0</v>
      </c>
      <c r="K260" s="8">
        <v>0</v>
      </c>
      <c r="L260" s="8">
        <v>0</v>
      </c>
      <c r="M260" s="6">
        <v>0.69999998807907104</v>
      </c>
      <c r="N260" s="5">
        <v>0.25735293679377608</v>
      </c>
      <c r="O260" s="6">
        <v>2.0199999809265137</v>
      </c>
      <c r="P260" s="5">
        <v>0.74264705181121826</v>
      </c>
      <c r="Q260" s="6">
        <v>0</v>
      </c>
      <c r="R260" s="5">
        <v>0</v>
      </c>
      <c r="S260" s="6">
        <v>0</v>
      </c>
      <c r="T260" s="5">
        <v>0</v>
      </c>
      <c r="U260" s="4">
        <v>0</v>
      </c>
      <c r="V260" s="4">
        <v>0</v>
      </c>
      <c r="W260" s="4">
        <v>2025</v>
      </c>
    </row>
    <row r="261" spans="1:23" x14ac:dyDescent="0.25">
      <c r="A261" s="4">
        <v>2</v>
      </c>
      <c r="B261" s="4">
        <v>5</v>
      </c>
      <c r="C261" s="4">
        <v>3</v>
      </c>
      <c r="D261" s="4" t="s">
        <v>303</v>
      </c>
      <c r="E261" s="4" t="s">
        <v>295</v>
      </c>
      <c r="F261" s="4">
        <v>0.64</v>
      </c>
      <c r="G261" s="8">
        <v>3</v>
      </c>
      <c r="H261" s="8">
        <v>0.5</v>
      </c>
      <c r="I261" s="8">
        <v>0</v>
      </c>
      <c r="J261" s="8">
        <v>0</v>
      </c>
      <c r="K261" s="8">
        <v>0</v>
      </c>
      <c r="L261" s="8">
        <v>0.14000000059604645</v>
      </c>
      <c r="M261" s="6">
        <v>0</v>
      </c>
      <c r="N261" s="5">
        <v>0</v>
      </c>
      <c r="O261" s="6">
        <v>0.40000000596046448</v>
      </c>
      <c r="P261" s="5">
        <v>0.62500000931322575</v>
      </c>
      <c r="Q261" s="6">
        <v>0</v>
      </c>
      <c r="R261" s="5">
        <v>0</v>
      </c>
      <c r="S261" s="6">
        <v>0.24000000208616257</v>
      </c>
      <c r="T261" s="5">
        <v>0.37500000325962901</v>
      </c>
      <c r="U261" s="4">
        <v>0</v>
      </c>
      <c r="V261" s="4">
        <v>0</v>
      </c>
      <c r="W261" s="4">
        <v>2025</v>
      </c>
    </row>
    <row r="262" spans="1:23" x14ac:dyDescent="0.25">
      <c r="A262" s="4">
        <v>2</v>
      </c>
      <c r="B262" s="4">
        <v>5</v>
      </c>
      <c r="C262" s="4">
        <v>4</v>
      </c>
      <c r="D262" s="4" t="s">
        <v>304</v>
      </c>
      <c r="E262" s="4" t="s">
        <v>300</v>
      </c>
      <c r="F262" s="4">
        <v>6.1</v>
      </c>
      <c r="G262" s="8">
        <v>3</v>
      </c>
      <c r="H262" s="8">
        <v>6</v>
      </c>
      <c r="I262" s="8">
        <v>0</v>
      </c>
      <c r="J262" s="8">
        <v>0</v>
      </c>
      <c r="K262" s="8">
        <v>0.10000000149011612</v>
      </c>
      <c r="L262" s="8">
        <v>0</v>
      </c>
      <c r="M262" s="6">
        <v>1.6000000238418579</v>
      </c>
      <c r="N262" s="5">
        <v>0.26229508587571443</v>
      </c>
      <c r="O262" s="6">
        <v>2.2999999523162842</v>
      </c>
      <c r="P262" s="5">
        <v>0.37704917251086628</v>
      </c>
      <c r="Q262" s="6">
        <v>1.3999999761581421</v>
      </c>
      <c r="R262" s="5">
        <v>0.22950819281281018</v>
      </c>
      <c r="S262" s="6">
        <v>0.79999998956918716</v>
      </c>
      <c r="T262" s="5">
        <v>0.13114753927363726</v>
      </c>
      <c r="U262" s="4">
        <v>0</v>
      </c>
      <c r="V262" s="4">
        <v>0</v>
      </c>
      <c r="W262" s="4">
        <v>2025</v>
      </c>
    </row>
    <row r="263" spans="1:23" x14ac:dyDescent="0.25">
      <c r="A263" s="4">
        <v>2</v>
      </c>
      <c r="B263" s="4">
        <v>5</v>
      </c>
      <c r="C263" s="4">
        <v>5</v>
      </c>
      <c r="D263" s="4" t="s">
        <v>305</v>
      </c>
      <c r="E263" s="4" t="s">
        <v>295</v>
      </c>
      <c r="F263" s="4">
        <v>0.82</v>
      </c>
      <c r="G263" s="8">
        <v>3</v>
      </c>
      <c r="H263" s="8">
        <v>0</v>
      </c>
      <c r="I263" s="8">
        <v>0</v>
      </c>
      <c r="J263" s="8">
        <v>0.81999999284744263</v>
      </c>
      <c r="K263" s="8">
        <v>0</v>
      </c>
      <c r="L263" s="8">
        <v>0</v>
      </c>
      <c r="M263" s="6">
        <v>0</v>
      </c>
      <c r="N263" s="5">
        <v>0</v>
      </c>
      <c r="O263" s="6">
        <v>0</v>
      </c>
      <c r="P263" s="5">
        <v>0</v>
      </c>
      <c r="Q263" s="6">
        <v>0</v>
      </c>
      <c r="R263" s="5">
        <v>0</v>
      </c>
      <c r="S263" s="6">
        <v>0.81999999284744263</v>
      </c>
      <c r="T263" s="5">
        <v>0.99999999127736916</v>
      </c>
      <c r="U263" s="4">
        <v>0</v>
      </c>
      <c r="V263" s="4">
        <v>0</v>
      </c>
      <c r="W263" s="4">
        <v>2025</v>
      </c>
    </row>
    <row r="264" spans="1:23" x14ac:dyDescent="0.25">
      <c r="A264" s="4">
        <v>2</v>
      </c>
      <c r="B264" s="4">
        <v>5</v>
      </c>
      <c r="C264" s="4">
        <v>6</v>
      </c>
      <c r="D264" s="4" t="s">
        <v>306</v>
      </c>
      <c r="E264" s="4" t="s">
        <v>295</v>
      </c>
      <c r="F264" s="4">
        <v>1.46</v>
      </c>
      <c r="G264" s="8">
        <v>2.5</v>
      </c>
      <c r="H264" s="8">
        <v>0</v>
      </c>
      <c r="I264" s="8">
        <v>0</v>
      </c>
      <c r="J264" s="8">
        <v>0</v>
      </c>
      <c r="K264" s="8">
        <v>0</v>
      </c>
      <c r="L264" s="8">
        <v>1.4600000381469727</v>
      </c>
      <c r="M264" s="6">
        <v>0</v>
      </c>
      <c r="N264" s="5">
        <v>0</v>
      </c>
      <c r="O264" s="6">
        <v>0</v>
      </c>
      <c r="P264" s="5">
        <v>0</v>
      </c>
      <c r="Q264" s="6">
        <v>0</v>
      </c>
      <c r="R264" s="5">
        <v>0</v>
      </c>
      <c r="S264" s="6">
        <v>1.4600000381469727</v>
      </c>
      <c r="T264" s="5">
        <v>1.0000000261280635</v>
      </c>
      <c r="U264" s="4">
        <v>0</v>
      </c>
      <c r="V264" s="4">
        <v>0</v>
      </c>
      <c r="W264" s="4">
        <v>2025</v>
      </c>
    </row>
    <row r="265" spans="1:23" x14ac:dyDescent="0.25">
      <c r="A265" s="4">
        <v>2</v>
      </c>
      <c r="B265" s="4">
        <v>5</v>
      </c>
      <c r="C265" s="4">
        <v>7</v>
      </c>
      <c r="D265" s="4" t="s">
        <v>307</v>
      </c>
      <c r="E265" s="4" t="s">
        <v>295</v>
      </c>
      <c r="F265" s="4">
        <v>0.86</v>
      </c>
      <c r="G265" s="8">
        <v>4.190000057220459</v>
      </c>
      <c r="H265" s="8">
        <v>0.5</v>
      </c>
      <c r="I265" s="8">
        <v>0</v>
      </c>
      <c r="J265" s="8">
        <v>0.30000001192092896</v>
      </c>
      <c r="K265" s="8">
        <v>5.9999998658895493E-2</v>
      </c>
      <c r="L265" s="8">
        <v>0</v>
      </c>
      <c r="M265" s="6">
        <v>0.5</v>
      </c>
      <c r="N265" s="5">
        <v>0.58139534883720934</v>
      </c>
      <c r="O265" s="6">
        <v>0.10000000149011612</v>
      </c>
      <c r="P265" s="5">
        <v>0.11627907150013503</v>
      </c>
      <c r="Q265" s="6">
        <v>0</v>
      </c>
      <c r="R265" s="5">
        <v>0</v>
      </c>
      <c r="S265" s="6">
        <v>0.26000000163912773</v>
      </c>
      <c r="T265" s="5">
        <v>0.30232558330131132</v>
      </c>
      <c r="U265" s="4">
        <v>0</v>
      </c>
      <c r="V265" s="4">
        <v>0</v>
      </c>
      <c r="W265" s="4">
        <v>2025</v>
      </c>
    </row>
    <row r="266" spans="1:23" x14ac:dyDescent="0.25">
      <c r="A266" s="4">
        <v>2</v>
      </c>
      <c r="B266" s="4">
        <v>5</v>
      </c>
      <c r="C266" s="4">
        <v>8</v>
      </c>
      <c r="D266" s="4" t="s">
        <v>308</v>
      </c>
      <c r="E266" s="4" t="s">
        <v>309</v>
      </c>
      <c r="F266" s="4">
        <v>7.65</v>
      </c>
      <c r="G266" s="8">
        <v>3</v>
      </c>
      <c r="H266" s="8">
        <v>7.6500000953674316</v>
      </c>
      <c r="I266" s="8">
        <v>0</v>
      </c>
      <c r="J266" s="8">
        <v>0</v>
      </c>
      <c r="K266" s="8">
        <v>0</v>
      </c>
      <c r="L266" s="8">
        <v>0</v>
      </c>
      <c r="M266" s="6">
        <v>2.2000000476837158</v>
      </c>
      <c r="N266" s="5">
        <v>0.28758170557957069</v>
      </c>
      <c r="O266" s="6">
        <v>3.0499999523162842</v>
      </c>
      <c r="P266" s="5">
        <v>0.39869280422435083</v>
      </c>
      <c r="Q266" s="6">
        <v>2</v>
      </c>
      <c r="R266" s="5">
        <v>0.26143790849673204</v>
      </c>
      <c r="S266" s="6">
        <v>0.40000000596046448</v>
      </c>
      <c r="T266" s="5">
        <v>5.2287582478492085E-2</v>
      </c>
      <c r="U266" s="4">
        <v>0</v>
      </c>
      <c r="V266" s="4">
        <v>0</v>
      </c>
      <c r="W266" s="4">
        <v>2025</v>
      </c>
    </row>
    <row r="267" spans="1:23" x14ac:dyDescent="0.25">
      <c r="A267" s="4">
        <v>2</v>
      </c>
      <c r="B267" s="4">
        <v>5</v>
      </c>
      <c r="C267" s="4">
        <v>9</v>
      </c>
      <c r="D267" s="4" t="s">
        <v>310</v>
      </c>
      <c r="E267" s="4" t="s">
        <v>309</v>
      </c>
      <c r="F267" s="4">
        <v>1.28</v>
      </c>
      <c r="G267" s="8">
        <v>3</v>
      </c>
      <c r="H267" s="8">
        <v>1.2799999713897705</v>
      </c>
      <c r="I267" s="8">
        <v>0</v>
      </c>
      <c r="J267" s="8">
        <v>0</v>
      </c>
      <c r="K267" s="8">
        <v>0</v>
      </c>
      <c r="L267" s="8">
        <v>0</v>
      </c>
      <c r="M267" s="6">
        <v>0.89999997615814209</v>
      </c>
      <c r="N267" s="5">
        <v>0.70312498137354851</v>
      </c>
      <c r="O267" s="6">
        <v>0.18000000715255737</v>
      </c>
      <c r="P267" s="5">
        <v>0.14062500558793545</v>
      </c>
      <c r="Q267" s="6">
        <v>0</v>
      </c>
      <c r="R267" s="5">
        <v>0</v>
      </c>
      <c r="S267" s="6">
        <v>0.20000000298023224</v>
      </c>
      <c r="T267" s="5">
        <v>0.15625000232830644</v>
      </c>
      <c r="U267" s="4">
        <v>0</v>
      </c>
      <c r="V267" s="4">
        <v>0</v>
      </c>
      <c r="W267" s="4">
        <v>2025</v>
      </c>
    </row>
    <row r="268" spans="1:23" x14ac:dyDescent="0.25">
      <c r="A268" s="4">
        <v>2</v>
      </c>
      <c r="B268" s="4">
        <v>6</v>
      </c>
      <c r="C268" s="4">
        <v>0</v>
      </c>
      <c r="D268" s="4" t="s">
        <v>311</v>
      </c>
      <c r="E268" s="4" t="s">
        <v>309</v>
      </c>
      <c r="F268" s="4">
        <v>7.17</v>
      </c>
      <c r="G268" s="8">
        <v>2</v>
      </c>
      <c r="H268" s="8">
        <v>0.60000002384185791</v>
      </c>
      <c r="I268" s="8">
        <v>0</v>
      </c>
      <c r="J268" s="8">
        <v>6.570000171661377</v>
      </c>
      <c r="K268" s="8">
        <v>0</v>
      </c>
      <c r="L268" s="8">
        <v>0</v>
      </c>
      <c r="M268" s="6">
        <v>0</v>
      </c>
      <c r="N268" s="5">
        <v>0</v>
      </c>
      <c r="O268" s="6">
        <v>0.56999999284744263</v>
      </c>
      <c r="P268" s="5">
        <v>7.9497906952223515E-2</v>
      </c>
      <c r="Q268" s="6">
        <v>6.5999999046325684</v>
      </c>
      <c r="R268" s="5">
        <v>0.92050207874931222</v>
      </c>
      <c r="S268" s="6">
        <v>0</v>
      </c>
      <c r="T268" s="5">
        <v>0</v>
      </c>
      <c r="U268" s="4">
        <v>0</v>
      </c>
      <c r="V268" s="4">
        <v>0</v>
      </c>
      <c r="W268" s="4">
        <v>2025</v>
      </c>
    </row>
    <row r="269" spans="1:23" x14ac:dyDescent="0.25">
      <c r="A269" s="4">
        <v>2</v>
      </c>
      <c r="B269" s="4">
        <v>6</v>
      </c>
      <c r="C269" s="4">
        <v>1</v>
      </c>
      <c r="D269" s="4" t="s">
        <v>312</v>
      </c>
      <c r="E269" s="4" t="s">
        <v>309</v>
      </c>
      <c r="F269" s="4">
        <v>6.82</v>
      </c>
      <c r="G269" s="8">
        <v>2</v>
      </c>
      <c r="H269" s="8">
        <v>0</v>
      </c>
      <c r="I269" s="8">
        <v>0</v>
      </c>
      <c r="J269" s="8">
        <v>6.820000171661377</v>
      </c>
      <c r="K269" s="8">
        <v>0</v>
      </c>
      <c r="L269" s="8">
        <v>0</v>
      </c>
      <c r="M269" s="6">
        <v>0.30000001192092896</v>
      </c>
      <c r="N269" s="5">
        <v>4.3988271542658205E-2</v>
      </c>
      <c r="O269" s="6">
        <v>2.2200000286102295</v>
      </c>
      <c r="P269" s="5">
        <v>0.32551320067598671</v>
      </c>
      <c r="Q269" s="6">
        <v>0</v>
      </c>
      <c r="R269" s="5">
        <v>0</v>
      </c>
      <c r="S269" s="6">
        <v>4.3000001907348633</v>
      </c>
      <c r="T269" s="5">
        <v>0.6304985616913289</v>
      </c>
      <c r="U269" s="4">
        <v>0</v>
      </c>
      <c r="V269" s="4">
        <v>0</v>
      </c>
      <c r="W269" s="4">
        <v>2025</v>
      </c>
    </row>
    <row r="270" spans="1:23" x14ac:dyDescent="0.25">
      <c r="A270" s="4">
        <v>2</v>
      </c>
      <c r="B270" s="4">
        <v>6</v>
      </c>
      <c r="C270" s="4">
        <v>2</v>
      </c>
      <c r="D270" s="4" t="s">
        <v>313</v>
      </c>
      <c r="E270" s="4" t="s">
        <v>309</v>
      </c>
      <c r="F270" s="4">
        <v>2.06</v>
      </c>
      <c r="G270" s="8">
        <v>3.5</v>
      </c>
      <c r="H270" s="8">
        <v>0.56000000238418579</v>
      </c>
      <c r="I270" s="8">
        <v>0</v>
      </c>
      <c r="J270" s="8">
        <v>0</v>
      </c>
      <c r="K270" s="8">
        <v>1.5</v>
      </c>
      <c r="L270" s="8">
        <v>0</v>
      </c>
      <c r="M270" s="6">
        <v>0.56000000238418579</v>
      </c>
      <c r="N270" s="5">
        <v>0.2718446613515465</v>
      </c>
      <c r="O270" s="6">
        <v>0</v>
      </c>
      <c r="P270" s="5">
        <v>0</v>
      </c>
      <c r="Q270" s="6">
        <v>0</v>
      </c>
      <c r="R270" s="5">
        <v>0</v>
      </c>
      <c r="S270" s="6">
        <v>1.5</v>
      </c>
      <c r="T270" s="5">
        <v>0.72815533980582525</v>
      </c>
      <c r="U270" s="4">
        <v>0</v>
      </c>
      <c r="V270" s="4">
        <v>0</v>
      </c>
      <c r="W270" s="4">
        <v>2025</v>
      </c>
    </row>
    <row r="271" spans="1:23" x14ac:dyDescent="0.25">
      <c r="A271" s="4">
        <v>2</v>
      </c>
      <c r="B271" s="4">
        <v>6</v>
      </c>
      <c r="C271" s="4">
        <v>3</v>
      </c>
      <c r="D271" s="4" t="s">
        <v>314</v>
      </c>
      <c r="E271" s="4" t="s">
        <v>309</v>
      </c>
      <c r="F271" s="4">
        <v>9.4600000000000009</v>
      </c>
      <c r="G271" s="8">
        <v>3</v>
      </c>
      <c r="H271" s="8">
        <v>5</v>
      </c>
      <c r="I271" s="8">
        <v>0</v>
      </c>
      <c r="J271" s="8">
        <v>0</v>
      </c>
      <c r="K271" s="8">
        <v>2.2999999523162842</v>
      </c>
      <c r="L271" s="8">
        <v>2.1600000858306885</v>
      </c>
      <c r="M271" s="6">
        <v>3</v>
      </c>
      <c r="N271" s="5">
        <v>0.31712473572938688</v>
      </c>
      <c r="O271" s="6">
        <v>0.30000001192092896</v>
      </c>
      <c r="P271" s="5">
        <v>3.1712474833079166E-2</v>
      </c>
      <c r="Q271" s="6">
        <v>0.5</v>
      </c>
      <c r="R271" s="5">
        <v>5.2854122621564477E-2</v>
      </c>
      <c r="S271" s="6">
        <v>5.6600000858306885</v>
      </c>
      <c r="T271" s="5">
        <v>0.59830867714912139</v>
      </c>
      <c r="U271" s="4">
        <v>0</v>
      </c>
      <c r="V271" s="4">
        <v>0</v>
      </c>
      <c r="W271" s="4">
        <v>2025</v>
      </c>
    </row>
    <row r="272" spans="1:23" x14ac:dyDescent="0.25">
      <c r="A272" s="4">
        <v>2</v>
      </c>
      <c r="B272" s="4">
        <v>6</v>
      </c>
      <c r="C272" s="4">
        <v>4</v>
      </c>
      <c r="D272" s="4" t="s">
        <v>315</v>
      </c>
      <c r="E272" s="4" t="s">
        <v>309</v>
      </c>
      <c r="F272" s="4">
        <v>0.81</v>
      </c>
      <c r="G272" s="8">
        <v>3.5</v>
      </c>
      <c r="H272" s="8">
        <v>0</v>
      </c>
      <c r="I272" s="8">
        <v>0</v>
      </c>
      <c r="J272" s="8">
        <v>0.81000000238418579</v>
      </c>
      <c r="K272" s="8">
        <v>0</v>
      </c>
      <c r="L272" s="8">
        <v>0</v>
      </c>
      <c r="M272" s="6">
        <v>0</v>
      </c>
      <c r="N272" s="5">
        <v>0</v>
      </c>
      <c r="O272" s="6">
        <v>0.20999999344348907</v>
      </c>
      <c r="P272" s="5">
        <v>0.25925925116480131</v>
      </c>
      <c r="Q272" s="6">
        <v>0.30000001192092896</v>
      </c>
      <c r="R272" s="5">
        <v>0.37037038508756659</v>
      </c>
      <c r="S272" s="6">
        <v>0.30000001192092896</v>
      </c>
      <c r="T272" s="5">
        <v>0.37037038508756659</v>
      </c>
      <c r="U272" s="4">
        <v>0</v>
      </c>
      <c r="V272" s="4">
        <v>0</v>
      </c>
      <c r="W272" s="4">
        <v>2025</v>
      </c>
    </row>
    <row r="273" spans="1:23" x14ac:dyDescent="0.25">
      <c r="A273" s="4">
        <v>2</v>
      </c>
      <c r="B273" s="4">
        <v>6</v>
      </c>
      <c r="C273" s="4">
        <v>5</v>
      </c>
      <c r="D273" s="4" t="s">
        <v>316</v>
      </c>
      <c r="E273" s="4" t="s">
        <v>309</v>
      </c>
      <c r="F273" s="4">
        <v>0.74</v>
      </c>
      <c r="G273" s="8">
        <v>3.5</v>
      </c>
      <c r="H273" s="8">
        <v>0.74000000953674316</v>
      </c>
      <c r="I273" s="8">
        <v>0</v>
      </c>
      <c r="J273" s="8">
        <v>0</v>
      </c>
      <c r="K273" s="8">
        <v>0</v>
      </c>
      <c r="L273" s="8">
        <v>0</v>
      </c>
      <c r="M273" s="6">
        <v>0</v>
      </c>
      <c r="N273" s="5">
        <v>0</v>
      </c>
      <c r="O273" s="6">
        <v>0.10000000149011612</v>
      </c>
      <c r="P273" s="5">
        <v>0.13513513714880557</v>
      </c>
      <c r="Q273" s="6">
        <v>0.14000000059604645</v>
      </c>
      <c r="R273" s="5">
        <v>0.18918918999465736</v>
      </c>
      <c r="S273" s="6">
        <v>0.5</v>
      </c>
      <c r="T273" s="5">
        <v>0.67567567567567566</v>
      </c>
      <c r="U273" s="4">
        <v>0</v>
      </c>
      <c r="V273" s="4">
        <v>0</v>
      </c>
      <c r="W273" s="4">
        <v>2025</v>
      </c>
    </row>
    <row r="274" spans="1:23" x14ac:dyDescent="0.25">
      <c r="A274" s="4">
        <v>2</v>
      </c>
      <c r="B274" s="4">
        <v>6</v>
      </c>
      <c r="C274" s="4">
        <v>6</v>
      </c>
      <c r="D274" s="4" t="s">
        <v>317</v>
      </c>
      <c r="E274" s="4" t="s">
        <v>318</v>
      </c>
      <c r="F274" s="4">
        <v>7.78</v>
      </c>
      <c r="G274" s="8">
        <v>3</v>
      </c>
      <c r="H274" s="8">
        <v>5.880000114440918</v>
      </c>
      <c r="I274" s="8">
        <v>0</v>
      </c>
      <c r="J274" s="8">
        <v>0</v>
      </c>
      <c r="K274" s="8">
        <v>1.8999999761581421</v>
      </c>
      <c r="L274" s="8">
        <v>0</v>
      </c>
      <c r="M274" s="6">
        <v>0</v>
      </c>
      <c r="N274" s="5">
        <v>0</v>
      </c>
      <c r="O274" s="6">
        <v>4.179999828338623</v>
      </c>
      <c r="P274" s="5">
        <v>0.53727504220290778</v>
      </c>
      <c r="Q274" s="6">
        <v>0.89999997615814209</v>
      </c>
      <c r="R274" s="5">
        <v>0.1156812308686558</v>
      </c>
      <c r="S274" s="6">
        <v>2.699999988079071</v>
      </c>
      <c r="T274" s="5">
        <v>0.34704370026723275</v>
      </c>
      <c r="U274" s="4">
        <v>0</v>
      </c>
      <c r="V274" s="4">
        <v>0</v>
      </c>
      <c r="W274" s="4">
        <v>2025</v>
      </c>
    </row>
    <row r="275" spans="1:23" x14ac:dyDescent="0.25">
      <c r="A275" s="4">
        <v>2</v>
      </c>
      <c r="B275" s="4">
        <v>6</v>
      </c>
      <c r="C275" s="4">
        <v>7</v>
      </c>
      <c r="D275" s="4" t="s">
        <v>319</v>
      </c>
      <c r="E275" s="4" t="s">
        <v>309</v>
      </c>
      <c r="F275" s="4">
        <v>0.43</v>
      </c>
      <c r="G275" s="8">
        <v>3</v>
      </c>
      <c r="H275" s="8">
        <v>0.43000000715255737</v>
      </c>
      <c r="I275" s="8">
        <v>0</v>
      </c>
      <c r="J275" s="8">
        <v>0</v>
      </c>
      <c r="K275" s="8">
        <v>0</v>
      </c>
      <c r="L275" s="8">
        <v>0</v>
      </c>
      <c r="M275" s="6">
        <v>0</v>
      </c>
      <c r="N275" s="5">
        <v>0</v>
      </c>
      <c r="O275" s="6">
        <v>0.23000000417232513</v>
      </c>
      <c r="P275" s="5">
        <v>0.53488373063331429</v>
      </c>
      <c r="Q275" s="6">
        <v>0.20000000298023224</v>
      </c>
      <c r="R275" s="5">
        <v>0.46511628600054011</v>
      </c>
      <c r="S275" s="6">
        <v>0</v>
      </c>
      <c r="T275" s="5">
        <v>0</v>
      </c>
      <c r="U275" s="4">
        <v>0</v>
      </c>
      <c r="V275" s="4">
        <v>0</v>
      </c>
      <c r="W275" s="4">
        <v>2025</v>
      </c>
    </row>
    <row r="276" spans="1:23" x14ac:dyDescent="0.25">
      <c r="A276" s="4">
        <v>2</v>
      </c>
      <c r="B276" s="4">
        <v>6</v>
      </c>
      <c r="C276" s="4">
        <v>8</v>
      </c>
      <c r="D276" s="4" t="s">
        <v>320</v>
      </c>
      <c r="E276" s="4" t="s">
        <v>309</v>
      </c>
      <c r="F276" s="4">
        <v>1.79</v>
      </c>
      <c r="G276" s="8">
        <v>3</v>
      </c>
      <c r="H276" s="8">
        <v>1.7899999618530273</v>
      </c>
      <c r="I276" s="8">
        <v>0</v>
      </c>
      <c r="J276" s="8">
        <v>0</v>
      </c>
      <c r="K276" s="8">
        <v>0</v>
      </c>
      <c r="L276" s="8">
        <v>0</v>
      </c>
      <c r="M276" s="6">
        <v>0.88999998569488525</v>
      </c>
      <c r="N276" s="5">
        <v>0.4972066959189303</v>
      </c>
      <c r="O276" s="6">
        <v>0.89999997615814209</v>
      </c>
      <c r="P276" s="5">
        <v>0.50279328276991175</v>
      </c>
      <c r="Q276" s="6">
        <v>0</v>
      </c>
      <c r="R276" s="5">
        <v>0</v>
      </c>
      <c r="S276" s="6">
        <v>0</v>
      </c>
      <c r="T276" s="5">
        <v>0</v>
      </c>
      <c r="U276" s="4">
        <v>0</v>
      </c>
      <c r="V276" s="4">
        <v>0</v>
      </c>
      <c r="W276" s="4">
        <v>2025</v>
      </c>
    </row>
    <row r="277" spans="1:23" x14ac:dyDescent="0.25">
      <c r="A277" s="4">
        <v>2</v>
      </c>
      <c r="B277" s="4">
        <v>6</v>
      </c>
      <c r="C277" s="4">
        <v>9</v>
      </c>
      <c r="D277" s="4" t="s">
        <v>321</v>
      </c>
      <c r="E277" s="4" t="s">
        <v>309</v>
      </c>
      <c r="F277" s="4">
        <v>0.61</v>
      </c>
      <c r="G277" s="8">
        <v>3.5</v>
      </c>
      <c r="H277" s="8">
        <v>0.40000000596046448</v>
      </c>
      <c r="I277" s="8">
        <v>0</v>
      </c>
      <c r="J277" s="8">
        <v>0.20999999344348907</v>
      </c>
      <c r="K277" s="8">
        <v>0</v>
      </c>
      <c r="L277" s="8">
        <v>0</v>
      </c>
      <c r="M277" s="6">
        <v>0</v>
      </c>
      <c r="N277" s="5">
        <v>0</v>
      </c>
      <c r="O277" s="6">
        <v>0.20999999344348907</v>
      </c>
      <c r="P277" s="5">
        <v>0.34426228433358863</v>
      </c>
      <c r="Q277" s="6">
        <v>0</v>
      </c>
      <c r="R277" s="5">
        <v>0</v>
      </c>
      <c r="S277" s="6">
        <v>0.40000000596046448</v>
      </c>
      <c r="T277" s="5">
        <v>0.65573771468928599</v>
      </c>
      <c r="U277" s="4">
        <v>0</v>
      </c>
      <c r="V277" s="4">
        <v>0</v>
      </c>
      <c r="W277" s="4">
        <v>2025</v>
      </c>
    </row>
    <row r="278" spans="1:23" x14ac:dyDescent="0.25">
      <c r="A278" s="4">
        <v>2</v>
      </c>
      <c r="B278" s="4">
        <v>7</v>
      </c>
      <c r="C278" s="4">
        <v>0</v>
      </c>
      <c r="D278" s="4" t="s">
        <v>322</v>
      </c>
      <c r="E278" s="4" t="s">
        <v>309</v>
      </c>
      <c r="F278" s="4">
        <v>0.12</v>
      </c>
      <c r="G278" s="8">
        <v>3.5</v>
      </c>
      <c r="H278" s="8">
        <v>0.11999999731779099</v>
      </c>
      <c r="I278" s="8">
        <v>0</v>
      </c>
      <c r="J278" s="8">
        <v>0</v>
      </c>
      <c r="K278" s="8">
        <v>0</v>
      </c>
      <c r="L278" s="8">
        <v>0</v>
      </c>
      <c r="M278" s="6">
        <v>0.11999999731779099</v>
      </c>
      <c r="N278" s="5">
        <v>0.99999997764825821</v>
      </c>
      <c r="O278" s="6">
        <v>0</v>
      </c>
      <c r="P278" s="5">
        <v>0</v>
      </c>
      <c r="Q278" s="6">
        <v>0</v>
      </c>
      <c r="R278" s="5">
        <v>0</v>
      </c>
      <c r="S278" s="6">
        <v>0</v>
      </c>
      <c r="T278" s="5">
        <v>0</v>
      </c>
      <c r="U278" s="4">
        <v>0</v>
      </c>
      <c r="V278" s="4">
        <v>0</v>
      </c>
      <c r="W278" s="4">
        <v>2025</v>
      </c>
    </row>
    <row r="279" spans="1:23" x14ac:dyDescent="0.25">
      <c r="A279" s="4">
        <v>2</v>
      </c>
      <c r="B279" s="4">
        <v>7</v>
      </c>
      <c r="C279" s="4">
        <v>1</v>
      </c>
      <c r="D279" s="4" t="s">
        <v>323</v>
      </c>
      <c r="E279" s="4" t="s">
        <v>309</v>
      </c>
      <c r="F279" s="4">
        <v>1.1599999999999999</v>
      </c>
      <c r="G279" s="8">
        <v>3.5</v>
      </c>
      <c r="H279" s="8">
        <v>1.1599999666213989</v>
      </c>
      <c r="I279" s="8">
        <v>0</v>
      </c>
      <c r="J279" s="8">
        <v>0</v>
      </c>
      <c r="K279" s="8">
        <v>0</v>
      </c>
      <c r="L279" s="8">
        <v>0</v>
      </c>
      <c r="M279" s="6">
        <v>0</v>
      </c>
      <c r="N279" s="5">
        <v>0</v>
      </c>
      <c r="O279" s="6">
        <v>1.059999942779541</v>
      </c>
      <c r="P279" s="5">
        <v>0.91379305412029399</v>
      </c>
      <c r="Q279" s="6">
        <v>0.10000000149011612</v>
      </c>
      <c r="R279" s="5">
        <v>8.6206897836307E-2</v>
      </c>
      <c r="S279" s="6">
        <v>0</v>
      </c>
      <c r="T279" s="5">
        <v>0</v>
      </c>
      <c r="U279" s="4">
        <v>0</v>
      </c>
      <c r="V279" s="4">
        <v>0</v>
      </c>
      <c r="W279" s="4">
        <v>2025</v>
      </c>
    </row>
    <row r="280" spans="1:23" x14ac:dyDescent="0.25">
      <c r="A280" s="4">
        <v>2</v>
      </c>
      <c r="B280" s="4">
        <v>7</v>
      </c>
      <c r="C280" s="4">
        <v>2</v>
      </c>
      <c r="D280" s="4" t="s">
        <v>324</v>
      </c>
      <c r="E280" s="4" t="s">
        <v>309</v>
      </c>
      <c r="F280" s="4">
        <v>0.66</v>
      </c>
      <c r="G280" s="8">
        <v>1.5</v>
      </c>
      <c r="H280" s="8">
        <v>0</v>
      </c>
      <c r="I280" s="8">
        <v>0</v>
      </c>
      <c r="J280" s="8">
        <v>0.66000000387430191</v>
      </c>
      <c r="K280" s="8">
        <v>0</v>
      </c>
      <c r="L280" s="8">
        <v>0</v>
      </c>
      <c r="M280" s="6">
        <v>0</v>
      </c>
      <c r="N280" s="5">
        <v>0</v>
      </c>
      <c r="O280" s="6">
        <v>0.20000000298023224</v>
      </c>
      <c r="P280" s="5">
        <v>0.3030303075458064</v>
      </c>
      <c r="Q280" s="6">
        <v>0.40000000596046448</v>
      </c>
      <c r="R280" s="5">
        <v>0.6060606150916128</v>
      </c>
      <c r="S280" s="6">
        <v>5.9999998658895493E-2</v>
      </c>
      <c r="T280" s="5">
        <v>9.090908887711438E-2</v>
      </c>
      <c r="U280" s="4">
        <v>0</v>
      </c>
      <c r="V280" s="4">
        <v>0</v>
      </c>
      <c r="W280" s="4">
        <v>2025</v>
      </c>
    </row>
    <row r="281" spans="1:23" x14ac:dyDescent="0.25">
      <c r="A281" s="4">
        <v>2</v>
      </c>
      <c r="B281" s="4">
        <v>7</v>
      </c>
      <c r="C281" s="4">
        <v>3</v>
      </c>
      <c r="D281" s="4" t="s">
        <v>325</v>
      </c>
      <c r="E281" s="4" t="s">
        <v>309</v>
      </c>
      <c r="F281" s="4">
        <v>7</v>
      </c>
      <c r="G281" s="8">
        <v>1.5</v>
      </c>
      <c r="H281" s="8">
        <v>0</v>
      </c>
      <c r="I281" s="8">
        <v>0</v>
      </c>
      <c r="J281" s="8">
        <v>7</v>
      </c>
      <c r="K281" s="8">
        <v>0</v>
      </c>
      <c r="L281" s="8">
        <v>0</v>
      </c>
      <c r="M281" s="6">
        <v>0</v>
      </c>
      <c r="N281" s="5">
        <v>0</v>
      </c>
      <c r="O281" s="6">
        <v>4.6999998092651367</v>
      </c>
      <c r="P281" s="5">
        <v>0.67142854418073383</v>
      </c>
      <c r="Q281" s="6">
        <v>1.8999999761581421</v>
      </c>
      <c r="R281" s="5">
        <v>0.27142856802259174</v>
      </c>
      <c r="S281" s="6">
        <v>0.40000000596046448</v>
      </c>
      <c r="T281" s="5">
        <v>5.7142857994352071E-2</v>
      </c>
      <c r="U281" s="4">
        <v>0</v>
      </c>
      <c r="V281" s="4">
        <v>0</v>
      </c>
      <c r="W281" s="4">
        <v>2025</v>
      </c>
    </row>
    <row r="282" spans="1:23" x14ac:dyDescent="0.25">
      <c r="A282" s="4">
        <v>2</v>
      </c>
      <c r="B282" s="4">
        <v>7</v>
      </c>
      <c r="C282" s="4">
        <v>4</v>
      </c>
      <c r="D282" s="4" t="s">
        <v>326</v>
      </c>
      <c r="E282" s="4" t="s">
        <v>309</v>
      </c>
      <c r="F282" s="4">
        <v>0.67</v>
      </c>
      <c r="G282" s="8">
        <v>2</v>
      </c>
      <c r="H282" s="8">
        <v>0</v>
      </c>
      <c r="I282" s="8">
        <v>0</v>
      </c>
      <c r="J282" s="8">
        <v>0.67000001668930054</v>
      </c>
      <c r="K282" s="8">
        <v>0</v>
      </c>
      <c r="L282" s="8">
        <v>0</v>
      </c>
      <c r="M282" s="6">
        <v>0</v>
      </c>
      <c r="N282" s="5">
        <v>0</v>
      </c>
      <c r="O282" s="6">
        <v>0</v>
      </c>
      <c r="P282" s="5">
        <v>0</v>
      </c>
      <c r="Q282" s="6">
        <v>0.67000001668930054</v>
      </c>
      <c r="R282" s="5">
        <v>1.0000000249094037</v>
      </c>
      <c r="S282" s="6">
        <v>0</v>
      </c>
      <c r="T282" s="5">
        <v>0</v>
      </c>
      <c r="U282" s="4">
        <v>0</v>
      </c>
      <c r="V282" s="4">
        <v>0</v>
      </c>
      <c r="W282" s="4">
        <v>2025</v>
      </c>
    </row>
    <row r="283" spans="1:23" x14ac:dyDescent="0.25">
      <c r="A283" s="4">
        <v>2</v>
      </c>
      <c r="B283" s="4">
        <v>7</v>
      </c>
      <c r="C283" s="4">
        <v>5</v>
      </c>
      <c r="D283" s="4" t="s">
        <v>327</v>
      </c>
      <c r="E283" s="4" t="s">
        <v>309</v>
      </c>
      <c r="F283" s="4">
        <v>1.58</v>
      </c>
      <c r="G283" s="8">
        <v>1.5</v>
      </c>
      <c r="H283" s="8">
        <v>0</v>
      </c>
      <c r="I283" s="8">
        <v>0</v>
      </c>
      <c r="J283" s="8">
        <v>1.5800000429153442</v>
      </c>
      <c r="K283" s="8">
        <v>0</v>
      </c>
      <c r="L283" s="8">
        <v>0</v>
      </c>
      <c r="M283" s="6">
        <v>0</v>
      </c>
      <c r="N283" s="5">
        <v>0</v>
      </c>
      <c r="O283" s="6">
        <v>0.10000000149011612</v>
      </c>
      <c r="P283" s="5">
        <v>6.3291140183617797E-2</v>
      </c>
      <c r="Q283" s="6">
        <v>1.4800000190734863</v>
      </c>
      <c r="R283" s="5">
        <v>0.93670887283132043</v>
      </c>
      <c r="S283" s="6">
        <v>0</v>
      </c>
      <c r="T283" s="5">
        <v>0</v>
      </c>
      <c r="U283" s="4">
        <v>0</v>
      </c>
      <c r="V283" s="4">
        <v>0</v>
      </c>
      <c r="W283" s="4">
        <v>2025</v>
      </c>
    </row>
    <row r="284" spans="1:23" x14ac:dyDescent="0.25">
      <c r="A284" s="4">
        <v>2</v>
      </c>
      <c r="B284" s="4">
        <v>7</v>
      </c>
      <c r="C284" s="4">
        <v>6</v>
      </c>
      <c r="D284" s="4" t="s">
        <v>328</v>
      </c>
      <c r="E284" s="4" t="s">
        <v>309</v>
      </c>
      <c r="F284" s="4">
        <v>5.25</v>
      </c>
      <c r="G284" s="8">
        <v>2</v>
      </c>
      <c r="H284" s="8">
        <v>0</v>
      </c>
      <c r="I284" s="8">
        <v>0</v>
      </c>
      <c r="J284" s="8">
        <v>5.25</v>
      </c>
      <c r="K284" s="8">
        <v>0</v>
      </c>
      <c r="L284" s="8">
        <v>0</v>
      </c>
      <c r="M284" s="6">
        <v>1.0499999523162842</v>
      </c>
      <c r="N284" s="5">
        <v>0.19999999091738746</v>
      </c>
      <c r="O284" s="6">
        <v>1.7999999523162842</v>
      </c>
      <c r="P284" s="5">
        <v>0.34285713377453031</v>
      </c>
      <c r="Q284" s="6">
        <v>1.7000000476837158</v>
      </c>
      <c r="R284" s="5">
        <v>0.32380953289213632</v>
      </c>
      <c r="S284" s="6">
        <v>0.69999998807907104</v>
      </c>
      <c r="T284" s="5">
        <v>0.13333333106268019</v>
      </c>
      <c r="U284" s="4">
        <v>0</v>
      </c>
      <c r="V284" s="4">
        <v>0</v>
      </c>
      <c r="W284" s="4">
        <v>2025</v>
      </c>
    </row>
    <row r="285" spans="1:23" x14ac:dyDescent="0.25">
      <c r="A285" s="4">
        <v>2</v>
      </c>
      <c r="B285" s="4">
        <v>7</v>
      </c>
      <c r="C285" s="4">
        <v>7</v>
      </c>
      <c r="D285" s="4" t="s">
        <v>329</v>
      </c>
      <c r="E285" s="4" t="s">
        <v>309</v>
      </c>
      <c r="F285" s="4">
        <v>2.7</v>
      </c>
      <c r="G285" s="8">
        <v>2</v>
      </c>
      <c r="H285" s="8">
        <v>0</v>
      </c>
      <c r="I285" s="8">
        <v>0</v>
      </c>
      <c r="J285" s="8">
        <v>2.5</v>
      </c>
      <c r="K285" s="8">
        <v>0.20000000298023224</v>
      </c>
      <c r="L285" s="8">
        <v>0</v>
      </c>
      <c r="M285" s="6">
        <v>0</v>
      </c>
      <c r="N285" s="5">
        <v>0</v>
      </c>
      <c r="O285" s="6">
        <v>2.0999999046325684</v>
      </c>
      <c r="P285" s="5">
        <v>0.77777774245650677</v>
      </c>
      <c r="Q285" s="6">
        <v>0.20000000298023224</v>
      </c>
      <c r="R285" s="5">
        <v>7.4074075177863782E-2</v>
      </c>
      <c r="S285" s="6">
        <v>0.40000000596046448</v>
      </c>
      <c r="T285" s="5">
        <v>0.14814815035572756</v>
      </c>
      <c r="U285" s="4">
        <v>0</v>
      </c>
      <c r="V285" s="4">
        <v>0</v>
      </c>
      <c r="W285" s="4">
        <v>2025</v>
      </c>
    </row>
    <row r="286" spans="1:23" x14ac:dyDescent="0.25">
      <c r="A286" s="4">
        <v>2</v>
      </c>
      <c r="B286" s="4">
        <v>7</v>
      </c>
      <c r="C286" s="4">
        <v>8</v>
      </c>
      <c r="D286" s="4" t="s">
        <v>330</v>
      </c>
      <c r="E286" s="4" t="s">
        <v>309</v>
      </c>
      <c r="F286" s="4">
        <v>2.93</v>
      </c>
      <c r="G286" s="8">
        <v>2</v>
      </c>
      <c r="H286" s="8">
        <v>0</v>
      </c>
      <c r="I286" s="8">
        <v>0</v>
      </c>
      <c r="J286" s="8">
        <v>2.9300000667572021</v>
      </c>
      <c r="K286" s="8">
        <v>0</v>
      </c>
      <c r="L286" s="8">
        <v>0</v>
      </c>
      <c r="M286" s="6">
        <v>0</v>
      </c>
      <c r="N286" s="5">
        <v>0</v>
      </c>
      <c r="O286" s="6">
        <v>0</v>
      </c>
      <c r="P286" s="5">
        <v>0</v>
      </c>
      <c r="Q286" s="6">
        <v>2.2300000190734863</v>
      </c>
      <c r="R286" s="5">
        <v>0.76109215668037067</v>
      </c>
      <c r="S286" s="6">
        <v>0.69999998807907104</v>
      </c>
      <c r="T286" s="5">
        <v>0.23890784576077509</v>
      </c>
      <c r="U286" s="4">
        <v>0</v>
      </c>
      <c r="V286" s="4">
        <v>0</v>
      </c>
      <c r="W286" s="4">
        <v>2025</v>
      </c>
    </row>
    <row r="287" spans="1:23" x14ac:dyDescent="0.25">
      <c r="A287" s="4">
        <v>2</v>
      </c>
      <c r="B287" s="4">
        <v>7</v>
      </c>
      <c r="C287" s="4">
        <v>9</v>
      </c>
      <c r="D287" s="4" t="s">
        <v>331</v>
      </c>
      <c r="E287" s="4" t="s">
        <v>309</v>
      </c>
      <c r="F287" s="4">
        <v>0.38</v>
      </c>
      <c r="G287" s="8">
        <v>1.5</v>
      </c>
      <c r="H287" s="8">
        <v>0</v>
      </c>
      <c r="I287" s="8">
        <v>0</v>
      </c>
      <c r="J287" s="8">
        <v>0.37999999523162842</v>
      </c>
      <c r="K287" s="8">
        <v>0</v>
      </c>
      <c r="L287" s="8">
        <v>0</v>
      </c>
      <c r="M287" s="6">
        <v>0</v>
      </c>
      <c r="N287" s="5">
        <v>0</v>
      </c>
      <c r="O287" s="6">
        <v>0.37999999523162842</v>
      </c>
      <c r="P287" s="5">
        <v>0.99999998745165375</v>
      </c>
      <c r="Q287" s="6">
        <v>0</v>
      </c>
      <c r="R287" s="5">
        <v>0</v>
      </c>
      <c r="S287" s="6">
        <v>0</v>
      </c>
      <c r="T287" s="5">
        <v>0</v>
      </c>
      <c r="U287" s="4">
        <v>0</v>
      </c>
      <c r="V287" s="4">
        <v>0</v>
      </c>
      <c r="W287" s="4">
        <v>2025</v>
      </c>
    </row>
    <row r="288" spans="1:23" x14ac:dyDescent="0.25">
      <c r="A288" s="4">
        <v>2</v>
      </c>
      <c r="B288" s="4">
        <v>8</v>
      </c>
      <c r="C288" s="4">
        <v>0</v>
      </c>
      <c r="D288" s="4" t="s">
        <v>332</v>
      </c>
      <c r="E288" s="4" t="s">
        <v>309</v>
      </c>
      <c r="F288" s="4">
        <v>4.8600000000000003</v>
      </c>
      <c r="G288" s="8">
        <v>1.5</v>
      </c>
      <c r="H288" s="8">
        <v>0</v>
      </c>
      <c r="I288" s="8">
        <v>0</v>
      </c>
      <c r="J288" s="8">
        <v>3.059999942779541</v>
      </c>
      <c r="K288" s="8">
        <v>0</v>
      </c>
      <c r="L288" s="8">
        <v>1.7999999523162842</v>
      </c>
      <c r="M288" s="6">
        <v>0</v>
      </c>
      <c r="N288" s="5">
        <v>0</v>
      </c>
      <c r="O288" s="6">
        <v>2.7599999904632568</v>
      </c>
      <c r="P288" s="5">
        <v>0.56790123260560832</v>
      </c>
      <c r="Q288" s="6">
        <v>0.30000001192092896</v>
      </c>
      <c r="R288" s="5">
        <v>6.1728397514594434E-2</v>
      </c>
      <c r="S288" s="6">
        <v>1.7999999523162842</v>
      </c>
      <c r="T288" s="5">
        <v>0.37037036055890621</v>
      </c>
      <c r="U288" s="4">
        <v>0</v>
      </c>
      <c r="V288" s="4">
        <v>0</v>
      </c>
      <c r="W288" s="4">
        <v>2025</v>
      </c>
    </row>
    <row r="289" spans="1:23" x14ac:dyDescent="0.25">
      <c r="A289" s="4">
        <v>2</v>
      </c>
      <c r="B289" s="4">
        <v>8</v>
      </c>
      <c r="C289" s="4">
        <v>1</v>
      </c>
      <c r="D289" s="4" t="s">
        <v>333</v>
      </c>
      <c r="E289" s="4" t="s">
        <v>309</v>
      </c>
      <c r="F289" s="4">
        <v>1.1599999999999999</v>
      </c>
      <c r="G289" s="8">
        <v>1.5</v>
      </c>
      <c r="H289" s="8">
        <v>0</v>
      </c>
      <c r="I289" s="8">
        <v>0</v>
      </c>
      <c r="J289" s="8">
        <v>1.1599999666213989</v>
      </c>
      <c r="K289" s="8">
        <v>0</v>
      </c>
      <c r="L289" s="8">
        <v>0</v>
      </c>
      <c r="M289" s="6">
        <v>0</v>
      </c>
      <c r="N289" s="5">
        <v>0</v>
      </c>
      <c r="O289" s="6">
        <v>0.36000001430511475</v>
      </c>
      <c r="P289" s="5">
        <v>0.31034483991820239</v>
      </c>
      <c r="Q289" s="6">
        <v>0.80000001192092896</v>
      </c>
      <c r="R289" s="5">
        <v>0.689655182690456</v>
      </c>
      <c r="S289" s="6">
        <v>0</v>
      </c>
      <c r="T289" s="5">
        <v>0</v>
      </c>
      <c r="U289" s="4">
        <v>0</v>
      </c>
      <c r="V289" s="4">
        <v>0</v>
      </c>
      <c r="W289" s="4">
        <v>2025</v>
      </c>
    </row>
    <row r="290" spans="1:23" x14ac:dyDescent="0.25">
      <c r="A290" s="4">
        <v>2</v>
      </c>
      <c r="B290" s="4">
        <v>8</v>
      </c>
      <c r="C290" s="4">
        <v>2</v>
      </c>
      <c r="D290" s="4" t="s">
        <v>334</v>
      </c>
      <c r="E290" s="4" t="s">
        <v>309</v>
      </c>
      <c r="F290" s="4">
        <v>0.4</v>
      </c>
      <c r="G290" s="8">
        <v>1.5</v>
      </c>
      <c r="H290" s="8">
        <v>0</v>
      </c>
      <c r="I290" s="8">
        <v>0</v>
      </c>
      <c r="J290" s="8">
        <v>0.40000000596046448</v>
      </c>
      <c r="K290" s="8">
        <v>0</v>
      </c>
      <c r="L290" s="8">
        <v>0</v>
      </c>
      <c r="M290" s="6">
        <v>0</v>
      </c>
      <c r="N290" s="5">
        <v>0</v>
      </c>
      <c r="O290" s="6">
        <v>0.30000001192092896</v>
      </c>
      <c r="P290" s="5">
        <v>0.75000002980232239</v>
      </c>
      <c r="Q290" s="6">
        <v>0</v>
      </c>
      <c r="R290" s="5">
        <v>0</v>
      </c>
      <c r="S290" s="6">
        <v>0.10000000149011612</v>
      </c>
      <c r="T290" s="5">
        <v>0.2500000037252903</v>
      </c>
      <c r="U290" s="4">
        <v>0</v>
      </c>
      <c r="V290" s="4">
        <v>0</v>
      </c>
      <c r="W290" s="4">
        <v>2025</v>
      </c>
    </row>
    <row r="291" spans="1:23" x14ac:dyDescent="0.25">
      <c r="A291" s="4">
        <v>2</v>
      </c>
      <c r="B291" s="4">
        <v>8</v>
      </c>
      <c r="C291" s="4">
        <v>3</v>
      </c>
      <c r="D291" s="4" t="s">
        <v>335</v>
      </c>
      <c r="E291" s="4" t="s">
        <v>309</v>
      </c>
      <c r="F291" s="4">
        <v>1.75</v>
      </c>
      <c r="G291" s="8">
        <v>2</v>
      </c>
      <c r="H291" s="8">
        <v>0</v>
      </c>
      <c r="I291" s="8">
        <v>0</v>
      </c>
      <c r="J291" s="8">
        <v>1.75</v>
      </c>
      <c r="K291" s="8">
        <v>0</v>
      </c>
      <c r="L291" s="8">
        <v>0</v>
      </c>
      <c r="M291" s="6">
        <v>0</v>
      </c>
      <c r="N291" s="5">
        <v>0</v>
      </c>
      <c r="O291" s="6">
        <v>0.69999998807907104</v>
      </c>
      <c r="P291" s="5">
        <v>0.39999999318804058</v>
      </c>
      <c r="Q291" s="6">
        <v>0.80000001192092896</v>
      </c>
      <c r="R291" s="5">
        <v>0.45714286395481657</v>
      </c>
      <c r="S291" s="6">
        <v>0.25</v>
      </c>
      <c r="T291" s="5">
        <v>0.14285714285714285</v>
      </c>
      <c r="U291" s="4">
        <v>0</v>
      </c>
      <c r="V291" s="4">
        <v>0</v>
      </c>
      <c r="W291" s="4">
        <v>2025</v>
      </c>
    </row>
    <row r="292" spans="1:23" x14ac:dyDescent="0.25">
      <c r="A292" s="4">
        <v>2</v>
      </c>
      <c r="B292" s="4">
        <v>8</v>
      </c>
      <c r="C292" s="4">
        <v>4</v>
      </c>
      <c r="D292" s="4" t="s">
        <v>336</v>
      </c>
      <c r="E292" s="4" t="s">
        <v>309</v>
      </c>
      <c r="F292" s="4">
        <v>2.08</v>
      </c>
      <c r="G292" s="8">
        <v>1.5</v>
      </c>
      <c r="H292" s="8">
        <v>0</v>
      </c>
      <c r="I292" s="8">
        <v>0</v>
      </c>
      <c r="J292" s="8">
        <v>2.0799999237060547</v>
      </c>
      <c r="K292" s="8">
        <v>0</v>
      </c>
      <c r="L292" s="8">
        <v>0</v>
      </c>
      <c r="M292" s="6">
        <v>0</v>
      </c>
      <c r="N292" s="5">
        <v>0</v>
      </c>
      <c r="O292" s="6">
        <v>1.1799999475479126</v>
      </c>
      <c r="P292" s="5">
        <v>0.56730766709034253</v>
      </c>
      <c r="Q292" s="6">
        <v>0.80000001192092896</v>
      </c>
      <c r="R292" s="5">
        <v>0.38461539034660047</v>
      </c>
      <c r="S292" s="6">
        <v>0.10000000149011612</v>
      </c>
      <c r="T292" s="5">
        <v>4.8076923793325059E-2</v>
      </c>
      <c r="U292" s="4">
        <v>0</v>
      </c>
      <c r="V292" s="4">
        <v>0</v>
      </c>
      <c r="W292" s="4">
        <v>2025</v>
      </c>
    </row>
    <row r="293" spans="1:23" x14ac:dyDescent="0.25">
      <c r="A293" s="4">
        <v>2</v>
      </c>
      <c r="B293" s="4">
        <v>8</v>
      </c>
      <c r="C293" s="4">
        <v>5</v>
      </c>
      <c r="D293" s="4" t="s">
        <v>337</v>
      </c>
      <c r="E293" s="4" t="s">
        <v>309</v>
      </c>
      <c r="F293" s="4">
        <v>0.83</v>
      </c>
      <c r="G293" s="8">
        <v>1.5</v>
      </c>
      <c r="H293" s="8">
        <v>0</v>
      </c>
      <c r="I293" s="8">
        <v>0</v>
      </c>
      <c r="J293" s="8">
        <v>0.82999998331069946</v>
      </c>
      <c r="K293" s="8">
        <v>0</v>
      </c>
      <c r="L293" s="8">
        <v>0</v>
      </c>
      <c r="M293" s="6">
        <v>0</v>
      </c>
      <c r="N293" s="5">
        <v>0</v>
      </c>
      <c r="O293" s="6">
        <v>0.82999998331069946</v>
      </c>
      <c r="P293" s="5">
        <v>0.99999997989240907</v>
      </c>
      <c r="Q293" s="6">
        <v>0</v>
      </c>
      <c r="R293" s="5">
        <v>0</v>
      </c>
      <c r="S293" s="6">
        <v>0</v>
      </c>
      <c r="T293" s="5">
        <v>0</v>
      </c>
      <c r="U293" s="4">
        <v>0</v>
      </c>
      <c r="V293" s="4">
        <v>0</v>
      </c>
      <c r="W293" s="4">
        <v>2025</v>
      </c>
    </row>
    <row r="294" spans="1:23" x14ac:dyDescent="0.25">
      <c r="A294" s="4">
        <v>2</v>
      </c>
      <c r="B294" s="4">
        <v>8</v>
      </c>
      <c r="C294" s="4">
        <v>6</v>
      </c>
      <c r="D294" s="4" t="s">
        <v>338</v>
      </c>
      <c r="E294" s="4" t="s">
        <v>309</v>
      </c>
      <c r="F294" s="4">
        <v>2.27</v>
      </c>
      <c r="G294" s="8">
        <v>1.5</v>
      </c>
      <c r="H294" s="8">
        <v>0</v>
      </c>
      <c r="I294" s="8">
        <v>0</v>
      </c>
      <c r="J294" s="8">
        <v>2.2699999809265137</v>
      </c>
      <c r="K294" s="8">
        <v>0</v>
      </c>
      <c r="L294" s="8">
        <v>0</v>
      </c>
      <c r="M294" s="6">
        <v>0</v>
      </c>
      <c r="N294" s="5">
        <v>0</v>
      </c>
      <c r="O294" s="6">
        <v>2.2699999809265137</v>
      </c>
      <c r="P294" s="5">
        <v>0.99999999159758313</v>
      </c>
      <c r="Q294" s="6">
        <v>0</v>
      </c>
      <c r="R294" s="5">
        <v>0</v>
      </c>
      <c r="S294" s="6">
        <v>0</v>
      </c>
      <c r="T294" s="5">
        <v>0</v>
      </c>
      <c r="U294" s="4">
        <v>0</v>
      </c>
      <c r="V294" s="4">
        <v>0</v>
      </c>
      <c r="W294" s="4">
        <v>2025</v>
      </c>
    </row>
    <row r="295" spans="1:23" x14ac:dyDescent="0.25">
      <c r="A295" s="4">
        <v>2</v>
      </c>
      <c r="B295" s="4">
        <v>8</v>
      </c>
      <c r="C295" s="4">
        <v>7</v>
      </c>
      <c r="D295" s="4" t="s">
        <v>339</v>
      </c>
      <c r="E295" s="4" t="s">
        <v>309</v>
      </c>
      <c r="F295" s="4">
        <v>4.16</v>
      </c>
      <c r="G295" s="8">
        <v>1.5</v>
      </c>
      <c r="H295" s="8">
        <v>0</v>
      </c>
      <c r="I295" s="8">
        <v>0</v>
      </c>
      <c r="J295" s="8">
        <v>1.2000000476837158</v>
      </c>
      <c r="K295" s="8">
        <v>0</v>
      </c>
      <c r="L295" s="8">
        <v>2.9600000381469727</v>
      </c>
      <c r="M295" s="6">
        <v>0</v>
      </c>
      <c r="N295" s="5">
        <v>0</v>
      </c>
      <c r="O295" s="6">
        <v>0.20000000298023224</v>
      </c>
      <c r="P295" s="5">
        <v>4.8076923793325059E-2</v>
      </c>
      <c r="Q295" s="6">
        <v>0.69999998807907104</v>
      </c>
      <c r="R295" s="5">
        <v>0.16826922790362284</v>
      </c>
      <c r="S295" s="6">
        <v>3.2600000500679016</v>
      </c>
      <c r="T295" s="5">
        <v>0.78365385818939937</v>
      </c>
      <c r="U295" s="4">
        <v>0</v>
      </c>
      <c r="V295" s="4">
        <v>0</v>
      </c>
      <c r="W295" s="4">
        <v>2025</v>
      </c>
    </row>
    <row r="296" spans="1:23" x14ac:dyDescent="0.25">
      <c r="A296" s="4">
        <v>2</v>
      </c>
      <c r="B296" s="4">
        <v>8</v>
      </c>
      <c r="C296" s="4">
        <v>8</v>
      </c>
      <c r="D296" s="4" t="s">
        <v>340</v>
      </c>
      <c r="E296" s="4" t="s">
        <v>309</v>
      </c>
      <c r="F296" s="4">
        <v>3.56</v>
      </c>
      <c r="G296" s="8">
        <v>1.5</v>
      </c>
      <c r="H296" s="8">
        <v>0</v>
      </c>
      <c r="I296" s="8">
        <v>0</v>
      </c>
      <c r="J296" s="8">
        <v>3.559999942779541</v>
      </c>
      <c r="K296" s="8">
        <v>0</v>
      </c>
      <c r="L296" s="8">
        <v>0</v>
      </c>
      <c r="M296" s="6">
        <v>0</v>
      </c>
      <c r="N296" s="5">
        <v>0</v>
      </c>
      <c r="O296" s="6">
        <v>1.3600000143051147</v>
      </c>
      <c r="P296" s="5">
        <v>0.38202247592840299</v>
      </c>
      <c r="Q296" s="6">
        <v>0</v>
      </c>
      <c r="R296" s="5">
        <v>0</v>
      </c>
      <c r="S296" s="6">
        <v>2.2000000476837158</v>
      </c>
      <c r="T296" s="5">
        <v>0.61797754148418982</v>
      </c>
      <c r="U296" s="4">
        <v>0</v>
      </c>
      <c r="V296" s="4">
        <v>0</v>
      </c>
      <c r="W296" s="4">
        <v>2025</v>
      </c>
    </row>
    <row r="297" spans="1:23" x14ac:dyDescent="0.25">
      <c r="A297" s="4">
        <v>2</v>
      </c>
      <c r="B297" s="4">
        <v>8</v>
      </c>
      <c r="C297" s="4">
        <v>9</v>
      </c>
      <c r="D297" s="4" t="s">
        <v>341</v>
      </c>
      <c r="E297" s="4" t="s">
        <v>342</v>
      </c>
      <c r="F297" s="4">
        <v>2.86</v>
      </c>
      <c r="G297" s="8">
        <v>3.5</v>
      </c>
      <c r="H297" s="8">
        <v>2.8599998950958252</v>
      </c>
      <c r="I297" s="8">
        <v>0</v>
      </c>
      <c r="J297" s="8">
        <v>0</v>
      </c>
      <c r="K297" s="8">
        <v>0</v>
      </c>
      <c r="L297" s="8">
        <v>0</v>
      </c>
      <c r="M297" s="6">
        <v>0.20000000298023224</v>
      </c>
      <c r="N297" s="5">
        <v>6.9930070972109182E-2</v>
      </c>
      <c r="O297" s="6">
        <v>1.2999999523162842</v>
      </c>
      <c r="P297" s="5">
        <v>0.45454543787282664</v>
      </c>
      <c r="Q297" s="6">
        <v>0.30000001192092896</v>
      </c>
      <c r="R297" s="5">
        <v>0.10489510906326188</v>
      </c>
      <c r="S297" s="6">
        <v>1.059999942779541</v>
      </c>
      <c r="T297" s="5">
        <v>0.37062935062221714</v>
      </c>
      <c r="U297" s="4">
        <v>0</v>
      </c>
      <c r="V297" s="4">
        <v>0</v>
      </c>
      <c r="W297" s="4">
        <v>2025</v>
      </c>
    </row>
    <row r="298" spans="1:23" x14ac:dyDescent="0.25">
      <c r="A298" s="4">
        <v>2</v>
      </c>
      <c r="B298" s="4">
        <v>9</v>
      </c>
      <c r="C298" s="4">
        <v>0</v>
      </c>
      <c r="D298" s="4" t="s">
        <v>343</v>
      </c>
      <c r="E298" s="4" t="s">
        <v>342</v>
      </c>
      <c r="F298" s="4">
        <v>5</v>
      </c>
      <c r="G298" s="8">
        <v>3.5</v>
      </c>
      <c r="H298" s="8">
        <v>5</v>
      </c>
      <c r="I298" s="8">
        <v>0</v>
      </c>
      <c r="J298" s="8">
        <v>0</v>
      </c>
      <c r="K298" s="8">
        <v>0</v>
      </c>
      <c r="L298" s="8">
        <v>0</v>
      </c>
      <c r="M298" s="6">
        <v>5</v>
      </c>
      <c r="N298" s="5">
        <v>1</v>
      </c>
      <c r="O298" s="6">
        <v>0</v>
      </c>
      <c r="P298" s="5">
        <v>0</v>
      </c>
      <c r="Q298" s="6">
        <v>0</v>
      </c>
      <c r="R298" s="5">
        <v>0</v>
      </c>
      <c r="S298" s="6">
        <v>0</v>
      </c>
      <c r="T298" s="5">
        <v>0</v>
      </c>
      <c r="U298" s="4">
        <v>0</v>
      </c>
      <c r="V298" s="4">
        <v>0</v>
      </c>
      <c r="W298" s="4">
        <v>2025</v>
      </c>
    </row>
    <row r="299" spans="1:23" x14ac:dyDescent="0.25">
      <c r="A299" s="4">
        <v>2</v>
      </c>
      <c r="B299" s="4">
        <v>9</v>
      </c>
      <c r="C299" s="4">
        <v>1</v>
      </c>
      <c r="D299" s="4" t="s">
        <v>344</v>
      </c>
      <c r="E299" s="4" t="s">
        <v>342</v>
      </c>
      <c r="F299" s="4">
        <v>0.37</v>
      </c>
      <c r="G299" s="8">
        <v>3</v>
      </c>
      <c r="H299" s="8">
        <v>0.37000000476837158</v>
      </c>
      <c r="I299" s="8">
        <v>0</v>
      </c>
      <c r="J299" s="8">
        <v>0</v>
      </c>
      <c r="K299" s="8">
        <v>0</v>
      </c>
      <c r="L299" s="8">
        <v>0</v>
      </c>
      <c r="M299" s="6">
        <v>0.37000000476837158</v>
      </c>
      <c r="N299" s="5">
        <v>1.0000000128874909</v>
      </c>
      <c r="O299" s="6">
        <v>0</v>
      </c>
      <c r="P299" s="5">
        <v>0</v>
      </c>
      <c r="Q299" s="6">
        <v>0</v>
      </c>
      <c r="R299" s="5">
        <v>0</v>
      </c>
      <c r="S299" s="6">
        <v>0</v>
      </c>
      <c r="T299" s="5">
        <v>0</v>
      </c>
      <c r="U299" s="4">
        <v>0</v>
      </c>
      <c r="V299" s="4">
        <v>0</v>
      </c>
      <c r="W299" s="4">
        <v>2025</v>
      </c>
    </row>
    <row r="300" spans="1:23" x14ac:dyDescent="0.25">
      <c r="A300" s="4">
        <v>2</v>
      </c>
      <c r="B300" s="4">
        <v>9</v>
      </c>
      <c r="C300" s="4">
        <v>2</v>
      </c>
      <c r="D300" s="4" t="s">
        <v>48</v>
      </c>
      <c r="E300" s="4" t="s">
        <v>342</v>
      </c>
      <c r="F300" s="4">
        <v>0.41</v>
      </c>
      <c r="G300" s="8">
        <v>3.5</v>
      </c>
      <c r="H300" s="8">
        <v>0.40999999642372131</v>
      </c>
      <c r="I300" s="8">
        <v>0</v>
      </c>
      <c r="J300" s="8">
        <v>0</v>
      </c>
      <c r="K300" s="8">
        <v>0</v>
      </c>
      <c r="L300" s="8">
        <v>0</v>
      </c>
      <c r="M300" s="6">
        <v>0.40999999642372131</v>
      </c>
      <c r="N300" s="5">
        <v>0.99999999127736916</v>
      </c>
      <c r="O300" s="6">
        <v>0</v>
      </c>
      <c r="P300" s="5">
        <v>0</v>
      </c>
      <c r="Q300" s="6">
        <v>0</v>
      </c>
      <c r="R300" s="5">
        <v>0</v>
      </c>
      <c r="S300" s="6">
        <v>0</v>
      </c>
      <c r="T300" s="5">
        <v>0</v>
      </c>
      <c r="U300" s="4">
        <v>0</v>
      </c>
      <c r="V300" s="4">
        <v>0</v>
      </c>
      <c r="W300" s="4">
        <v>2025</v>
      </c>
    </row>
    <row r="301" spans="1:23" x14ac:dyDescent="0.25">
      <c r="A301" s="4">
        <v>2</v>
      </c>
      <c r="B301" s="4">
        <v>9</v>
      </c>
      <c r="C301" s="4">
        <v>3</v>
      </c>
      <c r="D301" s="4" t="s">
        <v>49</v>
      </c>
      <c r="E301" s="4" t="s">
        <v>342</v>
      </c>
      <c r="F301" s="4">
        <v>0.4</v>
      </c>
      <c r="G301" s="8">
        <v>3.5</v>
      </c>
      <c r="H301" s="8">
        <v>0.40000000596046448</v>
      </c>
      <c r="I301" s="8">
        <v>0</v>
      </c>
      <c r="J301" s="8">
        <v>0</v>
      </c>
      <c r="K301" s="8">
        <v>0</v>
      </c>
      <c r="L301" s="8">
        <v>0</v>
      </c>
      <c r="M301" s="6">
        <v>0.40000000596046448</v>
      </c>
      <c r="N301" s="5">
        <v>1.0000000149011612</v>
      </c>
      <c r="O301" s="6">
        <v>0</v>
      </c>
      <c r="P301" s="5">
        <v>0</v>
      </c>
      <c r="Q301" s="6">
        <v>0</v>
      </c>
      <c r="R301" s="5">
        <v>0</v>
      </c>
      <c r="S301" s="6">
        <v>0</v>
      </c>
      <c r="T301" s="5">
        <v>0</v>
      </c>
      <c r="U301" s="4">
        <v>0</v>
      </c>
      <c r="V301" s="4">
        <v>0</v>
      </c>
      <c r="W301" s="4">
        <v>2025</v>
      </c>
    </row>
    <row r="302" spans="1:23" x14ac:dyDescent="0.25">
      <c r="A302" s="4">
        <v>2</v>
      </c>
      <c r="B302" s="4">
        <v>9</v>
      </c>
      <c r="C302" s="4">
        <v>4</v>
      </c>
      <c r="D302" s="4" t="s">
        <v>345</v>
      </c>
      <c r="E302" s="4" t="s">
        <v>342</v>
      </c>
      <c r="F302" s="4">
        <v>0.32</v>
      </c>
      <c r="G302" s="8">
        <v>3</v>
      </c>
      <c r="H302" s="8">
        <v>0.31999999284744263</v>
      </c>
      <c r="I302" s="8">
        <v>0</v>
      </c>
      <c r="J302" s="8">
        <v>0</v>
      </c>
      <c r="K302" s="8">
        <v>0</v>
      </c>
      <c r="L302" s="8">
        <v>0</v>
      </c>
      <c r="M302" s="6">
        <v>0.31999999284744263</v>
      </c>
      <c r="N302" s="5">
        <v>0.99999997764825821</v>
      </c>
      <c r="O302" s="6">
        <v>0</v>
      </c>
      <c r="P302" s="5">
        <v>0</v>
      </c>
      <c r="Q302" s="6">
        <v>0</v>
      </c>
      <c r="R302" s="5">
        <v>0</v>
      </c>
      <c r="S302" s="6">
        <v>0</v>
      </c>
      <c r="T302" s="5">
        <v>0</v>
      </c>
      <c r="U302" s="4">
        <v>0</v>
      </c>
      <c r="V302" s="4">
        <v>0</v>
      </c>
      <c r="W302" s="4">
        <v>2025</v>
      </c>
    </row>
    <row r="303" spans="1:23" x14ac:dyDescent="0.25">
      <c r="A303" s="4">
        <v>2</v>
      </c>
      <c r="B303" s="4">
        <v>9</v>
      </c>
      <c r="C303" s="4">
        <v>5</v>
      </c>
      <c r="D303" s="4" t="s">
        <v>41</v>
      </c>
      <c r="E303" s="4" t="s">
        <v>342</v>
      </c>
      <c r="F303" s="4">
        <v>0.27</v>
      </c>
      <c r="G303" s="8">
        <v>3.5</v>
      </c>
      <c r="H303" s="8">
        <v>0.27000001072883606</v>
      </c>
      <c r="I303" s="8">
        <v>0</v>
      </c>
      <c r="J303" s="8">
        <v>0</v>
      </c>
      <c r="K303" s="8">
        <v>0</v>
      </c>
      <c r="L303" s="8">
        <v>0</v>
      </c>
      <c r="M303" s="6">
        <v>0</v>
      </c>
      <c r="N303" s="5">
        <v>0</v>
      </c>
      <c r="O303" s="6">
        <v>0</v>
      </c>
      <c r="P303" s="5">
        <v>0</v>
      </c>
      <c r="Q303" s="6">
        <v>0.27000001072883606</v>
      </c>
      <c r="R303" s="5">
        <v>1.0000000397364297</v>
      </c>
      <c r="S303" s="6">
        <v>0</v>
      </c>
      <c r="T303" s="5">
        <v>0</v>
      </c>
      <c r="U303" s="4">
        <v>0</v>
      </c>
      <c r="V303" s="4">
        <v>0</v>
      </c>
      <c r="W303" s="4">
        <v>2025</v>
      </c>
    </row>
    <row r="304" spans="1:23" x14ac:dyDescent="0.25">
      <c r="A304" s="4">
        <v>2</v>
      </c>
      <c r="B304" s="4">
        <v>9</v>
      </c>
      <c r="C304" s="4">
        <v>6</v>
      </c>
      <c r="D304" s="4" t="s">
        <v>346</v>
      </c>
      <c r="E304" s="4" t="s">
        <v>342</v>
      </c>
      <c r="F304" s="4">
        <v>0.26</v>
      </c>
      <c r="G304" s="8">
        <v>3.5</v>
      </c>
      <c r="H304" s="8">
        <v>0.25999999046325684</v>
      </c>
      <c r="I304" s="8">
        <v>0</v>
      </c>
      <c r="J304" s="8">
        <v>0</v>
      </c>
      <c r="K304" s="8">
        <v>0</v>
      </c>
      <c r="L304" s="8">
        <v>0</v>
      </c>
      <c r="M304" s="6">
        <v>0</v>
      </c>
      <c r="N304" s="5">
        <v>0</v>
      </c>
      <c r="O304" s="6">
        <v>0.15999999642372131</v>
      </c>
      <c r="P304" s="5">
        <v>0.61538460162969733</v>
      </c>
      <c r="Q304" s="6">
        <v>0.10000000149011612</v>
      </c>
      <c r="R304" s="5">
        <v>0.38461539034660047</v>
      </c>
      <c r="S304" s="6">
        <v>0</v>
      </c>
      <c r="T304" s="5">
        <v>0</v>
      </c>
      <c r="U304" s="4">
        <v>0</v>
      </c>
      <c r="V304" s="4">
        <v>0</v>
      </c>
      <c r="W304" s="4">
        <v>2025</v>
      </c>
    </row>
    <row r="305" spans="1:23" x14ac:dyDescent="0.25">
      <c r="A305" s="4">
        <v>2</v>
      </c>
      <c r="B305" s="4">
        <v>9</v>
      </c>
      <c r="C305" s="4">
        <v>7</v>
      </c>
      <c r="D305" s="4" t="s">
        <v>347</v>
      </c>
      <c r="E305" s="4" t="s">
        <v>342</v>
      </c>
      <c r="F305" s="4">
        <v>0.24</v>
      </c>
      <c r="G305" s="8">
        <v>3.5</v>
      </c>
      <c r="H305" s="8">
        <v>0.23999999463558197</v>
      </c>
      <c r="I305" s="8">
        <v>0</v>
      </c>
      <c r="J305" s="8">
        <v>0</v>
      </c>
      <c r="K305" s="8">
        <v>0</v>
      </c>
      <c r="L305" s="8">
        <v>0</v>
      </c>
      <c r="M305" s="6">
        <v>0</v>
      </c>
      <c r="N305" s="5">
        <v>0</v>
      </c>
      <c r="O305" s="6">
        <v>0</v>
      </c>
      <c r="P305" s="5">
        <v>0</v>
      </c>
      <c r="Q305" s="6">
        <v>0</v>
      </c>
      <c r="R305" s="5">
        <v>0</v>
      </c>
      <c r="S305" s="6">
        <v>0.23999999463558197</v>
      </c>
      <c r="T305" s="5">
        <v>0.99999997764825821</v>
      </c>
      <c r="U305" s="4">
        <v>0</v>
      </c>
      <c r="V305" s="4">
        <v>0</v>
      </c>
      <c r="W305" s="4">
        <v>2025</v>
      </c>
    </row>
    <row r="306" spans="1:23" x14ac:dyDescent="0.25">
      <c r="A306" s="4">
        <v>2</v>
      </c>
      <c r="B306" s="4">
        <v>9</v>
      </c>
      <c r="C306" s="4">
        <v>8</v>
      </c>
      <c r="D306" s="4" t="s">
        <v>348</v>
      </c>
      <c r="E306" s="4" t="s">
        <v>342</v>
      </c>
      <c r="F306" s="4">
        <v>0.21</v>
      </c>
      <c r="G306" s="8">
        <v>3</v>
      </c>
      <c r="H306" s="8">
        <v>0.20999999344348907</v>
      </c>
      <c r="I306" s="8">
        <v>0</v>
      </c>
      <c r="J306" s="8">
        <v>0</v>
      </c>
      <c r="K306" s="8">
        <v>0</v>
      </c>
      <c r="L306" s="8">
        <v>0</v>
      </c>
      <c r="M306" s="6">
        <v>0</v>
      </c>
      <c r="N306" s="5">
        <v>0</v>
      </c>
      <c r="O306" s="6">
        <v>0</v>
      </c>
      <c r="P306" s="5">
        <v>0</v>
      </c>
      <c r="Q306" s="6">
        <v>0.20999999344348907</v>
      </c>
      <c r="R306" s="5">
        <v>0.99999996877851949</v>
      </c>
      <c r="S306" s="6">
        <v>0</v>
      </c>
      <c r="T306" s="5">
        <v>0</v>
      </c>
      <c r="U306" s="4">
        <v>0</v>
      </c>
      <c r="V306" s="4">
        <v>0</v>
      </c>
      <c r="W306" s="4">
        <v>2025</v>
      </c>
    </row>
    <row r="307" spans="1:23" x14ac:dyDescent="0.25">
      <c r="A307" s="4">
        <v>2</v>
      </c>
      <c r="B307" s="4">
        <v>9</v>
      </c>
      <c r="C307" s="4">
        <v>9</v>
      </c>
      <c r="D307" s="4" t="s">
        <v>349</v>
      </c>
      <c r="E307" s="4" t="s">
        <v>350</v>
      </c>
      <c r="F307" s="4">
        <v>8.5</v>
      </c>
      <c r="G307" s="8">
        <v>3.5</v>
      </c>
      <c r="H307" s="8">
        <v>8.5</v>
      </c>
      <c r="I307" s="8">
        <v>0</v>
      </c>
      <c r="J307" s="8">
        <v>0</v>
      </c>
      <c r="K307" s="8">
        <v>0</v>
      </c>
      <c r="L307" s="8">
        <v>0</v>
      </c>
      <c r="M307" s="6">
        <v>5</v>
      </c>
      <c r="N307" s="5">
        <v>0.58823529411764708</v>
      </c>
      <c r="O307" s="6">
        <v>0.69999998807907104</v>
      </c>
      <c r="P307" s="5">
        <v>8.2352939774008357E-2</v>
      </c>
      <c r="Q307" s="6">
        <v>0.69999998807907104</v>
      </c>
      <c r="R307" s="5">
        <v>8.2352939774008357E-2</v>
      </c>
      <c r="S307" s="6">
        <v>2.0999999046325684</v>
      </c>
      <c r="T307" s="5">
        <v>0.24705881230971394</v>
      </c>
      <c r="U307" s="4">
        <v>0</v>
      </c>
      <c r="V307" s="4">
        <v>0</v>
      </c>
      <c r="W307" s="4">
        <v>2025</v>
      </c>
    </row>
    <row r="308" spans="1:23" x14ac:dyDescent="0.25">
      <c r="A308" s="4">
        <v>3</v>
      </c>
      <c r="B308" s="4">
        <v>0</v>
      </c>
      <c r="C308" s="4">
        <v>0</v>
      </c>
      <c r="D308" s="4" t="s">
        <v>351</v>
      </c>
      <c r="E308" s="4" t="s">
        <v>352</v>
      </c>
      <c r="F308" s="4">
        <v>2.23</v>
      </c>
      <c r="G308" s="8">
        <v>3</v>
      </c>
      <c r="H308" s="8">
        <v>0.10000000149011612</v>
      </c>
      <c r="I308" s="8">
        <v>0</v>
      </c>
      <c r="J308" s="8">
        <v>1.0299999713897705</v>
      </c>
      <c r="K308" s="8">
        <v>0.20000000298023224</v>
      </c>
      <c r="L308" s="8">
        <v>0.89999997615814209</v>
      </c>
      <c r="M308" s="6">
        <v>0</v>
      </c>
      <c r="N308" s="5">
        <v>0</v>
      </c>
      <c r="O308" s="6">
        <v>0</v>
      </c>
      <c r="P308" s="5">
        <v>0</v>
      </c>
      <c r="Q308" s="6">
        <v>0.62999999523162842</v>
      </c>
      <c r="R308" s="5">
        <v>0.2825112086240486</v>
      </c>
      <c r="S308" s="6">
        <v>1.6000000238418579</v>
      </c>
      <c r="T308" s="5">
        <v>0.71748879992908432</v>
      </c>
      <c r="U308" s="4">
        <v>0</v>
      </c>
      <c r="V308" s="4">
        <v>0</v>
      </c>
      <c r="W308" s="4">
        <v>2025</v>
      </c>
    </row>
    <row r="309" spans="1:23" x14ac:dyDescent="0.25">
      <c r="A309" s="4">
        <v>3</v>
      </c>
      <c r="B309" s="4">
        <v>0</v>
      </c>
      <c r="C309" s="4">
        <v>1</v>
      </c>
      <c r="D309" s="4" t="s">
        <v>353</v>
      </c>
      <c r="E309" s="4" t="s">
        <v>342</v>
      </c>
      <c r="F309" s="4">
        <v>5.26</v>
      </c>
      <c r="G309" s="8">
        <v>3</v>
      </c>
      <c r="H309" s="8">
        <v>0</v>
      </c>
      <c r="I309" s="8">
        <v>0</v>
      </c>
      <c r="J309" s="8">
        <v>0</v>
      </c>
      <c r="K309" s="8">
        <v>0.30000001192092896</v>
      </c>
      <c r="L309" s="8">
        <v>4.9600000381469727</v>
      </c>
      <c r="M309" s="6">
        <v>0</v>
      </c>
      <c r="N309" s="5">
        <v>0</v>
      </c>
      <c r="O309" s="6">
        <v>0</v>
      </c>
      <c r="P309" s="5">
        <v>0</v>
      </c>
      <c r="Q309" s="6">
        <v>0</v>
      </c>
      <c r="R309" s="5">
        <v>0</v>
      </c>
      <c r="S309" s="6">
        <v>5.2600002288818359</v>
      </c>
      <c r="T309" s="5">
        <v>1.0000000435136571</v>
      </c>
      <c r="U309" s="4">
        <v>0</v>
      </c>
      <c r="V309" s="4">
        <v>0</v>
      </c>
      <c r="W309" s="4">
        <v>2025</v>
      </c>
    </row>
    <row r="310" spans="1:23" x14ac:dyDescent="0.25">
      <c r="A310" s="4">
        <v>3</v>
      </c>
      <c r="B310" s="4">
        <v>0</v>
      </c>
      <c r="C310" s="4">
        <v>2</v>
      </c>
      <c r="D310" s="4" t="s">
        <v>354</v>
      </c>
      <c r="E310" s="4" t="s">
        <v>342</v>
      </c>
      <c r="F310" s="4">
        <v>17.11</v>
      </c>
      <c r="G310" s="8">
        <v>3</v>
      </c>
      <c r="H310" s="8">
        <v>0</v>
      </c>
      <c r="I310" s="8">
        <v>0</v>
      </c>
      <c r="J310" s="8">
        <v>0</v>
      </c>
      <c r="K310" s="8">
        <v>0</v>
      </c>
      <c r="L310" s="8">
        <v>17.110000610351563</v>
      </c>
      <c r="M310" s="6">
        <v>0</v>
      </c>
      <c r="N310" s="5">
        <v>0</v>
      </c>
      <c r="O310" s="6">
        <v>0</v>
      </c>
      <c r="P310" s="5">
        <v>0</v>
      </c>
      <c r="Q310" s="6">
        <v>0</v>
      </c>
      <c r="R310" s="5">
        <v>0</v>
      </c>
      <c r="S310" s="6">
        <v>17.110000610351563</v>
      </c>
      <c r="T310" s="5">
        <v>1.000000035672213</v>
      </c>
      <c r="U310" s="4">
        <v>0</v>
      </c>
      <c r="V310" s="4">
        <v>0</v>
      </c>
      <c r="W310" s="4">
        <v>2025</v>
      </c>
    </row>
    <row r="311" spans="1:23" x14ac:dyDescent="0.25">
      <c r="A311" s="4">
        <v>3</v>
      </c>
      <c r="B311" s="4">
        <v>0</v>
      </c>
      <c r="C311" s="4">
        <v>3</v>
      </c>
      <c r="D311" s="4" t="s">
        <v>355</v>
      </c>
      <c r="E311" s="4" t="s">
        <v>342</v>
      </c>
      <c r="F311" s="4">
        <v>0.66</v>
      </c>
      <c r="G311" s="8">
        <v>3.5</v>
      </c>
      <c r="H311" s="8">
        <v>0.6600000262260437</v>
      </c>
      <c r="I311" s="8">
        <v>0</v>
      </c>
      <c r="J311" s="8">
        <v>0</v>
      </c>
      <c r="K311" s="8">
        <v>0</v>
      </c>
      <c r="L311" s="8">
        <v>0</v>
      </c>
      <c r="M311" s="6">
        <v>0</v>
      </c>
      <c r="N311" s="5">
        <v>0</v>
      </c>
      <c r="O311" s="6">
        <v>0.56000000238418579</v>
      </c>
      <c r="P311" s="5">
        <v>0.84848485209725111</v>
      </c>
      <c r="Q311" s="6">
        <v>0.10000000149011612</v>
      </c>
      <c r="R311" s="5">
        <v>0.1515151537729032</v>
      </c>
      <c r="S311" s="6">
        <v>0</v>
      </c>
      <c r="T311" s="5">
        <v>0</v>
      </c>
      <c r="U311" s="4">
        <v>0</v>
      </c>
      <c r="V311" s="4">
        <v>0</v>
      </c>
      <c r="W311" s="4">
        <v>2025</v>
      </c>
    </row>
    <row r="312" spans="1:23" x14ac:dyDescent="0.25">
      <c r="A312" s="4">
        <v>3</v>
      </c>
      <c r="B312" s="4">
        <v>0</v>
      </c>
      <c r="C312" s="4">
        <v>4</v>
      </c>
      <c r="D312" s="4" t="s">
        <v>356</v>
      </c>
      <c r="E312" s="4" t="s">
        <v>342</v>
      </c>
      <c r="F312" s="4">
        <v>0.53</v>
      </c>
      <c r="G312" s="8">
        <v>5</v>
      </c>
      <c r="H312" s="8">
        <v>0.52999997138977051</v>
      </c>
      <c r="I312" s="8">
        <v>0</v>
      </c>
      <c r="J312" s="8">
        <v>0</v>
      </c>
      <c r="K312" s="8">
        <v>0</v>
      </c>
      <c r="L312" s="8">
        <v>0</v>
      </c>
      <c r="M312" s="6">
        <v>0.12999999523162842</v>
      </c>
      <c r="N312" s="5">
        <v>0.24528300987099699</v>
      </c>
      <c r="O312" s="6">
        <v>0.30000001192092896</v>
      </c>
      <c r="P312" s="5">
        <v>0.56603775834137537</v>
      </c>
      <c r="Q312" s="6">
        <v>0.10000000149011612</v>
      </c>
      <c r="R312" s="5">
        <v>0.18867924809455872</v>
      </c>
      <c r="S312" s="6">
        <v>0</v>
      </c>
      <c r="T312" s="5">
        <v>0</v>
      </c>
      <c r="U312" s="4">
        <v>0</v>
      </c>
      <c r="V312" s="4">
        <v>0</v>
      </c>
      <c r="W312" s="4">
        <v>2025</v>
      </c>
    </row>
    <row r="313" spans="1:23" x14ac:dyDescent="0.25">
      <c r="A313" s="4">
        <v>3</v>
      </c>
      <c r="B313" s="4">
        <v>0</v>
      </c>
      <c r="C313" s="4">
        <v>5</v>
      </c>
      <c r="D313" s="4" t="s">
        <v>357</v>
      </c>
      <c r="E313" s="4" t="s">
        <v>342</v>
      </c>
      <c r="F313" s="4">
        <v>1.04</v>
      </c>
      <c r="G313" s="8">
        <v>4</v>
      </c>
      <c r="H313" s="8">
        <v>1.0399999618530273</v>
      </c>
      <c r="I313" s="8">
        <v>0</v>
      </c>
      <c r="J313" s="8">
        <v>0</v>
      </c>
      <c r="K313" s="8">
        <v>0</v>
      </c>
      <c r="L313" s="8">
        <v>0</v>
      </c>
      <c r="M313" s="6">
        <v>1.0399999618530273</v>
      </c>
      <c r="N313" s="5">
        <v>0.99999996332021857</v>
      </c>
      <c r="O313" s="6">
        <v>0</v>
      </c>
      <c r="P313" s="5">
        <v>0</v>
      </c>
      <c r="Q313" s="6">
        <v>0</v>
      </c>
      <c r="R313" s="5">
        <v>0</v>
      </c>
      <c r="S313" s="6">
        <v>0</v>
      </c>
      <c r="T313" s="5">
        <v>0</v>
      </c>
      <c r="U313" s="4">
        <v>0</v>
      </c>
      <c r="V313" s="4">
        <v>0</v>
      </c>
      <c r="W313" s="4">
        <v>2025</v>
      </c>
    </row>
    <row r="314" spans="1:23" x14ac:dyDescent="0.25">
      <c r="A314" s="4">
        <v>3</v>
      </c>
      <c r="B314" s="4">
        <v>0</v>
      </c>
      <c r="C314" s="4">
        <v>6</v>
      </c>
      <c r="D314" s="4" t="s">
        <v>358</v>
      </c>
      <c r="E314" s="4" t="s">
        <v>342</v>
      </c>
      <c r="F314" s="4">
        <v>2.21</v>
      </c>
      <c r="G314" s="8">
        <v>3.5</v>
      </c>
      <c r="H314" s="8">
        <v>2</v>
      </c>
      <c r="I314" s="8">
        <v>0</v>
      </c>
      <c r="J314" s="8">
        <v>0</v>
      </c>
      <c r="K314" s="8">
        <v>0</v>
      </c>
      <c r="L314" s="8">
        <v>0.20999999344348907</v>
      </c>
      <c r="M314" s="6">
        <v>0.60000002384185791</v>
      </c>
      <c r="N314" s="5">
        <v>0.27149322345785426</v>
      </c>
      <c r="O314" s="6">
        <v>0.40000000596046448</v>
      </c>
      <c r="P314" s="5">
        <v>0.18099547781016492</v>
      </c>
      <c r="Q314" s="6">
        <v>0.60000002384185791</v>
      </c>
      <c r="R314" s="5">
        <v>0.27149322345785426</v>
      </c>
      <c r="S314" s="6">
        <v>0.60999999940395355</v>
      </c>
      <c r="T314" s="5">
        <v>0.27601809927780702</v>
      </c>
      <c r="U314" s="4">
        <v>0</v>
      </c>
      <c r="V314" s="4">
        <v>0</v>
      </c>
      <c r="W314" s="4">
        <v>2025</v>
      </c>
    </row>
    <row r="315" spans="1:23" x14ac:dyDescent="0.25">
      <c r="A315" s="4">
        <v>3</v>
      </c>
      <c r="B315" s="4">
        <v>0</v>
      </c>
      <c r="C315" s="4">
        <v>7</v>
      </c>
      <c r="D315" s="4" t="s">
        <v>359</v>
      </c>
      <c r="E315" s="4" t="s">
        <v>342</v>
      </c>
      <c r="F315" s="4">
        <v>0.32</v>
      </c>
      <c r="G315" s="8">
        <v>4</v>
      </c>
      <c r="H315" s="8">
        <v>0.31999999284744263</v>
      </c>
      <c r="I315" s="8">
        <v>0</v>
      </c>
      <c r="J315" s="8">
        <v>0</v>
      </c>
      <c r="K315" s="8">
        <v>0</v>
      </c>
      <c r="L315" s="8">
        <v>0</v>
      </c>
      <c r="M315" s="6">
        <v>0</v>
      </c>
      <c r="N315" s="5">
        <v>0</v>
      </c>
      <c r="O315" s="6">
        <v>0.31999999284744263</v>
      </c>
      <c r="P315" s="5">
        <v>0.99999997764825821</v>
      </c>
      <c r="Q315" s="6">
        <v>0</v>
      </c>
      <c r="R315" s="5">
        <v>0</v>
      </c>
      <c r="S315" s="6">
        <v>0</v>
      </c>
      <c r="T315" s="5">
        <v>0</v>
      </c>
      <c r="U315" s="4">
        <v>0</v>
      </c>
      <c r="V315" s="4">
        <v>0</v>
      </c>
      <c r="W315" s="4">
        <v>2025</v>
      </c>
    </row>
    <row r="316" spans="1:23" x14ac:dyDescent="0.25">
      <c r="A316" s="4">
        <v>3</v>
      </c>
      <c r="B316" s="4">
        <v>0</v>
      </c>
      <c r="C316" s="4">
        <v>8</v>
      </c>
      <c r="D316" s="4" t="s">
        <v>360</v>
      </c>
      <c r="E316" s="4" t="s">
        <v>342</v>
      </c>
      <c r="F316" s="4">
        <v>0.31</v>
      </c>
      <c r="G316" s="8">
        <v>3</v>
      </c>
      <c r="H316" s="8">
        <v>0</v>
      </c>
      <c r="I316" s="8">
        <v>0</v>
      </c>
      <c r="J316" s="8">
        <v>0.31000000238418579</v>
      </c>
      <c r="K316" s="8">
        <v>0</v>
      </c>
      <c r="L316" s="8">
        <v>0</v>
      </c>
      <c r="M316" s="6">
        <v>0</v>
      </c>
      <c r="N316" s="5">
        <v>0</v>
      </c>
      <c r="O316" s="6">
        <v>0</v>
      </c>
      <c r="P316" s="5">
        <v>0</v>
      </c>
      <c r="Q316" s="6">
        <v>0.31000000238418579</v>
      </c>
      <c r="R316" s="5">
        <v>1.0000000076909219</v>
      </c>
      <c r="S316" s="6">
        <v>0</v>
      </c>
      <c r="T316" s="5">
        <v>0</v>
      </c>
      <c r="U316" s="4">
        <v>0</v>
      </c>
      <c r="V316" s="4">
        <v>0</v>
      </c>
      <c r="W316" s="4">
        <v>2025</v>
      </c>
    </row>
    <row r="317" spans="1:23" x14ac:dyDescent="0.25">
      <c r="A317" s="4">
        <v>3</v>
      </c>
      <c r="B317" s="4">
        <v>0</v>
      </c>
      <c r="C317" s="4">
        <v>9</v>
      </c>
      <c r="D317" s="4" t="s">
        <v>361</v>
      </c>
      <c r="E317" s="4" t="s">
        <v>342</v>
      </c>
      <c r="F317" s="4">
        <v>0.48</v>
      </c>
      <c r="G317" s="8">
        <v>3</v>
      </c>
      <c r="H317" s="8">
        <v>0</v>
      </c>
      <c r="I317" s="8">
        <v>0</v>
      </c>
      <c r="J317" s="8">
        <v>0</v>
      </c>
      <c r="K317" s="8">
        <v>0.47999998927116394</v>
      </c>
      <c r="L317" s="8">
        <v>0</v>
      </c>
      <c r="M317" s="6">
        <v>0</v>
      </c>
      <c r="N317" s="5">
        <v>0</v>
      </c>
      <c r="O317" s="6">
        <v>0</v>
      </c>
      <c r="P317" s="5">
        <v>0</v>
      </c>
      <c r="Q317" s="6">
        <v>0</v>
      </c>
      <c r="R317" s="5">
        <v>0</v>
      </c>
      <c r="S317" s="6">
        <v>0.47999998927116394</v>
      </c>
      <c r="T317" s="5">
        <v>0.99999997764825821</v>
      </c>
      <c r="U317" s="4">
        <v>0</v>
      </c>
      <c r="V317" s="4">
        <v>0</v>
      </c>
      <c r="W317" s="4">
        <v>2025</v>
      </c>
    </row>
    <row r="318" spans="1:23" x14ac:dyDescent="0.25">
      <c r="A318" s="4">
        <v>3</v>
      </c>
      <c r="B318" s="4">
        <v>1</v>
      </c>
      <c r="C318" s="4">
        <v>0</v>
      </c>
      <c r="D318" s="4" t="s">
        <v>362</v>
      </c>
      <c r="E318" s="4" t="s">
        <v>363</v>
      </c>
      <c r="F318" s="4">
        <v>7.33</v>
      </c>
      <c r="G318" s="8">
        <v>3.5</v>
      </c>
      <c r="H318" s="8">
        <v>7.3299999237060547</v>
      </c>
      <c r="I318" s="8">
        <v>0</v>
      </c>
      <c r="J318" s="8">
        <v>0</v>
      </c>
      <c r="K318" s="8">
        <v>0</v>
      </c>
      <c r="L318" s="8">
        <v>0</v>
      </c>
      <c r="M318" s="6">
        <v>0.20000000298023224</v>
      </c>
      <c r="N318" s="5">
        <v>2.7285130010945735E-2</v>
      </c>
      <c r="O318" s="6">
        <v>5.0999999046325684</v>
      </c>
      <c r="P318" s="5">
        <v>0.69577079190075963</v>
      </c>
      <c r="Q318" s="6">
        <v>1.5299999713897705</v>
      </c>
      <c r="R318" s="5">
        <v>0.20873123757022791</v>
      </c>
      <c r="S318" s="6">
        <v>0.5</v>
      </c>
      <c r="T318" s="5">
        <v>6.8212824010914053E-2</v>
      </c>
      <c r="U318" s="4">
        <v>0</v>
      </c>
      <c r="V318" s="4">
        <v>0</v>
      </c>
      <c r="W318" s="4">
        <v>2025</v>
      </c>
    </row>
    <row r="319" spans="1:23" x14ac:dyDescent="0.25">
      <c r="A319" s="4">
        <v>3</v>
      </c>
      <c r="B319" s="4">
        <v>1</v>
      </c>
      <c r="C319" s="4">
        <v>1</v>
      </c>
      <c r="D319" s="4" t="s">
        <v>364</v>
      </c>
      <c r="E319" s="4" t="s">
        <v>365</v>
      </c>
      <c r="F319" s="4">
        <v>2.1</v>
      </c>
      <c r="G319" s="8">
        <v>3.5</v>
      </c>
      <c r="H319" s="8">
        <v>2.0999999046325684</v>
      </c>
      <c r="I319" s="8">
        <v>0</v>
      </c>
      <c r="J319" s="8">
        <v>0</v>
      </c>
      <c r="K319" s="8">
        <v>0</v>
      </c>
      <c r="L319" s="8">
        <v>0</v>
      </c>
      <c r="M319" s="6">
        <v>0.10000000149011612</v>
      </c>
      <c r="N319" s="5">
        <v>4.761904832862672E-2</v>
      </c>
      <c r="O319" s="6">
        <v>0.30000001192092896</v>
      </c>
      <c r="P319" s="5">
        <v>0.14285714853377568</v>
      </c>
      <c r="Q319" s="6">
        <v>1</v>
      </c>
      <c r="R319" s="5">
        <v>0.47619047619047616</v>
      </c>
      <c r="S319" s="6">
        <v>0.69999998807907104</v>
      </c>
      <c r="T319" s="5">
        <v>0.33333332765670048</v>
      </c>
      <c r="U319" s="4">
        <v>0</v>
      </c>
      <c r="V319" s="4">
        <v>0</v>
      </c>
      <c r="W319" s="4">
        <v>2025</v>
      </c>
    </row>
    <row r="320" spans="1:23" x14ac:dyDescent="0.25">
      <c r="A320" s="4">
        <v>3</v>
      </c>
      <c r="B320" s="4">
        <v>1</v>
      </c>
      <c r="C320" s="4">
        <v>2</v>
      </c>
      <c r="D320" s="4" t="s">
        <v>366</v>
      </c>
      <c r="E320" s="4" t="s">
        <v>365</v>
      </c>
      <c r="F320" s="4">
        <v>0.18</v>
      </c>
      <c r="G320" s="8">
        <v>3</v>
      </c>
      <c r="H320" s="8">
        <v>0.18000000715255737</v>
      </c>
      <c r="I320" s="8">
        <v>0</v>
      </c>
      <c r="J320" s="8">
        <v>0</v>
      </c>
      <c r="K320" s="8">
        <v>0</v>
      </c>
      <c r="L320" s="8">
        <v>0</v>
      </c>
      <c r="M320" s="6">
        <v>0</v>
      </c>
      <c r="N320" s="5">
        <v>0</v>
      </c>
      <c r="O320" s="6">
        <v>0</v>
      </c>
      <c r="P320" s="5">
        <v>0</v>
      </c>
      <c r="Q320" s="6">
        <v>0</v>
      </c>
      <c r="R320" s="5">
        <v>0</v>
      </c>
      <c r="S320" s="6">
        <v>0.18000000715255737</v>
      </c>
      <c r="T320" s="5">
        <v>1.0000000397364299</v>
      </c>
      <c r="U320" s="4">
        <v>0</v>
      </c>
      <c r="V320" s="4">
        <v>0</v>
      </c>
      <c r="W320" s="4">
        <v>2025</v>
      </c>
    </row>
    <row r="321" spans="1:23" x14ac:dyDescent="0.25">
      <c r="A321" s="4">
        <v>3</v>
      </c>
      <c r="B321" s="4">
        <v>1</v>
      </c>
      <c r="C321" s="4">
        <v>3</v>
      </c>
      <c r="D321" s="4" t="s">
        <v>367</v>
      </c>
      <c r="E321" s="4" t="s">
        <v>365</v>
      </c>
      <c r="F321" s="4">
        <v>0.21</v>
      </c>
      <c r="G321" s="8">
        <v>3</v>
      </c>
      <c r="H321" s="8">
        <v>0.10000000149011612</v>
      </c>
      <c r="I321" s="8">
        <v>0</v>
      </c>
      <c r="J321" s="8">
        <v>0</v>
      </c>
      <c r="K321" s="8">
        <v>0.10999999940395355</v>
      </c>
      <c r="L321" s="8">
        <v>0</v>
      </c>
      <c r="M321" s="6">
        <v>0</v>
      </c>
      <c r="N321" s="5">
        <v>0</v>
      </c>
      <c r="O321" s="6">
        <v>0</v>
      </c>
      <c r="P321" s="5">
        <v>0</v>
      </c>
      <c r="Q321" s="6">
        <v>0</v>
      </c>
      <c r="R321" s="5">
        <v>0</v>
      </c>
      <c r="S321" s="6">
        <v>0.21000000089406967</v>
      </c>
      <c r="T321" s="5">
        <v>1.0000000042574746</v>
      </c>
      <c r="U321" s="4">
        <v>0</v>
      </c>
      <c r="V321" s="4">
        <v>0</v>
      </c>
      <c r="W321" s="4">
        <v>2025</v>
      </c>
    </row>
    <row r="322" spans="1:23" x14ac:dyDescent="0.25">
      <c r="A322" s="4">
        <v>3</v>
      </c>
      <c r="B322" s="4">
        <v>1</v>
      </c>
      <c r="C322" s="4">
        <v>4</v>
      </c>
      <c r="D322" s="4" t="s">
        <v>368</v>
      </c>
      <c r="E322" s="4" t="s">
        <v>365</v>
      </c>
      <c r="F322" s="4">
        <v>0.35</v>
      </c>
      <c r="G322" s="8">
        <v>3</v>
      </c>
      <c r="H322" s="8">
        <v>0.34999999403953552</v>
      </c>
      <c r="I322" s="8">
        <v>0</v>
      </c>
      <c r="J322" s="8">
        <v>0</v>
      </c>
      <c r="K322" s="8">
        <v>0</v>
      </c>
      <c r="L322" s="8">
        <v>0</v>
      </c>
      <c r="M322" s="6">
        <v>0</v>
      </c>
      <c r="N322" s="5">
        <v>0</v>
      </c>
      <c r="O322" s="6">
        <v>0.15000000596046448</v>
      </c>
      <c r="P322" s="5">
        <v>0.42857144560132709</v>
      </c>
      <c r="Q322" s="6">
        <v>0.10000000149011612</v>
      </c>
      <c r="R322" s="5">
        <v>0.28571428997176035</v>
      </c>
      <c r="S322" s="6">
        <v>0.10000000149011612</v>
      </c>
      <c r="T322" s="5">
        <v>0.28571428997176035</v>
      </c>
      <c r="U322" s="4">
        <v>0</v>
      </c>
      <c r="V322" s="4">
        <v>0</v>
      </c>
      <c r="W322" s="4">
        <v>2025</v>
      </c>
    </row>
    <row r="323" spans="1:23" x14ac:dyDescent="0.25">
      <c r="A323" s="4">
        <v>3</v>
      </c>
      <c r="B323" s="4">
        <v>1</v>
      </c>
      <c r="C323" s="4">
        <v>5</v>
      </c>
      <c r="D323" s="4" t="s">
        <v>369</v>
      </c>
      <c r="E323" s="4" t="s">
        <v>365</v>
      </c>
      <c r="F323" s="4">
        <v>0.31</v>
      </c>
      <c r="G323" s="8">
        <v>3</v>
      </c>
      <c r="H323" s="8">
        <v>0.31000000238418579</v>
      </c>
      <c r="I323" s="8">
        <v>0</v>
      </c>
      <c r="J323" s="8">
        <v>0</v>
      </c>
      <c r="K323" s="8">
        <v>0</v>
      </c>
      <c r="L323" s="8">
        <v>0</v>
      </c>
      <c r="M323" s="6">
        <v>0.20000000298023224</v>
      </c>
      <c r="N323" s="5">
        <v>0.64516129993623306</v>
      </c>
      <c r="O323" s="6">
        <v>0</v>
      </c>
      <c r="P323" s="5">
        <v>0</v>
      </c>
      <c r="Q323" s="6">
        <v>0</v>
      </c>
      <c r="R323" s="5">
        <v>0</v>
      </c>
      <c r="S323" s="6">
        <v>0.10999999940395355</v>
      </c>
      <c r="T323" s="5">
        <v>0.3548387077546889</v>
      </c>
      <c r="U323" s="4">
        <v>0</v>
      </c>
      <c r="V323" s="4">
        <v>0</v>
      </c>
      <c r="W323" s="4">
        <v>2025</v>
      </c>
    </row>
    <row r="324" spans="1:23" x14ac:dyDescent="0.25">
      <c r="A324" s="4">
        <v>3</v>
      </c>
      <c r="B324" s="4">
        <v>1</v>
      </c>
      <c r="C324" s="4">
        <v>6</v>
      </c>
      <c r="D324" s="4" t="s">
        <v>370</v>
      </c>
      <c r="E324" s="4" t="s">
        <v>365</v>
      </c>
      <c r="F324" s="4">
        <v>0.34</v>
      </c>
      <c r="G324" s="8">
        <v>3.5</v>
      </c>
      <c r="H324" s="8">
        <v>0.34000000357627869</v>
      </c>
      <c r="I324" s="8">
        <v>0</v>
      </c>
      <c r="J324" s="8">
        <v>0</v>
      </c>
      <c r="K324" s="8">
        <v>0</v>
      </c>
      <c r="L324" s="8">
        <v>0</v>
      </c>
      <c r="M324" s="6">
        <v>0.34000000357627869</v>
      </c>
      <c r="N324" s="5">
        <v>1.0000000105184665</v>
      </c>
      <c r="O324" s="6">
        <v>0</v>
      </c>
      <c r="P324" s="5">
        <v>0</v>
      </c>
      <c r="Q324" s="6">
        <v>0</v>
      </c>
      <c r="R324" s="5">
        <v>0</v>
      </c>
      <c r="S324" s="6">
        <v>0</v>
      </c>
      <c r="T324" s="5">
        <v>0</v>
      </c>
      <c r="U324" s="4">
        <v>0</v>
      </c>
      <c r="V324" s="4">
        <v>0</v>
      </c>
      <c r="W324" s="4">
        <v>2025</v>
      </c>
    </row>
    <row r="325" spans="1:23" x14ac:dyDescent="0.25">
      <c r="A325" s="4">
        <v>3</v>
      </c>
      <c r="B325" s="4">
        <v>1</v>
      </c>
      <c r="C325" s="4">
        <v>7</v>
      </c>
      <c r="D325" s="4" t="s">
        <v>371</v>
      </c>
      <c r="E325" s="4" t="s">
        <v>365</v>
      </c>
      <c r="F325" s="4">
        <v>0.32</v>
      </c>
      <c r="G325" s="8">
        <v>3</v>
      </c>
      <c r="H325" s="8">
        <v>0.31999999284744263</v>
      </c>
      <c r="I325" s="8">
        <v>0</v>
      </c>
      <c r="J325" s="8">
        <v>0</v>
      </c>
      <c r="K325" s="8">
        <v>0</v>
      </c>
      <c r="L325" s="8">
        <v>0</v>
      </c>
      <c r="M325" s="6">
        <v>0.31999999284744263</v>
      </c>
      <c r="N325" s="5">
        <v>0.99999997764825821</v>
      </c>
      <c r="O325" s="6">
        <v>0</v>
      </c>
      <c r="P325" s="5">
        <v>0</v>
      </c>
      <c r="Q325" s="6">
        <v>0</v>
      </c>
      <c r="R325" s="5">
        <v>0</v>
      </c>
      <c r="S325" s="6">
        <v>0</v>
      </c>
      <c r="T325" s="5">
        <v>0</v>
      </c>
      <c r="U325" s="4">
        <v>0</v>
      </c>
      <c r="V325" s="4">
        <v>0</v>
      </c>
      <c r="W325" s="4">
        <v>2025</v>
      </c>
    </row>
    <row r="326" spans="1:23" x14ac:dyDescent="0.25">
      <c r="A326" s="4">
        <v>3</v>
      </c>
      <c r="B326" s="4">
        <v>1</v>
      </c>
      <c r="C326" s="4">
        <v>8</v>
      </c>
      <c r="D326" s="4" t="s">
        <v>372</v>
      </c>
      <c r="E326" s="4" t="s">
        <v>365</v>
      </c>
      <c r="F326" s="4">
        <v>0.28000000000000003</v>
      </c>
      <c r="G326" s="8">
        <v>3</v>
      </c>
      <c r="H326" s="8">
        <v>0.2800000011920929</v>
      </c>
      <c r="I326" s="8">
        <v>0</v>
      </c>
      <c r="J326" s="8">
        <v>0</v>
      </c>
      <c r="K326" s="8">
        <v>0</v>
      </c>
      <c r="L326" s="8">
        <v>0</v>
      </c>
      <c r="M326" s="6">
        <v>0.2800000011920929</v>
      </c>
      <c r="N326" s="5">
        <v>1.0000000042574746</v>
      </c>
      <c r="O326" s="6">
        <v>0</v>
      </c>
      <c r="P326" s="5">
        <v>0</v>
      </c>
      <c r="Q326" s="6">
        <v>0</v>
      </c>
      <c r="R326" s="5">
        <v>0</v>
      </c>
      <c r="S326" s="6">
        <v>0</v>
      </c>
      <c r="T326" s="5">
        <v>0</v>
      </c>
      <c r="U326" s="4">
        <v>0</v>
      </c>
      <c r="V326" s="4">
        <v>0</v>
      </c>
      <c r="W326" s="4">
        <v>2025</v>
      </c>
    </row>
    <row r="327" spans="1:23" x14ac:dyDescent="0.25">
      <c r="A327" s="4">
        <v>3</v>
      </c>
      <c r="B327" s="4">
        <v>1</v>
      </c>
      <c r="C327" s="4">
        <v>9</v>
      </c>
      <c r="D327" s="4" t="s">
        <v>373</v>
      </c>
      <c r="E327" s="4" t="s">
        <v>365</v>
      </c>
      <c r="F327" s="4">
        <v>0.17</v>
      </c>
      <c r="G327" s="8">
        <v>3</v>
      </c>
      <c r="H327" s="8">
        <v>0.17000000178813934</v>
      </c>
      <c r="I327" s="8">
        <v>0</v>
      </c>
      <c r="J327" s="8">
        <v>0</v>
      </c>
      <c r="K327" s="8">
        <v>0</v>
      </c>
      <c r="L327" s="8">
        <v>0</v>
      </c>
      <c r="M327" s="6">
        <v>0.17000000178813934</v>
      </c>
      <c r="N327" s="5">
        <v>1.0000000105184665</v>
      </c>
      <c r="O327" s="6">
        <v>0</v>
      </c>
      <c r="P327" s="5">
        <v>0</v>
      </c>
      <c r="Q327" s="6">
        <v>0</v>
      </c>
      <c r="R327" s="5">
        <v>0</v>
      </c>
      <c r="S327" s="6">
        <v>0</v>
      </c>
      <c r="T327" s="5">
        <v>0</v>
      </c>
      <c r="U327" s="4">
        <v>0</v>
      </c>
      <c r="V327" s="4">
        <v>0</v>
      </c>
      <c r="W327" s="4">
        <v>2025</v>
      </c>
    </row>
    <row r="328" spans="1:23" x14ac:dyDescent="0.25">
      <c r="A328" s="4">
        <v>3</v>
      </c>
      <c r="B328" s="4">
        <v>2</v>
      </c>
      <c r="C328" s="4">
        <v>0</v>
      </c>
      <c r="D328" s="4" t="s">
        <v>374</v>
      </c>
      <c r="E328" s="4" t="s">
        <v>365</v>
      </c>
      <c r="F328" s="4">
        <v>0.73</v>
      </c>
      <c r="G328" s="8">
        <v>3</v>
      </c>
      <c r="H328" s="8">
        <v>0.73000001907348633</v>
      </c>
      <c r="I328" s="8">
        <v>0</v>
      </c>
      <c r="J328" s="8">
        <v>0</v>
      </c>
      <c r="K328" s="8">
        <v>0</v>
      </c>
      <c r="L328" s="8">
        <v>0</v>
      </c>
      <c r="M328" s="6">
        <v>0.73000001907348633</v>
      </c>
      <c r="N328" s="5">
        <v>1.0000000261280635</v>
      </c>
      <c r="O328" s="6">
        <v>0</v>
      </c>
      <c r="P328" s="5">
        <v>0</v>
      </c>
      <c r="Q328" s="6">
        <v>0</v>
      </c>
      <c r="R328" s="5">
        <v>0</v>
      </c>
      <c r="S328" s="6">
        <v>0</v>
      </c>
      <c r="T328" s="5">
        <v>0</v>
      </c>
      <c r="U328" s="4">
        <v>0</v>
      </c>
      <c r="V328" s="4">
        <v>0</v>
      </c>
      <c r="W328" s="4">
        <v>2025</v>
      </c>
    </row>
    <row r="329" spans="1:23" x14ac:dyDescent="0.25">
      <c r="A329" s="4">
        <v>3</v>
      </c>
      <c r="B329" s="4">
        <v>2</v>
      </c>
      <c r="C329" s="4">
        <v>1</v>
      </c>
      <c r="D329" s="4" t="s">
        <v>375</v>
      </c>
      <c r="E329" s="4" t="s">
        <v>365</v>
      </c>
      <c r="F329" s="4">
        <v>0.32</v>
      </c>
      <c r="G329" s="8">
        <v>3.5</v>
      </c>
      <c r="H329" s="8">
        <v>0.31999999284744263</v>
      </c>
      <c r="I329" s="8">
        <v>0</v>
      </c>
      <c r="J329" s="8">
        <v>0</v>
      </c>
      <c r="K329" s="8">
        <v>0</v>
      </c>
      <c r="L329" s="8">
        <v>0</v>
      </c>
      <c r="M329" s="6">
        <v>0</v>
      </c>
      <c r="N329" s="5">
        <v>0</v>
      </c>
      <c r="O329" s="6">
        <v>0.31999999284744263</v>
      </c>
      <c r="P329" s="5">
        <v>0.99999997764825821</v>
      </c>
      <c r="Q329" s="6">
        <v>0</v>
      </c>
      <c r="R329" s="5">
        <v>0</v>
      </c>
      <c r="S329" s="6">
        <v>0</v>
      </c>
      <c r="T329" s="5">
        <v>0</v>
      </c>
      <c r="U329" s="4">
        <v>0</v>
      </c>
      <c r="V329" s="4">
        <v>0</v>
      </c>
      <c r="W329" s="4">
        <v>2025</v>
      </c>
    </row>
    <row r="330" spans="1:23" x14ac:dyDescent="0.25">
      <c r="A330" s="4">
        <v>3</v>
      </c>
      <c r="B330" s="4">
        <v>2</v>
      </c>
      <c r="C330" s="4">
        <v>2</v>
      </c>
      <c r="D330" s="4" t="s">
        <v>376</v>
      </c>
      <c r="E330" s="4" t="s">
        <v>365</v>
      </c>
      <c r="F330" s="4">
        <v>0.28999999999999998</v>
      </c>
      <c r="G330" s="8">
        <v>3.5</v>
      </c>
      <c r="H330" s="8">
        <v>0.28999999165534973</v>
      </c>
      <c r="I330" s="8">
        <v>0</v>
      </c>
      <c r="J330" s="8">
        <v>0</v>
      </c>
      <c r="K330" s="8">
        <v>0</v>
      </c>
      <c r="L330" s="8">
        <v>0</v>
      </c>
      <c r="M330" s="6">
        <v>0</v>
      </c>
      <c r="N330" s="5">
        <v>0</v>
      </c>
      <c r="O330" s="6">
        <v>0.28999999165534973</v>
      </c>
      <c r="P330" s="5">
        <v>0.99999997122534401</v>
      </c>
      <c r="Q330" s="6">
        <v>0</v>
      </c>
      <c r="R330" s="5">
        <v>0</v>
      </c>
      <c r="S330" s="6">
        <v>0</v>
      </c>
      <c r="T330" s="5">
        <v>0</v>
      </c>
      <c r="U330" s="4">
        <v>0</v>
      </c>
      <c r="V330" s="4">
        <v>0</v>
      </c>
      <c r="W330" s="4">
        <v>2025</v>
      </c>
    </row>
    <row r="331" spans="1:23" x14ac:dyDescent="0.25">
      <c r="A331" s="4">
        <v>3</v>
      </c>
      <c r="B331" s="4">
        <v>2</v>
      </c>
      <c r="C331" s="4">
        <v>3</v>
      </c>
      <c r="D331" s="4" t="s">
        <v>377</v>
      </c>
      <c r="E331" s="4" t="s">
        <v>365</v>
      </c>
      <c r="F331" s="4">
        <v>0.28000000000000003</v>
      </c>
      <c r="G331" s="8">
        <v>3.5</v>
      </c>
      <c r="H331" s="8">
        <v>0.2800000011920929</v>
      </c>
      <c r="I331" s="8">
        <v>0</v>
      </c>
      <c r="J331" s="8">
        <v>0</v>
      </c>
      <c r="K331" s="8">
        <v>0</v>
      </c>
      <c r="L331" s="8">
        <v>0</v>
      </c>
      <c r="M331" s="6">
        <v>0</v>
      </c>
      <c r="N331" s="5">
        <v>0</v>
      </c>
      <c r="O331" s="6">
        <v>0.2800000011920929</v>
      </c>
      <c r="P331" s="5">
        <v>1.0000000042574746</v>
      </c>
      <c r="Q331" s="6">
        <v>0</v>
      </c>
      <c r="R331" s="5">
        <v>0</v>
      </c>
      <c r="S331" s="6">
        <v>0</v>
      </c>
      <c r="T331" s="5">
        <v>0</v>
      </c>
      <c r="U331" s="4">
        <v>0</v>
      </c>
      <c r="V331" s="4">
        <v>0</v>
      </c>
      <c r="W331" s="4">
        <v>2025</v>
      </c>
    </row>
    <row r="332" spans="1:23" x14ac:dyDescent="0.25">
      <c r="A332" s="4">
        <v>3</v>
      </c>
      <c r="B332" s="4">
        <v>2</v>
      </c>
      <c r="C332" s="4">
        <v>4</v>
      </c>
      <c r="D332" s="4" t="s">
        <v>378</v>
      </c>
      <c r="E332" s="4" t="s">
        <v>365</v>
      </c>
      <c r="F332" s="4">
        <v>0.3</v>
      </c>
      <c r="G332" s="8">
        <v>3</v>
      </c>
      <c r="H332" s="8">
        <v>0.20000000298023224</v>
      </c>
      <c r="I332" s="8">
        <v>0</v>
      </c>
      <c r="J332" s="8">
        <v>0</v>
      </c>
      <c r="K332" s="8">
        <v>0.10000000149011612</v>
      </c>
      <c r="L332" s="8">
        <v>0</v>
      </c>
      <c r="M332" s="6">
        <v>0</v>
      </c>
      <c r="N332" s="5">
        <v>0</v>
      </c>
      <c r="O332" s="6">
        <v>0</v>
      </c>
      <c r="P332" s="5">
        <v>0</v>
      </c>
      <c r="Q332" s="6">
        <v>0</v>
      </c>
      <c r="R332" s="5">
        <v>0</v>
      </c>
      <c r="S332" s="6">
        <v>0.30000000447034836</v>
      </c>
      <c r="T332" s="5">
        <v>1.0000000149011612</v>
      </c>
      <c r="U332" s="4">
        <v>0</v>
      </c>
      <c r="V332" s="4">
        <v>0</v>
      </c>
      <c r="W332" s="4">
        <v>2025</v>
      </c>
    </row>
    <row r="333" spans="1:23" x14ac:dyDescent="0.25">
      <c r="A333" s="4">
        <v>3</v>
      </c>
      <c r="B333" s="4">
        <v>2</v>
      </c>
      <c r="C333" s="4">
        <v>5</v>
      </c>
      <c r="D333" s="4" t="s">
        <v>379</v>
      </c>
      <c r="E333" s="4" t="s">
        <v>365</v>
      </c>
      <c r="F333" s="4">
        <v>0.3</v>
      </c>
      <c r="G333" s="8">
        <v>3</v>
      </c>
      <c r="H333" s="8">
        <v>0.10000000149011612</v>
      </c>
      <c r="I333" s="8">
        <v>0</v>
      </c>
      <c r="J333" s="8">
        <v>0</v>
      </c>
      <c r="K333" s="8">
        <v>0.20000000298023224</v>
      </c>
      <c r="L333" s="8">
        <v>0</v>
      </c>
      <c r="M333" s="6">
        <v>0</v>
      </c>
      <c r="N333" s="5">
        <v>0</v>
      </c>
      <c r="O333" s="6">
        <v>0.10000000149011612</v>
      </c>
      <c r="P333" s="5">
        <v>0.33333333830038708</v>
      </c>
      <c r="Q333" s="6">
        <v>0</v>
      </c>
      <c r="R333" s="5">
        <v>0</v>
      </c>
      <c r="S333" s="6">
        <v>0.20000000298023224</v>
      </c>
      <c r="T333" s="5">
        <v>0.66666667660077417</v>
      </c>
      <c r="U333" s="4">
        <v>0</v>
      </c>
      <c r="V333" s="4">
        <v>0</v>
      </c>
      <c r="W333" s="4">
        <v>2025</v>
      </c>
    </row>
    <row r="334" spans="1:23" x14ac:dyDescent="0.25">
      <c r="A334" s="4">
        <v>3</v>
      </c>
      <c r="B334" s="4">
        <v>2</v>
      </c>
      <c r="C334" s="4">
        <v>6</v>
      </c>
      <c r="D334" s="4" t="s">
        <v>380</v>
      </c>
      <c r="E334" s="4" t="s">
        <v>365</v>
      </c>
      <c r="F334" s="4">
        <v>0.27</v>
      </c>
      <c r="G334" s="8">
        <v>3</v>
      </c>
      <c r="H334" s="8">
        <v>0.27000001072883606</v>
      </c>
      <c r="I334" s="8">
        <v>0</v>
      </c>
      <c r="J334" s="8">
        <v>0</v>
      </c>
      <c r="K334" s="8">
        <v>0</v>
      </c>
      <c r="L334" s="8">
        <v>0</v>
      </c>
      <c r="M334" s="6">
        <v>0</v>
      </c>
      <c r="N334" s="5">
        <v>0</v>
      </c>
      <c r="O334" s="6">
        <v>0.27000001072883606</v>
      </c>
      <c r="P334" s="5">
        <v>1.0000000397364297</v>
      </c>
      <c r="Q334" s="6">
        <v>0</v>
      </c>
      <c r="R334" s="5">
        <v>0</v>
      </c>
      <c r="S334" s="6">
        <v>0</v>
      </c>
      <c r="T334" s="5">
        <v>0</v>
      </c>
      <c r="U334" s="4">
        <v>0</v>
      </c>
      <c r="V334" s="4">
        <v>0</v>
      </c>
      <c r="W334" s="4">
        <v>2025</v>
      </c>
    </row>
    <row r="335" spans="1:23" x14ac:dyDescent="0.25">
      <c r="A335" s="4">
        <v>3</v>
      </c>
      <c r="B335" s="4">
        <v>2</v>
      </c>
      <c r="C335" s="4">
        <v>7</v>
      </c>
      <c r="D335" s="4" t="s">
        <v>381</v>
      </c>
      <c r="E335" s="4" t="s">
        <v>365</v>
      </c>
      <c r="F335" s="4">
        <v>1.65</v>
      </c>
      <c r="G335" s="8">
        <v>3.5</v>
      </c>
      <c r="H335" s="8">
        <v>0</v>
      </c>
      <c r="I335" s="8">
        <v>0</v>
      </c>
      <c r="J335" s="8">
        <v>0</v>
      </c>
      <c r="K335" s="8">
        <v>0</v>
      </c>
      <c r="L335" s="8">
        <v>1.6499999761581421</v>
      </c>
      <c r="M335" s="6">
        <v>0</v>
      </c>
      <c r="N335" s="5">
        <v>0</v>
      </c>
      <c r="O335" s="6">
        <v>0</v>
      </c>
      <c r="P335" s="5">
        <v>0</v>
      </c>
      <c r="Q335" s="6">
        <v>0</v>
      </c>
      <c r="R335" s="5">
        <v>0</v>
      </c>
      <c r="S335" s="6">
        <v>1.6499999761581421</v>
      </c>
      <c r="T335" s="5">
        <v>0.99999998555038916</v>
      </c>
      <c r="U335" s="4">
        <v>0</v>
      </c>
      <c r="V335" s="4">
        <v>0</v>
      </c>
      <c r="W335" s="4">
        <v>2025</v>
      </c>
    </row>
    <row r="336" spans="1:23" x14ac:dyDescent="0.25">
      <c r="A336" s="4">
        <v>3</v>
      </c>
      <c r="B336" s="4">
        <v>2</v>
      </c>
      <c r="C336" s="4">
        <v>8</v>
      </c>
      <c r="D336" s="4" t="s">
        <v>382</v>
      </c>
      <c r="E336" s="4" t="s">
        <v>365</v>
      </c>
      <c r="F336" s="4">
        <v>1.82</v>
      </c>
      <c r="G336" s="8">
        <v>3</v>
      </c>
      <c r="H336" s="8">
        <v>1.5</v>
      </c>
      <c r="I336" s="8">
        <v>0</v>
      </c>
      <c r="J336" s="8">
        <v>0.31999999284744263</v>
      </c>
      <c r="K336" s="8">
        <v>0</v>
      </c>
      <c r="L336" s="8">
        <v>0</v>
      </c>
      <c r="M336" s="6">
        <v>0.20000000298023224</v>
      </c>
      <c r="N336" s="5">
        <v>0.10989011152760013</v>
      </c>
      <c r="O336" s="6">
        <v>0.80000001192092896</v>
      </c>
      <c r="P336" s="5">
        <v>0.43956044611040052</v>
      </c>
      <c r="Q336" s="6">
        <v>0.2199999988079071</v>
      </c>
      <c r="R336" s="5">
        <v>0.12087912022412478</v>
      </c>
      <c r="S336" s="6">
        <v>0.60000002384185791</v>
      </c>
      <c r="T336" s="5">
        <v>0.32967034277025159</v>
      </c>
      <c r="U336" s="4">
        <v>0</v>
      </c>
      <c r="V336" s="4">
        <v>0</v>
      </c>
      <c r="W336" s="4">
        <v>2025</v>
      </c>
    </row>
    <row r="337" spans="1:23" x14ac:dyDescent="0.25">
      <c r="A337" s="4">
        <v>3</v>
      </c>
      <c r="B337" s="4">
        <v>2</v>
      </c>
      <c r="C337" s="4">
        <v>9</v>
      </c>
      <c r="D337" s="4" t="s">
        <v>383</v>
      </c>
      <c r="E337" s="4" t="s">
        <v>365</v>
      </c>
      <c r="F337" s="4">
        <v>0.15</v>
      </c>
      <c r="G337" s="8">
        <v>3.5</v>
      </c>
      <c r="H337" s="8">
        <v>0.15000000596046448</v>
      </c>
      <c r="I337" s="8">
        <v>0</v>
      </c>
      <c r="J337" s="8">
        <v>0</v>
      </c>
      <c r="K337" s="8">
        <v>0</v>
      </c>
      <c r="L337" s="8">
        <v>0</v>
      </c>
      <c r="M337" s="6">
        <v>0</v>
      </c>
      <c r="N337" s="5">
        <v>0</v>
      </c>
      <c r="O337" s="6">
        <v>0.15000000596046448</v>
      </c>
      <c r="P337" s="5">
        <v>1.0000000397364299</v>
      </c>
      <c r="Q337" s="6">
        <v>0</v>
      </c>
      <c r="R337" s="5">
        <v>0</v>
      </c>
      <c r="S337" s="6">
        <v>0</v>
      </c>
      <c r="T337" s="5">
        <v>0</v>
      </c>
      <c r="U337" s="4">
        <v>0</v>
      </c>
      <c r="V337" s="4">
        <v>0</v>
      </c>
      <c r="W337" s="4">
        <v>2025</v>
      </c>
    </row>
    <row r="338" spans="1:23" x14ac:dyDescent="0.25">
      <c r="A338" s="4">
        <v>3</v>
      </c>
      <c r="B338" s="4">
        <v>3</v>
      </c>
      <c r="C338" s="4">
        <v>0</v>
      </c>
      <c r="D338" s="4" t="s">
        <v>384</v>
      </c>
      <c r="E338" s="4" t="s">
        <v>365</v>
      </c>
      <c r="F338" s="4">
        <v>0.56999999999999995</v>
      </c>
      <c r="G338" s="8">
        <v>3</v>
      </c>
      <c r="H338" s="8">
        <v>0</v>
      </c>
      <c r="I338" s="8">
        <v>0</v>
      </c>
      <c r="J338" s="8">
        <v>0.57000000774860382</v>
      </c>
      <c r="K338" s="8">
        <v>0</v>
      </c>
      <c r="L338" s="8">
        <v>0</v>
      </c>
      <c r="M338" s="6">
        <v>0.56999999284744263</v>
      </c>
      <c r="N338" s="5">
        <v>0.99999998745165386</v>
      </c>
      <c r="O338" s="6">
        <v>0</v>
      </c>
      <c r="P338" s="5">
        <v>0</v>
      </c>
      <c r="Q338" s="6">
        <v>0</v>
      </c>
      <c r="R338" s="5">
        <v>0</v>
      </c>
      <c r="S338" s="6">
        <v>0</v>
      </c>
      <c r="T338" s="5">
        <v>0</v>
      </c>
      <c r="U338" s="4">
        <v>0</v>
      </c>
      <c r="V338" s="4">
        <v>0</v>
      </c>
      <c r="W338" s="4">
        <v>2025</v>
      </c>
    </row>
    <row r="339" spans="1:23" x14ac:dyDescent="0.25">
      <c r="A339" s="4">
        <v>3</v>
      </c>
      <c r="B339" s="4">
        <v>3</v>
      </c>
      <c r="C339" s="4">
        <v>1</v>
      </c>
      <c r="D339" s="4" t="s">
        <v>385</v>
      </c>
      <c r="E339" s="4" t="s">
        <v>365</v>
      </c>
      <c r="F339" s="4">
        <v>0.32</v>
      </c>
      <c r="G339" s="8">
        <v>3</v>
      </c>
      <c r="H339" s="8">
        <v>0.31999999284744263</v>
      </c>
      <c r="I339" s="8">
        <v>0</v>
      </c>
      <c r="J339" s="8">
        <v>0</v>
      </c>
      <c r="K339" s="8">
        <v>0</v>
      </c>
      <c r="L339" s="8">
        <v>0</v>
      </c>
      <c r="M339" s="6">
        <v>0</v>
      </c>
      <c r="N339" s="5">
        <v>0</v>
      </c>
      <c r="O339" s="6">
        <v>0.20000000298023224</v>
      </c>
      <c r="P339" s="5">
        <v>0.62500000931322575</v>
      </c>
      <c r="Q339" s="6">
        <v>0.10000000149011612</v>
      </c>
      <c r="R339" s="5">
        <v>0.31250000465661287</v>
      </c>
      <c r="S339" s="6">
        <v>1.9999999552965164E-2</v>
      </c>
      <c r="T339" s="5">
        <v>6.2499998603016138E-2</v>
      </c>
      <c r="U339" s="4">
        <v>0</v>
      </c>
      <c r="V339" s="4">
        <v>0</v>
      </c>
      <c r="W339" s="4">
        <v>2025</v>
      </c>
    </row>
    <row r="340" spans="1:23" x14ac:dyDescent="0.25">
      <c r="A340" s="4">
        <v>3</v>
      </c>
      <c r="B340" s="4">
        <v>3</v>
      </c>
      <c r="C340" s="4">
        <v>2</v>
      </c>
      <c r="D340" s="4" t="s">
        <v>386</v>
      </c>
      <c r="E340" s="4" t="s">
        <v>365</v>
      </c>
      <c r="F340" s="4">
        <v>0.33</v>
      </c>
      <c r="G340" s="8">
        <v>3</v>
      </c>
      <c r="H340" s="8">
        <v>0.33000001311302185</v>
      </c>
      <c r="I340" s="8">
        <v>0</v>
      </c>
      <c r="J340" s="8">
        <v>0</v>
      </c>
      <c r="K340" s="8">
        <v>0</v>
      </c>
      <c r="L340" s="8">
        <v>0</v>
      </c>
      <c r="M340" s="6">
        <v>0</v>
      </c>
      <c r="N340" s="5">
        <v>0</v>
      </c>
      <c r="O340" s="6">
        <v>0</v>
      </c>
      <c r="P340" s="5">
        <v>0</v>
      </c>
      <c r="Q340" s="6">
        <v>0</v>
      </c>
      <c r="R340" s="5">
        <v>0</v>
      </c>
      <c r="S340" s="6">
        <v>0.33000001311302185</v>
      </c>
      <c r="T340" s="5">
        <v>1.0000000397364297</v>
      </c>
      <c r="U340" s="4">
        <v>0</v>
      </c>
      <c r="V340" s="4">
        <v>0</v>
      </c>
      <c r="W340" s="4">
        <v>2025</v>
      </c>
    </row>
    <row r="341" spans="1:23" x14ac:dyDescent="0.25">
      <c r="A341" s="4">
        <v>3</v>
      </c>
      <c r="B341" s="4">
        <v>3</v>
      </c>
      <c r="C341" s="4">
        <v>3</v>
      </c>
      <c r="D341" s="4" t="s">
        <v>387</v>
      </c>
      <c r="E341" s="4" t="s">
        <v>365</v>
      </c>
      <c r="F341" s="4">
        <v>0.35</v>
      </c>
      <c r="G341" s="8">
        <v>3</v>
      </c>
      <c r="H341" s="8">
        <v>0.34999999403953552</v>
      </c>
      <c r="I341" s="8">
        <v>0</v>
      </c>
      <c r="J341" s="8">
        <v>0</v>
      </c>
      <c r="K341" s="8">
        <v>0</v>
      </c>
      <c r="L341" s="8">
        <v>0</v>
      </c>
      <c r="M341" s="6">
        <v>0</v>
      </c>
      <c r="N341" s="5">
        <v>0</v>
      </c>
      <c r="O341" s="6">
        <v>0</v>
      </c>
      <c r="P341" s="5">
        <v>0</v>
      </c>
      <c r="Q341" s="6">
        <v>0</v>
      </c>
      <c r="R341" s="5">
        <v>0</v>
      </c>
      <c r="S341" s="6">
        <v>0.34999999403953552</v>
      </c>
      <c r="T341" s="5">
        <v>0.99999998297010151</v>
      </c>
      <c r="U341" s="4">
        <v>0</v>
      </c>
      <c r="V341" s="4">
        <v>0</v>
      </c>
      <c r="W341" s="4">
        <v>2025</v>
      </c>
    </row>
    <row r="342" spans="1:23" x14ac:dyDescent="0.25">
      <c r="A342" s="4">
        <v>3</v>
      </c>
      <c r="B342" s="4">
        <v>3</v>
      </c>
      <c r="C342" s="4">
        <v>4</v>
      </c>
      <c r="D342" s="4" t="s">
        <v>388</v>
      </c>
      <c r="E342" s="4" t="s">
        <v>365</v>
      </c>
      <c r="F342" s="4">
        <v>4.0999999999999996</v>
      </c>
      <c r="G342" s="8">
        <v>3</v>
      </c>
      <c r="H342" s="8">
        <v>0</v>
      </c>
      <c r="I342" s="8">
        <v>0</v>
      </c>
      <c r="J342" s="8">
        <v>2.4000000953674316</v>
      </c>
      <c r="K342" s="8">
        <v>0</v>
      </c>
      <c r="L342" s="8">
        <v>1.7000000476837158</v>
      </c>
      <c r="M342" s="6">
        <v>0</v>
      </c>
      <c r="N342" s="5">
        <v>0</v>
      </c>
      <c r="O342" s="6">
        <v>0.10000000149011612</v>
      </c>
      <c r="P342" s="5">
        <v>2.4390244265881982E-2</v>
      </c>
      <c r="Q342" s="6">
        <v>1.3999999761581421</v>
      </c>
      <c r="R342" s="5">
        <v>0.34146340881905907</v>
      </c>
      <c r="S342" s="6">
        <v>2.6000000238418579</v>
      </c>
      <c r="T342" s="5">
        <v>0.63414634727850194</v>
      </c>
      <c r="U342" s="4">
        <v>0</v>
      </c>
      <c r="V342" s="4">
        <v>0</v>
      </c>
      <c r="W342" s="4">
        <v>2025</v>
      </c>
    </row>
    <row r="343" spans="1:23" x14ac:dyDescent="0.25">
      <c r="A343" s="4">
        <v>3</v>
      </c>
      <c r="B343" s="4">
        <v>3</v>
      </c>
      <c r="C343" s="4">
        <v>5</v>
      </c>
      <c r="D343" s="4" t="s">
        <v>389</v>
      </c>
      <c r="E343" s="4" t="s">
        <v>365</v>
      </c>
      <c r="F343" s="4">
        <v>0.66</v>
      </c>
      <c r="G343" s="8">
        <v>2</v>
      </c>
      <c r="H343" s="8">
        <v>0</v>
      </c>
      <c r="I343" s="8">
        <v>0</v>
      </c>
      <c r="J343" s="8">
        <v>0.6600000262260437</v>
      </c>
      <c r="K343" s="8">
        <v>0</v>
      </c>
      <c r="L343" s="8">
        <v>0</v>
      </c>
      <c r="M343" s="6">
        <v>0</v>
      </c>
      <c r="N343" s="5">
        <v>0</v>
      </c>
      <c r="O343" s="6">
        <v>0.6600000262260437</v>
      </c>
      <c r="P343" s="5">
        <v>1.0000000397364297</v>
      </c>
      <c r="Q343" s="6">
        <v>0</v>
      </c>
      <c r="R343" s="5">
        <v>0</v>
      </c>
      <c r="S343" s="6">
        <v>0</v>
      </c>
      <c r="T343" s="5">
        <v>0</v>
      </c>
      <c r="U343" s="4">
        <v>0</v>
      </c>
      <c r="V343" s="4">
        <v>0</v>
      </c>
      <c r="W343" s="4">
        <v>2025</v>
      </c>
    </row>
    <row r="344" spans="1:23" x14ac:dyDescent="0.25">
      <c r="A344" s="4">
        <v>3</v>
      </c>
      <c r="B344" s="4">
        <v>3</v>
      </c>
      <c r="C344" s="4">
        <v>6</v>
      </c>
      <c r="D344" s="4" t="s">
        <v>390</v>
      </c>
      <c r="E344" s="4" t="s">
        <v>365</v>
      </c>
      <c r="F344" s="4">
        <v>1.34</v>
      </c>
      <c r="G344" s="8">
        <v>2</v>
      </c>
      <c r="H344" s="8">
        <v>0</v>
      </c>
      <c r="I344" s="8">
        <v>0</v>
      </c>
      <c r="J344" s="8">
        <v>1.0399999618530273</v>
      </c>
      <c r="K344" s="8">
        <v>0</v>
      </c>
      <c r="L344" s="8">
        <v>0.30000001192092896</v>
      </c>
      <c r="M344" s="6">
        <v>0</v>
      </c>
      <c r="N344" s="5">
        <v>0</v>
      </c>
      <c r="O344" s="6">
        <v>0.34000000357627869</v>
      </c>
      <c r="P344" s="5">
        <v>0.25373134595244679</v>
      </c>
      <c r="Q344" s="6">
        <v>0.60000002384185791</v>
      </c>
      <c r="R344" s="5">
        <v>0.44776121182228201</v>
      </c>
      <c r="S344" s="6">
        <v>0.40000001341104507</v>
      </c>
      <c r="T344" s="5">
        <v>0.29850747269480976</v>
      </c>
      <c r="U344" s="4">
        <v>0</v>
      </c>
      <c r="V344" s="4">
        <v>0</v>
      </c>
      <c r="W344" s="4">
        <v>2025</v>
      </c>
    </row>
    <row r="345" spans="1:23" x14ac:dyDescent="0.25">
      <c r="A345" s="4">
        <v>3</v>
      </c>
      <c r="B345" s="4">
        <v>3</v>
      </c>
      <c r="C345" s="4">
        <v>7</v>
      </c>
      <c r="D345" s="4" t="s">
        <v>391</v>
      </c>
      <c r="E345" s="4" t="s">
        <v>365</v>
      </c>
      <c r="F345" s="4">
        <v>0.56999999999999995</v>
      </c>
      <c r="G345" s="8">
        <v>3</v>
      </c>
      <c r="H345" s="8">
        <v>0</v>
      </c>
      <c r="I345" s="8">
        <v>0</v>
      </c>
      <c r="J345" s="8">
        <v>0.56999999284744263</v>
      </c>
      <c r="K345" s="8">
        <v>0</v>
      </c>
      <c r="L345" s="8">
        <v>0</v>
      </c>
      <c r="M345" s="6">
        <v>0</v>
      </c>
      <c r="N345" s="5">
        <v>0</v>
      </c>
      <c r="O345" s="6">
        <v>0.27000001072883606</v>
      </c>
      <c r="P345" s="5">
        <v>0.47368422934883525</v>
      </c>
      <c r="Q345" s="6">
        <v>0.10000000149011612</v>
      </c>
      <c r="R345" s="5">
        <v>0.17543859910546689</v>
      </c>
      <c r="S345" s="6">
        <v>0.20000000298023224</v>
      </c>
      <c r="T345" s="5">
        <v>0.35087719821093377</v>
      </c>
      <c r="U345" s="4">
        <v>0</v>
      </c>
      <c r="V345" s="4">
        <v>0</v>
      </c>
      <c r="W345" s="4">
        <v>2025</v>
      </c>
    </row>
    <row r="346" spans="1:23" x14ac:dyDescent="0.25">
      <c r="A346" s="4">
        <v>3</v>
      </c>
      <c r="B346" s="4">
        <v>3</v>
      </c>
      <c r="C346" s="4">
        <v>8</v>
      </c>
      <c r="D346" s="4" t="s">
        <v>392</v>
      </c>
      <c r="E346" s="4" t="s">
        <v>393</v>
      </c>
      <c r="F346" s="4">
        <v>6.93</v>
      </c>
      <c r="G346" s="8">
        <v>3.6099998950958252</v>
      </c>
      <c r="H346" s="8">
        <v>3.5999999046325684</v>
      </c>
      <c r="I346" s="8">
        <v>0</v>
      </c>
      <c r="J346" s="8">
        <v>1.9299999475479126</v>
      </c>
      <c r="K346" s="8">
        <v>1.3999999761581421</v>
      </c>
      <c r="L346" s="8">
        <v>0</v>
      </c>
      <c r="M346" s="6">
        <v>0</v>
      </c>
      <c r="N346" s="5">
        <v>0</v>
      </c>
      <c r="O346" s="6">
        <v>1.9299999475479126</v>
      </c>
      <c r="P346" s="5">
        <v>0.27849927093043475</v>
      </c>
      <c r="Q346" s="6">
        <v>0.60000002384185791</v>
      </c>
      <c r="R346" s="5">
        <v>8.6580090020470124E-2</v>
      </c>
      <c r="S346" s="6">
        <v>4.3999999761581421</v>
      </c>
      <c r="T346" s="5">
        <v>0.63492063148025146</v>
      </c>
      <c r="U346" s="4">
        <v>0</v>
      </c>
      <c r="V346" s="4">
        <v>0</v>
      </c>
      <c r="W346" s="4">
        <v>2025</v>
      </c>
    </row>
    <row r="347" spans="1:23" x14ac:dyDescent="0.25">
      <c r="A347" s="4">
        <v>3</v>
      </c>
      <c r="B347" s="4">
        <v>3</v>
      </c>
      <c r="C347" s="4">
        <v>9</v>
      </c>
      <c r="D347" s="4" t="s">
        <v>394</v>
      </c>
      <c r="E347" s="4" t="s">
        <v>393</v>
      </c>
      <c r="F347" s="4">
        <v>2.33</v>
      </c>
      <c r="G347" s="8">
        <v>4</v>
      </c>
      <c r="H347" s="8">
        <v>0</v>
      </c>
      <c r="I347" s="8">
        <v>0</v>
      </c>
      <c r="J347" s="8">
        <v>0</v>
      </c>
      <c r="K347" s="8">
        <v>0</v>
      </c>
      <c r="L347" s="8">
        <v>2.3299999237060547</v>
      </c>
      <c r="M347" s="6">
        <v>0</v>
      </c>
      <c r="N347" s="5">
        <v>0</v>
      </c>
      <c r="O347" s="6">
        <v>0</v>
      </c>
      <c r="P347" s="5">
        <v>0</v>
      </c>
      <c r="Q347" s="6">
        <v>0</v>
      </c>
      <c r="R347" s="5">
        <v>0</v>
      </c>
      <c r="S347" s="6">
        <v>2.3299999237060547</v>
      </c>
      <c r="T347" s="5">
        <v>0.99999996725581741</v>
      </c>
      <c r="U347" s="4">
        <v>0</v>
      </c>
      <c r="V347" s="4">
        <v>0</v>
      </c>
      <c r="W347" s="4">
        <v>2025</v>
      </c>
    </row>
    <row r="348" spans="1:23" x14ac:dyDescent="0.25">
      <c r="A348" s="4">
        <v>3</v>
      </c>
      <c r="B348" s="4">
        <v>4</v>
      </c>
      <c r="C348" s="4">
        <v>0</v>
      </c>
      <c r="D348" s="4" t="s">
        <v>395</v>
      </c>
      <c r="E348" s="4" t="s">
        <v>393</v>
      </c>
      <c r="F348" s="4">
        <v>7.58</v>
      </c>
      <c r="G348" s="8">
        <v>3.5</v>
      </c>
      <c r="H348" s="8">
        <v>3</v>
      </c>
      <c r="I348" s="8">
        <v>0</v>
      </c>
      <c r="J348" s="8">
        <v>0</v>
      </c>
      <c r="K348" s="8">
        <v>0</v>
      </c>
      <c r="L348" s="8">
        <v>4.5799999237060547</v>
      </c>
      <c r="M348" s="6">
        <v>2.0999999046325684</v>
      </c>
      <c r="N348" s="5">
        <v>0.27704484229981113</v>
      </c>
      <c r="O348" s="6">
        <v>0.40000000596046448</v>
      </c>
      <c r="P348" s="5">
        <v>5.2770449335153624E-2</v>
      </c>
      <c r="Q348" s="6">
        <v>0.10000000149011612</v>
      </c>
      <c r="R348" s="5">
        <v>1.3192612333788406E-2</v>
      </c>
      <c r="S348" s="6">
        <v>4.9799999296665192</v>
      </c>
      <c r="T348" s="5">
        <v>0.65699207515389435</v>
      </c>
      <c r="U348" s="4">
        <v>0</v>
      </c>
      <c r="V348" s="4">
        <v>0</v>
      </c>
      <c r="W348" s="4">
        <v>2025</v>
      </c>
    </row>
    <row r="349" spans="1:23" x14ac:dyDescent="0.25">
      <c r="A349" s="4">
        <v>3</v>
      </c>
      <c r="B349" s="4">
        <v>4</v>
      </c>
      <c r="C349" s="4">
        <v>1</v>
      </c>
      <c r="D349" s="4" t="s">
        <v>396</v>
      </c>
      <c r="E349" s="4" t="s">
        <v>393</v>
      </c>
      <c r="F349" s="4">
        <v>5.61</v>
      </c>
      <c r="G349" s="8">
        <v>3</v>
      </c>
      <c r="H349" s="8">
        <v>0</v>
      </c>
      <c r="I349" s="8">
        <v>0</v>
      </c>
      <c r="J349" s="8">
        <v>0</v>
      </c>
      <c r="K349" s="8">
        <v>0</v>
      </c>
      <c r="L349" s="8">
        <v>5.6100001335144043</v>
      </c>
      <c r="M349" s="6">
        <v>0</v>
      </c>
      <c r="N349" s="5">
        <v>0</v>
      </c>
      <c r="O349" s="6">
        <v>0</v>
      </c>
      <c r="P349" s="5">
        <v>0</v>
      </c>
      <c r="Q349" s="6">
        <v>0</v>
      </c>
      <c r="R349" s="5">
        <v>0</v>
      </c>
      <c r="S349" s="6">
        <v>5.6100001335144043</v>
      </c>
      <c r="T349" s="5">
        <v>1.0000000237993589</v>
      </c>
      <c r="U349" s="4">
        <v>0</v>
      </c>
      <c r="V349" s="4">
        <v>0</v>
      </c>
      <c r="W349" s="4">
        <v>2025</v>
      </c>
    </row>
    <row r="350" spans="1:23" x14ac:dyDescent="0.25">
      <c r="A350" s="4">
        <v>3</v>
      </c>
      <c r="B350" s="4">
        <v>4</v>
      </c>
      <c r="C350" s="4">
        <v>2</v>
      </c>
      <c r="D350" s="4" t="s">
        <v>397</v>
      </c>
      <c r="E350" s="4" t="s">
        <v>393</v>
      </c>
      <c r="F350" s="4">
        <v>8.0299999999999994</v>
      </c>
      <c r="G350" s="8">
        <v>3</v>
      </c>
      <c r="H350" s="8">
        <v>0</v>
      </c>
      <c r="I350" s="8">
        <v>0</v>
      </c>
      <c r="J350" s="8">
        <v>0</v>
      </c>
      <c r="K350" s="8">
        <v>0</v>
      </c>
      <c r="L350" s="8">
        <v>8.0299997329711914</v>
      </c>
      <c r="M350" s="6">
        <v>0</v>
      </c>
      <c r="N350" s="5">
        <v>0</v>
      </c>
      <c r="O350" s="6">
        <v>0</v>
      </c>
      <c r="P350" s="5">
        <v>0</v>
      </c>
      <c r="Q350" s="6">
        <v>0</v>
      </c>
      <c r="R350" s="5">
        <v>0</v>
      </c>
      <c r="S350" s="6">
        <v>8.0299997329711914</v>
      </c>
      <c r="T350" s="5">
        <v>0.99999996674610114</v>
      </c>
      <c r="U350" s="4">
        <v>0</v>
      </c>
      <c r="V350" s="4">
        <v>0</v>
      </c>
      <c r="W350" s="4">
        <v>2025</v>
      </c>
    </row>
    <row r="351" spans="1:23" x14ac:dyDescent="0.25">
      <c r="A351" s="4">
        <v>3</v>
      </c>
      <c r="B351" s="4">
        <v>4</v>
      </c>
      <c r="C351" s="4">
        <v>3</v>
      </c>
      <c r="D351" s="4" t="s">
        <v>398</v>
      </c>
      <c r="E351" s="4" t="s">
        <v>393</v>
      </c>
      <c r="F351" s="4">
        <v>3.1</v>
      </c>
      <c r="G351" s="8">
        <v>3</v>
      </c>
      <c r="H351" s="8">
        <v>0</v>
      </c>
      <c r="I351" s="8">
        <v>0</v>
      </c>
      <c r="J351" s="8">
        <v>0</v>
      </c>
      <c r="K351" s="8">
        <v>0</v>
      </c>
      <c r="L351" s="8">
        <v>3.0999999046325684</v>
      </c>
      <c r="M351" s="6">
        <v>0</v>
      </c>
      <c r="N351" s="5">
        <v>0</v>
      </c>
      <c r="O351" s="6">
        <v>0</v>
      </c>
      <c r="P351" s="5">
        <v>0</v>
      </c>
      <c r="Q351" s="6">
        <v>0</v>
      </c>
      <c r="R351" s="5">
        <v>0</v>
      </c>
      <c r="S351" s="6">
        <v>3.0999999046325684</v>
      </c>
      <c r="T351" s="5">
        <v>0.99999996923631229</v>
      </c>
      <c r="U351" s="4">
        <v>0</v>
      </c>
      <c r="V351" s="4">
        <v>0</v>
      </c>
      <c r="W351" s="4">
        <v>2025</v>
      </c>
    </row>
    <row r="352" spans="1:23" x14ac:dyDescent="0.25">
      <c r="A352" s="4">
        <v>3</v>
      </c>
      <c r="B352" s="4">
        <v>4</v>
      </c>
      <c r="C352" s="4">
        <v>4</v>
      </c>
      <c r="D352" s="4" t="s">
        <v>399</v>
      </c>
      <c r="E352" s="4" t="s">
        <v>29</v>
      </c>
      <c r="F352" s="4">
        <v>0.7</v>
      </c>
      <c r="G352" s="8">
        <v>3.5</v>
      </c>
      <c r="H352" s="8">
        <v>0.69999998807907104</v>
      </c>
      <c r="I352" s="8">
        <v>0</v>
      </c>
      <c r="J352" s="8">
        <v>0</v>
      </c>
      <c r="K352" s="8">
        <v>0</v>
      </c>
      <c r="L352" s="8">
        <v>0</v>
      </c>
      <c r="M352" s="6">
        <v>0.69999998807907104</v>
      </c>
      <c r="N352" s="5">
        <v>0.99999998297010151</v>
      </c>
      <c r="O352" s="6">
        <v>0</v>
      </c>
      <c r="P352" s="5">
        <v>0</v>
      </c>
      <c r="Q352" s="6">
        <v>0</v>
      </c>
      <c r="R352" s="5">
        <v>0</v>
      </c>
      <c r="S352" s="6">
        <v>0</v>
      </c>
      <c r="T352" s="5">
        <v>0</v>
      </c>
      <c r="U352" s="4">
        <v>0</v>
      </c>
      <c r="V352" s="4">
        <v>0</v>
      </c>
      <c r="W352" s="4">
        <v>2025</v>
      </c>
    </row>
    <row r="353" spans="1:23" x14ac:dyDescent="0.25">
      <c r="A353" s="4">
        <v>3</v>
      </c>
      <c r="B353" s="4">
        <v>4</v>
      </c>
      <c r="C353" s="4">
        <v>5</v>
      </c>
      <c r="D353" s="4" t="s">
        <v>400</v>
      </c>
      <c r="E353" s="4" t="s">
        <v>29</v>
      </c>
      <c r="F353" s="4">
        <v>0.38</v>
      </c>
      <c r="G353" s="8">
        <v>3.5</v>
      </c>
      <c r="H353" s="8">
        <v>0.37999999523162842</v>
      </c>
      <c r="I353" s="8">
        <v>0</v>
      </c>
      <c r="J353" s="8">
        <v>0</v>
      </c>
      <c r="K353" s="8">
        <v>0</v>
      </c>
      <c r="L353" s="8">
        <v>0</v>
      </c>
      <c r="M353" s="6">
        <v>0.37999999523162842</v>
      </c>
      <c r="N353" s="5">
        <v>0.99999998745165375</v>
      </c>
      <c r="O353" s="6">
        <v>0</v>
      </c>
      <c r="P353" s="5">
        <v>0</v>
      </c>
      <c r="Q353" s="6">
        <v>0</v>
      </c>
      <c r="R353" s="5">
        <v>0</v>
      </c>
      <c r="S353" s="6">
        <v>0</v>
      </c>
      <c r="T353" s="5">
        <v>0</v>
      </c>
      <c r="U353" s="4">
        <v>0</v>
      </c>
      <c r="V353" s="4">
        <v>0</v>
      </c>
      <c r="W353" s="4">
        <v>2025</v>
      </c>
    </row>
    <row r="354" spans="1:23" x14ac:dyDescent="0.25">
      <c r="A354" s="4">
        <v>3</v>
      </c>
      <c r="B354" s="4">
        <v>4</v>
      </c>
      <c r="C354" s="4">
        <v>6</v>
      </c>
      <c r="D354" s="4" t="s">
        <v>401</v>
      </c>
      <c r="E354" s="4" t="s">
        <v>29</v>
      </c>
      <c r="F354" s="4">
        <v>0.4</v>
      </c>
      <c r="G354" s="8">
        <v>3.5</v>
      </c>
      <c r="H354" s="8">
        <v>0.40000000596046448</v>
      </c>
      <c r="I354" s="8">
        <v>0</v>
      </c>
      <c r="J354" s="8">
        <v>0</v>
      </c>
      <c r="K354" s="8">
        <v>0</v>
      </c>
      <c r="L354" s="8">
        <v>0</v>
      </c>
      <c r="M354" s="6">
        <v>0.40000000596046448</v>
      </c>
      <c r="N354" s="5">
        <v>1.0000000149011612</v>
      </c>
      <c r="O354" s="6">
        <v>0</v>
      </c>
      <c r="P354" s="5">
        <v>0</v>
      </c>
      <c r="Q354" s="6">
        <v>0</v>
      </c>
      <c r="R354" s="5">
        <v>0</v>
      </c>
      <c r="S354" s="6">
        <v>0</v>
      </c>
      <c r="T354" s="5">
        <v>0</v>
      </c>
      <c r="U354" s="4">
        <v>0</v>
      </c>
      <c r="V354" s="4">
        <v>0</v>
      </c>
      <c r="W354" s="4">
        <v>2025</v>
      </c>
    </row>
    <row r="355" spans="1:23" x14ac:dyDescent="0.25">
      <c r="A355" s="4">
        <v>3</v>
      </c>
      <c r="B355" s="4">
        <v>4</v>
      </c>
      <c r="C355" s="4">
        <v>7</v>
      </c>
      <c r="D355" s="4" t="s">
        <v>402</v>
      </c>
      <c r="E355" s="4" t="s">
        <v>209</v>
      </c>
      <c r="F355" s="4">
        <v>1.21</v>
      </c>
      <c r="G355" s="8">
        <v>3.5</v>
      </c>
      <c r="H355" s="8">
        <v>0.70999997854232788</v>
      </c>
      <c r="I355" s="8">
        <v>0</v>
      </c>
      <c r="J355" s="8">
        <v>0</v>
      </c>
      <c r="K355" s="8">
        <v>0.5</v>
      </c>
      <c r="L355" s="8">
        <v>0</v>
      </c>
      <c r="M355" s="6">
        <v>0</v>
      </c>
      <c r="N355" s="5">
        <v>0</v>
      </c>
      <c r="O355" s="6">
        <v>0</v>
      </c>
      <c r="P355" s="5">
        <v>0</v>
      </c>
      <c r="Q355" s="6">
        <v>0</v>
      </c>
      <c r="R355" s="5">
        <v>0</v>
      </c>
      <c r="S355" s="6">
        <v>1.2099999785423279</v>
      </c>
      <c r="T355" s="5">
        <v>0.99999998226638676</v>
      </c>
      <c r="U355" s="4">
        <v>0</v>
      </c>
      <c r="V355" s="4">
        <v>0</v>
      </c>
      <c r="W355" s="4">
        <v>2025</v>
      </c>
    </row>
    <row r="356" spans="1:23" x14ac:dyDescent="0.25">
      <c r="A356" s="4">
        <v>3</v>
      </c>
      <c r="B356" s="4">
        <v>4</v>
      </c>
      <c r="C356" s="4">
        <v>8</v>
      </c>
      <c r="D356" s="4" t="s">
        <v>403</v>
      </c>
      <c r="E356" s="4" t="s">
        <v>249</v>
      </c>
      <c r="F356" s="4">
        <v>1.1100000000000001</v>
      </c>
      <c r="G356" s="8">
        <v>3.5</v>
      </c>
      <c r="H356" s="8">
        <v>0</v>
      </c>
      <c r="I356" s="8">
        <v>0</v>
      </c>
      <c r="J356" s="8">
        <v>0</v>
      </c>
      <c r="K356" s="8">
        <v>1.1100000143051147</v>
      </c>
      <c r="L356" s="8">
        <v>0</v>
      </c>
      <c r="M356" s="6">
        <v>0</v>
      </c>
      <c r="N356" s="5">
        <v>0</v>
      </c>
      <c r="O356" s="6">
        <v>0</v>
      </c>
      <c r="P356" s="5">
        <v>0</v>
      </c>
      <c r="Q356" s="6">
        <v>0</v>
      </c>
      <c r="R356" s="5">
        <v>0</v>
      </c>
      <c r="S356" s="6">
        <v>1.1100000143051147</v>
      </c>
      <c r="T356" s="5">
        <v>1.0000000128874906</v>
      </c>
      <c r="U356" s="4">
        <v>0</v>
      </c>
      <c r="V356" s="4">
        <v>0</v>
      </c>
      <c r="W356" s="4">
        <v>2025</v>
      </c>
    </row>
    <row r="357" spans="1:23" x14ac:dyDescent="0.25">
      <c r="A357" s="4">
        <v>3</v>
      </c>
      <c r="B357" s="4">
        <v>4</v>
      </c>
      <c r="C357" s="4">
        <v>9</v>
      </c>
      <c r="D357" s="4" t="s">
        <v>404</v>
      </c>
      <c r="E357" s="4" t="s">
        <v>249</v>
      </c>
      <c r="F357" s="4">
        <v>0.36</v>
      </c>
      <c r="G357" s="8">
        <v>3</v>
      </c>
      <c r="H357" s="8">
        <v>0.36000001430511475</v>
      </c>
      <c r="I357" s="8">
        <v>0</v>
      </c>
      <c r="J357" s="8">
        <v>0</v>
      </c>
      <c r="K357" s="8">
        <v>0</v>
      </c>
      <c r="L357" s="8">
        <v>0</v>
      </c>
      <c r="M357" s="6">
        <v>0.10000000149011612</v>
      </c>
      <c r="N357" s="5">
        <v>0.27777778191698921</v>
      </c>
      <c r="O357" s="6">
        <v>0.25999999046325684</v>
      </c>
      <c r="P357" s="5">
        <v>0.722222195731269</v>
      </c>
      <c r="Q357" s="6">
        <v>0</v>
      </c>
      <c r="R357" s="5">
        <v>0</v>
      </c>
      <c r="S357" s="6">
        <v>0</v>
      </c>
      <c r="T357" s="5">
        <v>0</v>
      </c>
      <c r="U357" s="4">
        <v>0</v>
      </c>
      <c r="V357" s="4">
        <v>0</v>
      </c>
      <c r="W357" s="4">
        <v>2025</v>
      </c>
    </row>
    <row r="358" spans="1:23" x14ac:dyDescent="0.25">
      <c r="A358" s="4">
        <v>3</v>
      </c>
      <c r="B358" s="4">
        <v>5</v>
      </c>
      <c r="C358" s="4">
        <v>0</v>
      </c>
      <c r="D358" s="4" t="s">
        <v>405</v>
      </c>
      <c r="E358" s="4" t="s">
        <v>249</v>
      </c>
      <c r="F358" s="4">
        <v>0.69</v>
      </c>
      <c r="G358" s="8">
        <v>3</v>
      </c>
      <c r="H358" s="8">
        <v>0.60000002384185791</v>
      </c>
      <c r="I358" s="8">
        <v>0</v>
      </c>
      <c r="J358" s="8">
        <v>0</v>
      </c>
      <c r="K358" s="8">
        <v>0</v>
      </c>
      <c r="L358" s="8">
        <v>9.0000003576278687E-2</v>
      </c>
      <c r="M358" s="6">
        <v>0.20000000298023224</v>
      </c>
      <c r="N358" s="7">
        <v>0.28985507678294531</v>
      </c>
      <c r="O358" s="6">
        <v>0.40000000596046448</v>
      </c>
      <c r="P358" s="7">
        <v>0.57971015356589062</v>
      </c>
      <c r="Q358" s="6">
        <v>0</v>
      </c>
      <c r="R358" s="5">
        <v>0</v>
      </c>
      <c r="S358" s="6">
        <v>9.0000003576278687E-2</v>
      </c>
      <c r="T358" s="5">
        <v>0.13043478779170825</v>
      </c>
      <c r="U358" s="4">
        <v>0</v>
      </c>
      <c r="V358" s="4">
        <v>0</v>
      </c>
      <c r="W358" s="4">
        <v>2025</v>
      </c>
    </row>
    <row r="359" spans="1:23" x14ac:dyDescent="0.25">
      <c r="F359" s="2"/>
      <c r="M359" s="2"/>
      <c r="N359" s="3"/>
      <c r="O359" s="2"/>
      <c r="P359" s="3"/>
      <c r="Q359" s="2"/>
      <c r="S359" s="2"/>
    </row>
  </sheetData>
  <mergeCells count="19">
    <mergeCell ref="A6:C8"/>
    <mergeCell ref="D6:D8"/>
    <mergeCell ref="E6:E8"/>
    <mergeCell ref="F6:F8"/>
    <mergeCell ref="G6:G8"/>
    <mergeCell ref="L7:L8"/>
    <mergeCell ref="U6:U8"/>
    <mergeCell ref="V6:V8"/>
    <mergeCell ref="W6:W8"/>
    <mergeCell ref="M7:N7"/>
    <mergeCell ref="O7:P7"/>
    <mergeCell ref="Q7:R7"/>
    <mergeCell ref="S7:T7"/>
    <mergeCell ref="H6:L6"/>
    <mergeCell ref="M6:T6"/>
    <mergeCell ref="K7:K8"/>
    <mergeCell ref="H7:H8"/>
    <mergeCell ref="I7:I8"/>
    <mergeCell ref="J7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351"/>
  <sheetViews>
    <sheetView workbookViewId="0"/>
  </sheetViews>
  <sheetFormatPr defaultRowHeight="15" x14ac:dyDescent="0.25"/>
  <cols>
    <col min="1" max="1" width="7" customWidth="1"/>
    <col min="2" max="2" width="10" customWidth="1"/>
    <col min="3" max="3" width="34" customWidth="1"/>
    <col min="4" max="4" width="18" customWidth="1"/>
    <col min="5" max="6" width="12" customWidth="1"/>
    <col min="7" max="9" width="11" customWidth="1"/>
    <col min="10" max="14" width="16" customWidth="1"/>
    <col min="15" max="22" width="14" customWidth="1"/>
    <col min="23" max="27" width="15" customWidth="1"/>
    <col min="28" max="28" width="21" customWidth="1"/>
    <col min="29" max="31" width="14" customWidth="1"/>
    <col min="32" max="42" width="15" customWidth="1"/>
  </cols>
  <sheetData>
    <row r="1" spans="1:42" ht="42" customHeight="1" x14ac:dyDescent="0.25">
      <c r="A1" s="16" t="s">
        <v>5</v>
      </c>
      <c r="B1" s="16" t="s">
        <v>7</v>
      </c>
      <c r="C1" s="16" t="s">
        <v>8</v>
      </c>
      <c r="D1" s="16" t="s">
        <v>406</v>
      </c>
      <c r="E1" s="16" t="s">
        <v>407</v>
      </c>
      <c r="F1" s="16" t="s">
        <v>408</v>
      </c>
      <c r="G1" s="16" t="s">
        <v>409</v>
      </c>
      <c r="H1" s="16" t="s">
        <v>410</v>
      </c>
      <c r="I1" s="16" t="s">
        <v>411</v>
      </c>
      <c r="J1" s="16" t="s">
        <v>412</v>
      </c>
      <c r="K1" s="16" t="s">
        <v>413</v>
      </c>
      <c r="L1" s="16" t="s">
        <v>414</v>
      </c>
      <c r="M1" s="16" t="s">
        <v>415</v>
      </c>
      <c r="N1" s="16" t="s">
        <v>416</v>
      </c>
      <c r="O1" s="16" t="s">
        <v>417</v>
      </c>
      <c r="P1" s="16" t="s">
        <v>418</v>
      </c>
      <c r="Q1" s="16" t="s">
        <v>419</v>
      </c>
      <c r="R1" s="16" t="s">
        <v>420</v>
      </c>
      <c r="S1" s="16" t="s">
        <v>421</v>
      </c>
      <c r="T1" s="16" t="s">
        <v>422</v>
      </c>
      <c r="U1" s="16" t="s">
        <v>423</v>
      </c>
      <c r="V1" s="16" t="s">
        <v>424</v>
      </c>
      <c r="W1" s="16" t="s">
        <v>425</v>
      </c>
      <c r="X1" s="16" t="s">
        <v>426</v>
      </c>
      <c r="Y1" s="16" t="s">
        <v>427</v>
      </c>
      <c r="Z1" s="16" t="s">
        <v>428</v>
      </c>
      <c r="AA1" s="16" t="s">
        <v>429</v>
      </c>
      <c r="AB1" s="16" t="s">
        <v>430</v>
      </c>
      <c r="AC1" s="16" t="s">
        <v>431</v>
      </c>
      <c r="AD1" s="16" t="s">
        <v>432</v>
      </c>
      <c r="AE1" s="16" t="s">
        <v>433</v>
      </c>
      <c r="AF1" s="74" t="s">
        <v>434</v>
      </c>
      <c r="AG1" s="74" t="s">
        <v>435</v>
      </c>
      <c r="AH1" s="74" t="s">
        <v>436</v>
      </c>
      <c r="AI1" s="74" t="s">
        <v>437</v>
      </c>
      <c r="AJ1" s="74" t="s">
        <v>438</v>
      </c>
      <c r="AK1" s="74" t="s">
        <v>439</v>
      </c>
      <c r="AL1" s="74" t="s">
        <v>440</v>
      </c>
      <c r="AM1" s="74" t="s">
        <v>441</v>
      </c>
      <c r="AN1" s="74" t="s">
        <v>442</v>
      </c>
      <c r="AO1" s="74" t="s">
        <v>443</v>
      </c>
      <c r="AP1" s="74" t="s">
        <v>444</v>
      </c>
    </row>
    <row r="2" spans="1:42" x14ac:dyDescent="0.25">
      <c r="A2" s="17">
        <v>1</v>
      </c>
      <c r="B2" s="17" t="s">
        <v>445</v>
      </c>
      <c r="C2" s="21" t="s">
        <v>28</v>
      </c>
      <c r="D2" s="17" t="s">
        <v>29</v>
      </c>
      <c r="E2" s="18">
        <v>0.56000000000000005</v>
      </c>
      <c r="F2" s="18">
        <v>12</v>
      </c>
      <c r="G2" s="18">
        <v>0</v>
      </c>
      <c r="H2" s="18"/>
      <c r="I2" s="18">
        <v>2025</v>
      </c>
      <c r="J2" s="18">
        <v>0.56000000238418579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9">
        <v>0</v>
      </c>
      <c r="Q2" s="18">
        <v>0.36000001430511475</v>
      </c>
      <c r="R2" s="19">
        <v>0.64285716840199059</v>
      </c>
      <c r="S2" s="18">
        <v>0.20000000298023224</v>
      </c>
      <c r="T2" s="19">
        <v>0.35714286246470039</v>
      </c>
      <c r="U2" s="18">
        <v>0</v>
      </c>
      <c r="V2" s="19">
        <v>0</v>
      </c>
      <c r="W2">
        <f t="shared" ref="W2:W65" si="0">O2+Q2</f>
        <v>0.36000001430511475</v>
      </c>
      <c r="X2" s="19">
        <f t="shared" ref="X2:X65" si="1">IFERROR(W2/E2,0)</f>
        <v>0.64285716840199059</v>
      </c>
      <c r="Y2">
        <f t="shared" ref="Y2:Y65" si="2">S2+U2</f>
        <v>0.20000000298023224</v>
      </c>
      <c r="Z2" s="19">
        <f t="shared" ref="Z2:Z65" si="3">IFERROR(Y2/E2,0)</f>
        <v>0.35714286246470039</v>
      </c>
      <c r="AA2" s="19">
        <f t="shared" ref="AA2:AA65" si="4">0.25*R2+0.6*T2+V2</f>
        <v>0.37500000957931789</v>
      </c>
      <c r="AB2" t="str">
        <f t="shared" ref="AB2:AB65" si="5">IF(V2&gt;=0.2,"Rusak Berat Dominan",IF(Z2&gt;=0.5,"Tidak Mantap Tinggi",IF(Z2&gt;=0.2,"Tidak Mantap Sedang","Relatif Mantap")))</f>
        <v>Tidak Mantap Sedang</v>
      </c>
      <c r="AC2" s="19">
        <f>IF(Dashboard!$B$7="Mantap (%)",X2,IF(Dashboard!$B$7="Tidak Mantap (%)",Z2,IF(Dashboard!$B$7="Baik (%)",P2,IF(Dashboard!$B$7="Sedang (%)",R2,IF(Dashboard!$B$7="Rusak Ringan (%)",T2,IF(Dashboard!$B$7="Rusak Berat (%)",V2,AA2))))))</f>
        <v>0.35714286246470039</v>
      </c>
      <c r="AD2" s="20">
        <f>IF(AND(AF2=1,E2&gt;=Dashboard!$B$10,IF(Dashboard!$B$9="≤ Maksimum",AC2&lt;=Dashboard!$B$8,AC2&gt;=Dashboard!$B$8)),1,0)</f>
        <v>1</v>
      </c>
      <c r="AE2" s="20">
        <f>IF(AD2=1,COUNTIFS($AD$2:$AD$351,1,$AC$2:$AC$351,"&gt;"&amp;AC2)+COUNTIFS($AD$2:AD2,1,$AC$2:AC2,AC2),"")</f>
        <v>158</v>
      </c>
      <c r="AF2" s="20">
        <f>IF(OR(Dashboard!$B$6="Semua",ISNUMBER(SEARCH(Dashboard!$B$6,D2))),1,0)</f>
        <v>1</v>
      </c>
      <c r="AG2" s="18">
        <f t="shared" ref="AG2:AG65" si="6">AF2*E2</f>
        <v>0.56000000000000005</v>
      </c>
      <c r="AH2" s="18">
        <f t="shared" ref="AH2:AH65" si="7">AF2*W2</f>
        <v>0.36000001430511475</v>
      </c>
      <c r="AI2" s="18">
        <f t="shared" ref="AI2:AI65" si="8">AF2*Y2</f>
        <v>0.20000000298023224</v>
      </c>
      <c r="AJ2" s="18">
        <f t="shared" ref="AJ2:AJ65" si="9">AF2*U2</f>
        <v>0</v>
      </c>
      <c r="AK2" s="20">
        <f>IF(OR(Ruas_Per_Kecamatan!$B$4="Semua",ISNUMBER(SEARCH(Ruas_Per_Kecamatan!$B$4,D2))),1,0)</f>
        <v>1</v>
      </c>
      <c r="AL2" s="20">
        <f>IF(AK2=1,COUNTIF($AK$2:AK2,1),"")</f>
        <v>1</v>
      </c>
      <c r="AM2" s="18">
        <f t="shared" ref="AM2:AM65" si="10">AK2*E2</f>
        <v>0.56000000000000005</v>
      </c>
      <c r="AN2" s="18">
        <f t="shared" ref="AN2:AN65" si="11">AK2*W2</f>
        <v>0.36000001430511475</v>
      </c>
      <c r="AO2" s="18">
        <f t="shared" ref="AO2:AO65" si="12">AK2*Y2</f>
        <v>0.20000000298023224</v>
      </c>
      <c r="AP2" s="18">
        <f t="shared" ref="AP2:AP65" si="13">AK2*U2</f>
        <v>0</v>
      </c>
    </row>
    <row r="3" spans="1:42" x14ac:dyDescent="0.25">
      <c r="A3" s="17">
        <v>2</v>
      </c>
      <c r="B3" s="17" t="s">
        <v>446</v>
      </c>
      <c r="C3" s="21" t="s">
        <v>30</v>
      </c>
      <c r="D3" s="17" t="s">
        <v>29</v>
      </c>
      <c r="E3" s="18">
        <v>0.52</v>
      </c>
      <c r="F3" s="18">
        <v>6</v>
      </c>
      <c r="G3" s="18">
        <v>0</v>
      </c>
      <c r="H3" s="18"/>
      <c r="I3" s="18">
        <v>2025</v>
      </c>
      <c r="J3" s="18">
        <v>0.51999998092651367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9">
        <v>0</v>
      </c>
      <c r="Q3" s="18">
        <v>0.51999998092651367</v>
      </c>
      <c r="R3" s="19">
        <v>0.99999996332021857</v>
      </c>
      <c r="S3" s="18">
        <v>0</v>
      </c>
      <c r="T3" s="19">
        <v>0</v>
      </c>
      <c r="U3" s="18">
        <v>0</v>
      </c>
      <c r="V3" s="19">
        <v>0</v>
      </c>
      <c r="W3">
        <f t="shared" si="0"/>
        <v>0.51999998092651367</v>
      </c>
      <c r="X3" s="19">
        <f t="shared" si="1"/>
        <v>0.99999996332021857</v>
      </c>
      <c r="Y3">
        <f t="shared" si="2"/>
        <v>0</v>
      </c>
      <c r="Z3" s="19">
        <f t="shared" si="3"/>
        <v>0</v>
      </c>
      <c r="AA3" s="19">
        <f t="shared" si="4"/>
        <v>0.24999999083005464</v>
      </c>
      <c r="AB3" t="str">
        <f t="shared" si="5"/>
        <v>Relatif Mantap</v>
      </c>
      <c r="AC3" s="19">
        <f>IF(Dashboard!$B$7="Mantap (%)",X3,IF(Dashboard!$B$7="Tidak Mantap (%)",Z3,IF(Dashboard!$B$7="Baik (%)",P3,IF(Dashboard!$B$7="Sedang (%)",R3,IF(Dashboard!$B$7="Rusak Ringan (%)",T3,IF(Dashboard!$B$7="Rusak Berat (%)",V3,AA3))))))</f>
        <v>0</v>
      </c>
      <c r="AD3" s="20">
        <f>IF(AND(AF3=1,E3&gt;=Dashboard!$B$10,IF(Dashboard!$B$9="≤ Maksimum",AC3&lt;=Dashboard!$B$8,AC3&gt;=Dashboard!$B$8)),1,0)</f>
        <v>0</v>
      </c>
      <c r="AE3" s="20" t="str">
        <f>IF(AD3=1,COUNTIFS($AD$2:$AD$351,1,$AC$2:$AC$351,"&gt;"&amp;AC3)+COUNTIFS($AD$2:AD3,1,$AC$2:AC3,AC3),"")</f>
        <v/>
      </c>
      <c r="AF3" s="20">
        <f>IF(OR(Dashboard!$B$6="Semua",ISNUMBER(SEARCH(Dashboard!$B$6,D3))),1,0)</f>
        <v>1</v>
      </c>
      <c r="AG3" s="18">
        <f t="shared" si="6"/>
        <v>0.52</v>
      </c>
      <c r="AH3" s="18">
        <f t="shared" si="7"/>
        <v>0.51999998092651367</v>
      </c>
      <c r="AI3" s="18">
        <f t="shared" si="8"/>
        <v>0</v>
      </c>
      <c r="AJ3" s="18">
        <f t="shared" si="9"/>
        <v>0</v>
      </c>
      <c r="AK3" s="20">
        <f>IF(OR(Ruas_Per_Kecamatan!$B$4="Semua",ISNUMBER(SEARCH(Ruas_Per_Kecamatan!$B$4,D3))),1,0)</f>
        <v>1</v>
      </c>
      <c r="AL3" s="20">
        <f>IF(AK3=1,COUNTIF($AK$2:AK3,1),"")</f>
        <v>2</v>
      </c>
      <c r="AM3" s="18">
        <f t="shared" si="10"/>
        <v>0.52</v>
      </c>
      <c r="AN3" s="18">
        <f t="shared" si="11"/>
        <v>0.51999998092651367</v>
      </c>
      <c r="AO3" s="18">
        <f t="shared" si="12"/>
        <v>0</v>
      </c>
      <c r="AP3" s="18">
        <f t="shared" si="13"/>
        <v>0</v>
      </c>
    </row>
    <row r="4" spans="1:42" ht="30" x14ac:dyDescent="0.25">
      <c r="A4" s="17">
        <v>3</v>
      </c>
      <c r="B4" s="17" t="s">
        <v>447</v>
      </c>
      <c r="C4" s="21" t="s">
        <v>31</v>
      </c>
      <c r="D4" s="17" t="s">
        <v>29</v>
      </c>
      <c r="E4" s="18">
        <v>0.28000000000000003</v>
      </c>
      <c r="F4" s="18">
        <v>6</v>
      </c>
      <c r="G4" s="18">
        <v>0</v>
      </c>
      <c r="H4" s="18"/>
      <c r="I4" s="18">
        <v>2025</v>
      </c>
      <c r="J4" s="18">
        <v>0</v>
      </c>
      <c r="K4" s="18">
        <v>0</v>
      </c>
      <c r="L4" s="18">
        <v>0.2800000011920929</v>
      </c>
      <c r="M4" s="18">
        <v>0</v>
      </c>
      <c r="N4" s="18">
        <v>0</v>
      </c>
      <c r="O4" s="18">
        <v>0.2800000011920929</v>
      </c>
      <c r="P4" s="19">
        <v>1.0000000042574746</v>
      </c>
      <c r="Q4" s="18">
        <v>0</v>
      </c>
      <c r="R4" s="19">
        <v>0</v>
      </c>
      <c r="S4" s="18">
        <v>0</v>
      </c>
      <c r="T4" s="19">
        <v>0</v>
      </c>
      <c r="U4" s="18">
        <v>0</v>
      </c>
      <c r="V4" s="19">
        <v>0</v>
      </c>
      <c r="W4">
        <f t="shared" si="0"/>
        <v>0.2800000011920929</v>
      </c>
      <c r="X4" s="19">
        <f t="shared" si="1"/>
        <v>1.0000000042574746</v>
      </c>
      <c r="Y4">
        <f t="shared" si="2"/>
        <v>0</v>
      </c>
      <c r="Z4" s="19">
        <f t="shared" si="3"/>
        <v>0</v>
      </c>
      <c r="AA4" s="19">
        <f t="shared" si="4"/>
        <v>0</v>
      </c>
      <c r="AB4" t="str">
        <f t="shared" si="5"/>
        <v>Relatif Mantap</v>
      </c>
      <c r="AC4" s="19">
        <f>IF(Dashboard!$B$7="Mantap (%)",X4,IF(Dashboard!$B$7="Tidak Mantap (%)",Z4,IF(Dashboard!$B$7="Baik (%)",P4,IF(Dashboard!$B$7="Sedang (%)",R4,IF(Dashboard!$B$7="Rusak Ringan (%)",T4,IF(Dashboard!$B$7="Rusak Berat (%)",V4,AA4))))))</f>
        <v>0</v>
      </c>
      <c r="AD4" s="20">
        <f>IF(AND(AF4=1,E4&gt;=Dashboard!$B$10,IF(Dashboard!$B$9="≤ Maksimum",AC4&lt;=Dashboard!$B$8,AC4&gt;=Dashboard!$B$8)),1,0)</f>
        <v>0</v>
      </c>
      <c r="AE4" s="20" t="str">
        <f>IF(AD4=1,COUNTIFS($AD$2:$AD$351,1,$AC$2:$AC$351,"&gt;"&amp;AC4)+COUNTIFS($AD$2:AD4,1,$AC$2:AC4,AC4),"")</f>
        <v/>
      </c>
      <c r="AF4" s="20">
        <f>IF(OR(Dashboard!$B$6="Semua",ISNUMBER(SEARCH(Dashboard!$B$6,D4))),1,0)</f>
        <v>1</v>
      </c>
      <c r="AG4" s="18">
        <f t="shared" si="6"/>
        <v>0.28000000000000003</v>
      </c>
      <c r="AH4" s="18">
        <f t="shared" si="7"/>
        <v>0.2800000011920929</v>
      </c>
      <c r="AI4" s="18">
        <f t="shared" si="8"/>
        <v>0</v>
      </c>
      <c r="AJ4" s="18">
        <f t="shared" si="9"/>
        <v>0</v>
      </c>
      <c r="AK4" s="20">
        <f>IF(OR(Ruas_Per_Kecamatan!$B$4="Semua",ISNUMBER(SEARCH(Ruas_Per_Kecamatan!$B$4,D4))),1,0)</f>
        <v>1</v>
      </c>
      <c r="AL4" s="20">
        <f>IF(AK4=1,COUNTIF($AK$2:AK4,1),"")</f>
        <v>3</v>
      </c>
      <c r="AM4" s="18">
        <f t="shared" si="10"/>
        <v>0.28000000000000003</v>
      </c>
      <c r="AN4" s="18">
        <f t="shared" si="11"/>
        <v>0.2800000011920929</v>
      </c>
      <c r="AO4" s="18">
        <f t="shared" si="12"/>
        <v>0</v>
      </c>
      <c r="AP4" s="18">
        <f t="shared" si="13"/>
        <v>0</v>
      </c>
    </row>
    <row r="5" spans="1:42" x14ac:dyDescent="0.25">
      <c r="A5" s="17">
        <v>4</v>
      </c>
      <c r="B5" s="17" t="s">
        <v>448</v>
      </c>
      <c r="C5" s="21" t="s">
        <v>32</v>
      </c>
      <c r="D5" s="17" t="s">
        <v>29</v>
      </c>
      <c r="E5" s="18">
        <v>0.26</v>
      </c>
      <c r="F5" s="18">
        <v>5</v>
      </c>
      <c r="G5" s="18">
        <v>0</v>
      </c>
      <c r="H5" s="18"/>
      <c r="I5" s="18">
        <v>2025</v>
      </c>
      <c r="J5" s="18">
        <v>0.25999999046325684</v>
      </c>
      <c r="K5" s="18">
        <v>0</v>
      </c>
      <c r="L5" s="18">
        <v>0</v>
      </c>
      <c r="M5" s="18">
        <v>0</v>
      </c>
      <c r="N5" s="18">
        <v>0</v>
      </c>
      <c r="O5" s="18">
        <v>0.25999999046325684</v>
      </c>
      <c r="P5" s="19">
        <v>0.99999996332021857</v>
      </c>
      <c r="Q5" s="18">
        <v>0</v>
      </c>
      <c r="R5" s="19">
        <v>0</v>
      </c>
      <c r="S5" s="18">
        <v>0</v>
      </c>
      <c r="T5" s="19">
        <v>0</v>
      </c>
      <c r="U5" s="18">
        <v>0</v>
      </c>
      <c r="V5" s="19">
        <v>0</v>
      </c>
      <c r="W5">
        <f t="shared" si="0"/>
        <v>0.25999999046325684</v>
      </c>
      <c r="X5" s="19">
        <f t="shared" si="1"/>
        <v>0.99999996332021857</v>
      </c>
      <c r="Y5">
        <f t="shared" si="2"/>
        <v>0</v>
      </c>
      <c r="Z5" s="19">
        <f t="shared" si="3"/>
        <v>0</v>
      </c>
      <c r="AA5" s="19">
        <f t="shared" si="4"/>
        <v>0</v>
      </c>
      <c r="AB5" t="str">
        <f t="shared" si="5"/>
        <v>Relatif Mantap</v>
      </c>
      <c r="AC5" s="19">
        <f>IF(Dashboard!$B$7="Mantap (%)",X5,IF(Dashboard!$B$7="Tidak Mantap (%)",Z5,IF(Dashboard!$B$7="Baik (%)",P5,IF(Dashboard!$B$7="Sedang (%)",R5,IF(Dashboard!$B$7="Rusak Ringan (%)",T5,IF(Dashboard!$B$7="Rusak Berat (%)",V5,AA5))))))</f>
        <v>0</v>
      </c>
      <c r="AD5" s="20">
        <f>IF(AND(AF5=1,E5&gt;=Dashboard!$B$10,IF(Dashboard!$B$9="≤ Maksimum",AC5&lt;=Dashboard!$B$8,AC5&gt;=Dashboard!$B$8)),1,0)</f>
        <v>0</v>
      </c>
      <c r="AE5" s="20" t="str">
        <f>IF(AD5=1,COUNTIFS($AD$2:$AD$351,1,$AC$2:$AC$351,"&gt;"&amp;AC5)+COUNTIFS($AD$2:AD5,1,$AC$2:AC5,AC5),"")</f>
        <v/>
      </c>
      <c r="AF5" s="20">
        <f>IF(OR(Dashboard!$B$6="Semua",ISNUMBER(SEARCH(Dashboard!$B$6,D5))),1,0)</f>
        <v>1</v>
      </c>
      <c r="AG5" s="18">
        <f t="shared" si="6"/>
        <v>0.26</v>
      </c>
      <c r="AH5" s="18">
        <f t="shared" si="7"/>
        <v>0.25999999046325684</v>
      </c>
      <c r="AI5" s="18">
        <f t="shared" si="8"/>
        <v>0</v>
      </c>
      <c r="AJ5" s="18">
        <f t="shared" si="9"/>
        <v>0</v>
      </c>
      <c r="AK5" s="20">
        <f>IF(OR(Ruas_Per_Kecamatan!$B$4="Semua",ISNUMBER(SEARCH(Ruas_Per_Kecamatan!$B$4,D5))),1,0)</f>
        <v>1</v>
      </c>
      <c r="AL5" s="20">
        <f>IF(AK5=1,COUNTIF($AK$2:AK5,1),"")</f>
        <v>4</v>
      </c>
      <c r="AM5" s="18">
        <f t="shared" si="10"/>
        <v>0.26</v>
      </c>
      <c r="AN5" s="18">
        <f t="shared" si="11"/>
        <v>0.25999999046325684</v>
      </c>
      <c r="AO5" s="18">
        <f t="shared" si="12"/>
        <v>0</v>
      </c>
      <c r="AP5" s="18">
        <f t="shared" si="13"/>
        <v>0</v>
      </c>
    </row>
    <row r="6" spans="1:42" x14ac:dyDescent="0.25">
      <c r="A6" s="17">
        <v>5</v>
      </c>
      <c r="B6" s="17" t="s">
        <v>449</v>
      </c>
      <c r="C6" s="21" t="s">
        <v>33</v>
      </c>
      <c r="D6" s="17" t="s">
        <v>29</v>
      </c>
      <c r="E6" s="18">
        <v>1.43</v>
      </c>
      <c r="F6" s="18">
        <v>5</v>
      </c>
      <c r="G6" s="18">
        <v>0</v>
      </c>
      <c r="H6" s="18"/>
      <c r="I6" s="18">
        <v>2025</v>
      </c>
      <c r="J6" s="18">
        <v>1.4299999475479126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9">
        <v>0</v>
      </c>
      <c r="Q6" s="18">
        <v>1.2300000190734863</v>
      </c>
      <c r="R6" s="19">
        <v>0.8601398734779625</v>
      </c>
      <c r="S6" s="18">
        <v>0.20000000298023224</v>
      </c>
      <c r="T6" s="19">
        <v>0.13986014194421836</v>
      </c>
      <c r="U6" s="18">
        <v>0</v>
      </c>
      <c r="V6" s="19">
        <v>0</v>
      </c>
      <c r="W6">
        <f t="shared" si="0"/>
        <v>1.2300000190734863</v>
      </c>
      <c r="X6" s="19">
        <f t="shared" si="1"/>
        <v>0.8601398734779625</v>
      </c>
      <c r="Y6">
        <f t="shared" si="2"/>
        <v>0.20000000298023224</v>
      </c>
      <c r="Z6" s="19">
        <f t="shared" si="3"/>
        <v>0.13986014194421836</v>
      </c>
      <c r="AA6" s="19">
        <f t="shared" si="4"/>
        <v>0.29895105353602164</v>
      </c>
      <c r="AB6" t="str">
        <f t="shared" si="5"/>
        <v>Relatif Mantap</v>
      </c>
      <c r="AC6" s="19">
        <f>IF(Dashboard!$B$7="Mantap (%)",X6,IF(Dashboard!$B$7="Tidak Mantap (%)",Z6,IF(Dashboard!$B$7="Baik (%)",P6,IF(Dashboard!$B$7="Sedang (%)",R6,IF(Dashboard!$B$7="Rusak Ringan (%)",T6,IF(Dashboard!$B$7="Rusak Berat (%)",V6,AA6))))))</f>
        <v>0.13986014194421836</v>
      </c>
      <c r="AD6" s="20">
        <f>IF(AND(AF6=1,E6&gt;=Dashboard!$B$10,IF(Dashboard!$B$9="≤ Maksimum",AC6&lt;=Dashboard!$B$8,AC6&gt;=Dashboard!$B$8)),1,0)</f>
        <v>0</v>
      </c>
      <c r="AE6" s="20" t="str">
        <f>IF(AD6=1,COUNTIFS($AD$2:$AD$351,1,$AC$2:$AC$351,"&gt;"&amp;AC6)+COUNTIFS($AD$2:AD6,1,$AC$2:AC6,AC6),"")</f>
        <v/>
      </c>
      <c r="AF6" s="20">
        <f>IF(OR(Dashboard!$B$6="Semua",ISNUMBER(SEARCH(Dashboard!$B$6,D6))),1,0)</f>
        <v>1</v>
      </c>
      <c r="AG6" s="18">
        <f t="shared" si="6"/>
        <v>1.43</v>
      </c>
      <c r="AH6" s="18">
        <f t="shared" si="7"/>
        <v>1.2300000190734863</v>
      </c>
      <c r="AI6" s="18">
        <f t="shared" si="8"/>
        <v>0.20000000298023224</v>
      </c>
      <c r="AJ6" s="18">
        <f t="shared" si="9"/>
        <v>0</v>
      </c>
      <c r="AK6" s="20">
        <f>IF(OR(Ruas_Per_Kecamatan!$B$4="Semua",ISNUMBER(SEARCH(Ruas_Per_Kecamatan!$B$4,D6))),1,0)</f>
        <v>1</v>
      </c>
      <c r="AL6" s="20">
        <f>IF(AK6=1,COUNTIF($AK$2:AK6,1),"")</f>
        <v>5</v>
      </c>
      <c r="AM6" s="18">
        <f t="shared" si="10"/>
        <v>1.43</v>
      </c>
      <c r="AN6" s="18">
        <f t="shared" si="11"/>
        <v>1.2300000190734863</v>
      </c>
      <c r="AO6" s="18">
        <f t="shared" si="12"/>
        <v>0.20000000298023224</v>
      </c>
      <c r="AP6" s="18">
        <f t="shared" si="13"/>
        <v>0</v>
      </c>
    </row>
    <row r="7" spans="1:42" x14ac:dyDescent="0.25">
      <c r="A7" s="17">
        <v>6</v>
      </c>
      <c r="B7" s="17" t="s">
        <v>450</v>
      </c>
      <c r="C7" s="21" t="s">
        <v>34</v>
      </c>
      <c r="D7" s="17" t="s">
        <v>29</v>
      </c>
      <c r="E7" s="18">
        <v>0.82</v>
      </c>
      <c r="F7" s="18">
        <v>6</v>
      </c>
      <c r="G7" s="18">
        <v>0</v>
      </c>
      <c r="H7" s="18"/>
      <c r="I7" s="18">
        <v>2025</v>
      </c>
      <c r="J7" s="18">
        <v>0.81999999284744263</v>
      </c>
      <c r="K7" s="18">
        <v>0</v>
      </c>
      <c r="L7" s="18">
        <v>0</v>
      </c>
      <c r="M7" s="18">
        <v>0</v>
      </c>
      <c r="N7" s="18">
        <v>0</v>
      </c>
      <c r="O7" s="18">
        <v>0.81999999284744263</v>
      </c>
      <c r="P7" s="19">
        <v>0.99999999127736916</v>
      </c>
      <c r="Q7" s="18">
        <v>0</v>
      </c>
      <c r="R7" s="19">
        <v>0</v>
      </c>
      <c r="S7" s="18">
        <v>0</v>
      </c>
      <c r="T7" s="19">
        <v>0</v>
      </c>
      <c r="U7" s="18">
        <v>0</v>
      </c>
      <c r="V7" s="19">
        <v>0</v>
      </c>
      <c r="W7">
        <f t="shared" si="0"/>
        <v>0.81999999284744263</v>
      </c>
      <c r="X7" s="19">
        <f t="shared" si="1"/>
        <v>0.99999999127736916</v>
      </c>
      <c r="Y7">
        <f t="shared" si="2"/>
        <v>0</v>
      </c>
      <c r="Z7" s="19">
        <f t="shared" si="3"/>
        <v>0</v>
      </c>
      <c r="AA7" s="19">
        <f t="shared" si="4"/>
        <v>0</v>
      </c>
      <c r="AB7" t="str">
        <f t="shared" si="5"/>
        <v>Relatif Mantap</v>
      </c>
      <c r="AC7" s="19">
        <f>IF(Dashboard!$B$7="Mantap (%)",X7,IF(Dashboard!$B$7="Tidak Mantap (%)",Z7,IF(Dashboard!$B$7="Baik (%)",P7,IF(Dashboard!$B$7="Sedang (%)",R7,IF(Dashboard!$B$7="Rusak Ringan (%)",T7,IF(Dashboard!$B$7="Rusak Berat (%)",V7,AA7))))))</f>
        <v>0</v>
      </c>
      <c r="AD7" s="20">
        <f>IF(AND(AF7=1,E7&gt;=Dashboard!$B$10,IF(Dashboard!$B$9="≤ Maksimum",AC7&lt;=Dashboard!$B$8,AC7&gt;=Dashboard!$B$8)),1,0)</f>
        <v>0</v>
      </c>
      <c r="AE7" s="20" t="str">
        <f>IF(AD7=1,COUNTIFS($AD$2:$AD$351,1,$AC$2:$AC$351,"&gt;"&amp;AC7)+COUNTIFS($AD$2:AD7,1,$AC$2:AC7,AC7),"")</f>
        <v/>
      </c>
      <c r="AF7" s="20">
        <f>IF(OR(Dashboard!$B$6="Semua",ISNUMBER(SEARCH(Dashboard!$B$6,D7))),1,0)</f>
        <v>1</v>
      </c>
      <c r="AG7" s="18">
        <f t="shared" si="6"/>
        <v>0.82</v>
      </c>
      <c r="AH7" s="18">
        <f t="shared" si="7"/>
        <v>0.81999999284744263</v>
      </c>
      <c r="AI7" s="18">
        <f t="shared" si="8"/>
        <v>0</v>
      </c>
      <c r="AJ7" s="18">
        <f t="shared" si="9"/>
        <v>0</v>
      </c>
      <c r="AK7" s="20">
        <f>IF(OR(Ruas_Per_Kecamatan!$B$4="Semua",ISNUMBER(SEARCH(Ruas_Per_Kecamatan!$B$4,D7))),1,0)</f>
        <v>1</v>
      </c>
      <c r="AL7" s="20">
        <f>IF(AK7=1,COUNTIF($AK$2:AK7,1),"")</f>
        <v>6</v>
      </c>
      <c r="AM7" s="18">
        <f t="shared" si="10"/>
        <v>0.82</v>
      </c>
      <c r="AN7" s="18">
        <f t="shared" si="11"/>
        <v>0.81999999284744263</v>
      </c>
      <c r="AO7" s="18">
        <f t="shared" si="12"/>
        <v>0</v>
      </c>
      <c r="AP7" s="18">
        <f t="shared" si="13"/>
        <v>0</v>
      </c>
    </row>
    <row r="8" spans="1:42" x14ac:dyDescent="0.25">
      <c r="A8" s="17">
        <v>7</v>
      </c>
      <c r="B8" s="17" t="s">
        <v>451</v>
      </c>
      <c r="C8" s="21" t="s">
        <v>35</v>
      </c>
      <c r="D8" s="17" t="s">
        <v>29</v>
      </c>
      <c r="E8" s="18">
        <v>0.28999999999999998</v>
      </c>
      <c r="F8" s="18">
        <v>12</v>
      </c>
      <c r="G8" s="18">
        <v>0</v>
      </c>
      <c r="H8" s="18"/>
      <c r="I8" s="18">
        <v>2025</v>
      </c>
      <c r="J8" s="18">
        <v>0.28999999165534973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9">
        <v>0</v>
      </c>
      <c r="Q8" s="18">
        <v>0.28999999165534973</v>
      </c>
      <c r="R8" s="19">
        <v>0.99999997122534401</v>
      </c>
      <c r="S8" s="18">
        <v>0</v>
      </c>
      <c r="T8" s="19">
        <v>0</v>
      </c>
      <c r="U8" s="18">
        <v>0</v>
      </c>
      <c r="V8" s="19">
        <v>0</v>
      </c>
      <c r="W8">
        <f t="shared" si="0"/>
        <v>0.28999999165534973</v>
      </c>
      <c r="X8" s="19">
        <f t="shared" si="1"/>
        <v>0.99999997122534401</v>
      </c>
      <c r="Y8">
        <f t="shared" si="2"/>
        <v>0</v>
      </c>
      <c r="Z8" s="19">
        <f t="shared" si="3"/>
        <v>0</v>
      </c>
      <c r="AA8" s="19">
        <f t="shared" si="4"/>
        <v>0.249999992806336</v>
      </c>
      <c r="AB8" t="str">
        <f t="shared" si="5"/>
        <v>Relatif Mantap</v>
      </c>
      <c r="AC8" s="19">
        <f>IF(Dashboard!$B$7="Mantap (%)",X8,IF(Dashboard!$B$7="Tidak Mantap (%)",Z8,IF(Dashboard!$B$7="Baik (%)",P8,IF(Dashboard!$B$7="Sedang (%)",R8,IF(Dashboard!$B$7="Rusak Ringan (%)",T8,IF(Dashboard!$B$7="Rusak Berat (%)",V8,AA8))))))</f>
        <v>0</v>
      </c>
      <c r="AD8" s="20">
        <f>IF(AND(AF8=1,E8&gt;=Dashboard!$B$10,IF(Dashboard!$B$9="≤ Maksimum",AC8&lt;=Dashboard!$B$8,AC8&gt;=Dashboard!$B$8)),1,0)</f>
        <v>0</v>
      </c>
      <c r="AE8" s="20" t="str">
        <f>IF(AD8=1,COUNTIFS($AD$2:$AD$351,1,$AC$2:$AC$351,"&gt;"&amp;AC8)+COUNTIFS($AD$2:AD8,1,$AC$2:AC8,AC8),"")</f>
        <v/>
      </c>
      <c r="AF8" s="20">
        <f>IF(OR(Dashboard!$B$6="Semua",ISNUMBER(SEARCH(Dashboard!$B$6,D8))),1,0)</f>
        <v>1</v>
      </c>
      <c r="AG8" s="18">
        <f t="shared" si="6"/>
        <v>0.28999999999999998</v>
      </c>
      <c r="AH8" s="18">
        <f t="shared" si="7"/>
        <v>0.28999999165534973</v>
      </c>
      <c r="AI8" s="18">
        <f t="shared" si="8"/>
        <v>0</v>
      </c>
      <c r="AJ8" s="18">
        <f t="shared" si="9"/>
        <v>0</v>
      </c>
      <c r="AK8" s="20">
        <f>IF(OR(Ruas_Per_Kecamatan!$B$4="Semua",ISNUMBER(SEARCH(Ruas_Per_Kecamatan!$B$4,D8))),1,0)</f>
        <v>1</v>
      </c>
      <c r="AL8" s="20">
        <f>IF(AK8=1,COUNTIF($AK$2:AK8,1),"")</f>
        <v>7</v>
      </c>
      <c r="AM8" s="18">
        <f t="shared" si="10"/>
        <v>0.28999999999999998</v>
      </c>
      <c r="AN8" s="18">
        <f t="shared" si="11"/>
        <v>0.28999999165534973</v>
      </c>
      <c r="AO8" s="18">
        <f t="shared" si="12"/>
        <v>0</v>
      </c>
      <c r="AP8" s="18">
        <f t="shared" si="13"/>
        <v>0</v>
      </c>
    </row>
    <row r="9" spans="1:42" x14ac:dyDescent="0.25">
      <c r="A9" s="17">
        <v>8</v>
      </c>
      <c r="B9" s="17" t="s">
        <v>452</v>
      </c>
      <c r="C9" s="21" t="s">
        <v>36</v>
      </c>
      <c r="D9" s="17" t="s">
        <v>29</v>
      </c>
      <c r="E9" s="18">
        <v>1.34</v>
      </c>
      <c r="F9" s="18">
        <v>5</v>
      </c>
      <c r="G9" s="18">
        <v>0</v>
      </c>
      <c r="H9" s="18"/>
      <c r="I9" s="18">
        <v>2025</v>
      </c>
      <c r="J9" s="18">
        <v>1.3400000333786011</v>
      </c>
      <c r="K9" s="18">
        <v>0</v>
      </c>
      <c r="L9" s="18">
        <v>0</v>
      </c>
      <c r="M9" s="18">
        <v>0</v>
      </c>
      <c r="N9" s="18">
        <v>0</v>
      </c>
      <c r="O9" s="18">
        <v>0.5</v>
      </c>
      <c r="P9" s="19">
        <v>0.37313432835820892</v>
      </c>
      <c r="Q9" s="18">
        <v>0.8399999737739563</v>
      </c>
      <c r="R9" s="19">
        <v>0.62686565207011657</v>
      </c>
      <c r="S9" s="18">
        <v>0</v>
      </c>
      <c r="T9" s="19">
        <v>0</v>
      </c>
      <c r="U9" s="18">
        <v>0</v>
      </c>
      <c r="V9" s="19">
        <v>0</v>
      </c>
      <c r="W9">
        <f t="shared" si="0"/>
        <v>1.3399999737739563</v>
      </c>
      <c r="X9" s="19">
        <f t="shared" si="1"/>
        <v>0.9999999804283255</v>
      </c>
      <c r="Y9">
        <f t="shared" si="2"/>
        <v>0</v>
      </c>
      <c r="Z9" s="19">
        <f t="shared" si="3"/>
        <v>0</v>
      </c>
      <c r="AA9" s="19">
        <f t="shared" si="4"/>
        <v>0.15671641301752914</v>
      </c>
      <c r="AB9" t="str">
        <f t="shared" si="5"/>
        <v>Relatif Mantap</v>
      </c>
      <c r="AC9" s="19">
        <f>IF(Dashboard!$B$7="Mantap (%)",X9,IF(Dashboard!$B$7="Tidak Mantap (%)",Z9,IF(Dashboard!$B$7="Baik (%)",P9,IF(Dashboard!$B$7="Sedang (%)",R9,IF(Dashboard!$B$7="Rusak Ringan (%)",T9,IF(Dashboard!$B$7="Rusak Berat (%)",V9,AA9))))))</f>
        <v>0</v>
      </c>
      <c r="AD9" s="20">
        <f>IF(AND(AF9=1,E9&gt;=Dashboard!$B$10,IF(Dashboard!$B$9="≤ Maksimum",AC9&lt;=Dashboard!$B$8,AC9&gt;=Dashboard!$B$8)),1,0)</f>
        <v>0</v>
      </c>
      <c r="AE9" s="20" t="str">
        <f>IF(AD9=1,COUNTIFS($AD$2:$AD$351,1,$AC$2:$AC$351,"&gt;"&amp;AC9)+COUNTIFS($AD$2:AD9,1,$AC$2:AC9,AC9),"")</f>
        <v/>
      </c>
      <c r="AF9" s="20">
        <f>IF(OR(Dashboard!$B$6="Semua",ISNUMBER(SEARCH(Dashboard!$B$6,D9))),1,0)</f>
        <v>1</v>
      </c>
      <c r="AG9" s="18">
        <f t="shared" si="6"/>
        <v>1.34</v>
      </c>
      <c r="AH9" s="18">
        <f t="shared" si="7"/>
        <v>1.3399999737739563</v>
      </c>
      <c r="AI9" s="18">
        <f t="shared" si="8"/>
        <v>0</v>
      </c>
      <c r="AJ9" s="18">
        <f t="shared" si="9"/>
        <v>0</v>
      </c>
      <c r="AK9" s="20">
        <f>IF(OR(Ruas_Per_Kecamatan!$B$4="Semua",ISNUMBER(SEARCH(Ruas_Per_Kecamatan!$B$4,D9))),1,0)</f>
        <v>1</v>
      </c>
      <c r="AL9" s="20">
        <f>IF(AK9=1,COUNTIF($AK$2:AK9,1),"")</f>
        <v>8</v>
      </c>
      <c r="AM9" s="18">
        <f t="shared" si="10"/>
        <v>1.34</v>
      </c>
      <c r="AN9" s="18">
        <f t="shared" si="11"/>
        <v>1.3399999737739563</v>
      </c>
      <c r="AO9" s="18">
        <f t="shared" si="12"/>
        <v>0</v>
      </c>
      <c r="AP9" s="18">
        <f t="shared" si="13"/>
        <v>0</v>
      </c>
    </row>
    <row r="10" spans="1:42" x14ac:dyDescent="0.25">
      <c r="A10" s="17">
        <v>9</v>
      </c>
      <c r="B10" s="17" t="s">
        <v>453</v>
      </c>
      <c r="C10" s="21" t="s">
        <v>37</v>
      </c>
      <c r="D10" s="17" t="s">
        <v>29</v>
      </c>
      <c r="E10" s="18">
        <v>1.0900000000000001</v>
      </c>
      <c r="F10" s="18">
        <v>5</v>
      </c>
      <c r="G10" s="18">
        <v>0</v>
      </c>
      <c r="H10" s="18"/>
      <c r="I10" s="18">
        <v>2025</v>
      </c>
      <c r="J10" s="18">
        <v>1.0900000333786011</v>
      </c>
      <c r="K10" s="18">
        <v>0</v>
      </c>
      <c r="L10" s="18">
        <v>0</v>
      </c>
      <c r="M10" s="18">
        <v>0</v>
      </c>
      <c r="N10" s="18">
        <v>0</v>
      </c>
      <c r="O10" s="18">
        <v>0.80000001192092896</v>
      </c>
      <c r="P10" s="19">
        <v>0.73394496506507234</v>
      </c>
      <c r="Q10" s="18">
        <v>0.28999999165534973</v>
      </c>
      <c r="R10" s="19">
        <v>0.26605503821591714</v>
      </c>
      <c r="S10" s="18">
        <v>0</v>
      </c>
      <c r="T10" s="19">
        <v>0</v>
      </c>
      <c r="U10" s="18">
        <v>0</v>
      </c>
      <c r="V10" s="19">
        <v>0</v>
      </c>
      <c r="W10">
        <f t="shared" si="0"/>
        <v>1.0900000035762787</v>
      </c>
      <c r="X10" s="19">
        <f t="shared" si="1"/>
        <v>1.0000000032809895</v>
      </c>
      <c r="Y10">
        <f t="shared" si="2"/>
        <v>0</v>
      </c>
      <c r="Z10" s="19">
        <f t="shared" si="3"/>
        <v>0</v>
      </c>
      <c r="AA10" s="19">
        <f t="shared" si="4"/>
        <v>6.6513759553979285E-2</v>
      </c>
      <c r="AB10" t="str">
        <f t="shared" si="5"/>
        <v>Relatif Mantap</v>
      </c>
      <c r="AC10" s="19">
        <f>IF(Dashboard!$B$7="Mantap (%)",X10,IF(Dashboard!$B$7="Tidak Mantap (%)",Z10,IF(Dashboard!$B$7="Baik (%)",P10,IF(Dashboard!$B$7="Sedang (%)",R10,IF(Dashboard!$B$7="Rusak Ringan (%)",T10,IF(Dashboard!$B$7="Rusak Berat (%)",V10,AA10))))))</f>
        <v>0</v>
      </c>
      <c r="AD10" s="20">
        <f>IF(AND(AF10=1,E10&gt;=Dashboard!$B$10,IF(Dashboard!$B$9="≤ Maksimum",AC10&lt;=Dashboard!$B$8,AC10&gt;=Dashboard!$B$8)),1,0)</f>
        <v>0</v>
      </c>
      <c r="AE10" s="20" t="str">
        <f>IF(AD10=1,COUNTIFS($AD$2:$AD$351,1,$AC$2:$AC$351,"&gt;"&amp;AC10)+COUNTIFS($AD$2:AD10,1,$AC$2:AC10,AC10),"")</f>
        <v/>
      </c>
      <c r="AF10" s="20">
        <f>IF(OR(Dashboard!$B$6="Semua",ISNUMBER(SEARCH(Dashboard!$B$6,D10))),1,0)</f>
        <v>1</v>
      </c>
      <c r="AG10" s="18">
        <f t="shared" si="6"/>
        <v>1.0900000000000001</v>
      </c>
      <c r="AH10" s="18">
        <f t="shared" si="7"/>
        <v>1.0900000035762787</v>
      </c>
      <c r="AI10" s="18">
        <f t="shared" si="8"/>
        <v>0</v>
      </c>
      <c r="AJ10" s="18">
        <f t="shared" si="9"/>
        <v>0</v>
      </c>
      <c r="AK10" s="20">
        <f>IF(OR(Ruas_Per_Kecamatan!$B$4="Semua",ISNUMBER(SEARCH(Ruas_Per_Kecamatan!$B$4,D10))),1,0)</f>
        <v>1</v>
      </c>
      <c r="AL10" s="20">
        <f>IF(AK10=1,COUNTIF($AK$2:AK10,1),"")</f>
        <v>9</v>
      </c>
      <c r="AM10" s="18">
        <f t="shared" si="10"/>
        <v>1.0900000000000001</v>
      </c>
      <c r="AN10" s="18">
        <f t="shared" si="11"/>
        <v>1.0900000035762787</v>
      </c>
      <c r="AO10" s="18">
        <f t="shared" si="12"/>
        <v>0</v>
      </c>
      <c r="AP10" s="18">
        <f t="shared" si="13"/>
        <v>0</v>
      </c>
    </row>
    <row r="11" spans="1:42" x14ac:dyDescent="0.25">
      <c r="A11" s="17">
        <v>10</v>
      </c>
      <c r="B11" s="17" t="s">
        <v>454</v>
      </c>
      <c r="C11" s="21" t="s">
        <v>38</v>
      </c>
      <c r="D11" s="17" t="s">
        <v>29</v>
      </c>
      <c r="E11" s="18">
        <v>0.38</v>
      </c>
      <c r="F11" s="18">
        <v>5</v>
      </c>
      <c r="G11" s="18">
        <v>0</v>
      </c>
      <c r="H11" s="18"/>
      <c r="I11" s="18">
        <v>2025</v>
      </c>
      <c r="J11" s="18">
        <v>0.37999999523162842</v>
      </c>
      <c r="K11" s="18">
        <v>0</v>
      </c>
      <c r="L11" s="18">
        <v>0</v>
      </c>
      <c r="M11" s="18">
        <v>0</v>
      </c>
      <c r="N11" s="18">
        <v>0</v>
      </c>
      <c r="O11" s="18">
        <v>0.20000000298023224</v>
      </c>
      <c r="P11" s="19">
        <v>0.52631579731640066</v>
      </c>
      <c r="Q11" s="18">
        <v>0.18000000715255737</v>
      </c>
      <c r="R11" s="19">
        <v>0.4736842293488352</v>
      </c>
      <c r="S11" s="18">
        <v>0</v>
      </c>
      <c r="T11" s="19">
        <v>0</v>
      </c>
      <c r="U11" s="18">
        <v>0</v>
      </c>
      <c r="V11" s="19">
        <v>0</v>
      </c>
      <c r="W11">
        <f t="shared" si="0"/>
        <v>0.38000001013278961</v>
      </c>
      <c r="X11" s="19">
        <f t="shared" si="1"/>
        <v>1.0000000266652358</v>
      </c>
      <c r="Y11">
        <f t="shared" si="2"/>
        <v>0</v>
      </c>
      <c r="Z11" s="19">
        <f t="shared" si="3"/>
        <v>0</v>
      </c>
      <c r="AA11" s="19">
        <f t="shared" si="4"/>
        <v>0.1184210573372088</v>
      </c>
      <c r="AB11" t="str">
        <f t="shared" si="5"/>
        <v>Relatif Mantap</v>
      </c>
      <c r="AC11" s="19">
        <f>IF(Dashboard!$B$7="Mantap (%)",X11,IF(Dashboard!$B$7="Tidak Mantap (%)",Z11,IF(Dashboard!$B$7="Baik (%)",P11,IF(Dashboard!$B$7="Sedang (%)",R11,IF(Dashboard!$B$7="Rusak Ringan (%)",T11,IF(Dashboard!$B$7="Rusak Berat (%)",V11,AA11))))))</f>
        <v>0</v>
      </c>
      <c r="AD11" s="20">
        <f>IF(AND(AF11=1,E11&gt;=Dashboard!$B$10,IF(Dashboard!$B$9="≤ Maksimum",AC11&lt;=Dashboard!$B$8,AC11&gt;=Dashboard!$B$8)),1,0)</f>
        <v>0</v>
      </c>
      <c r="AE11" s="20" t="str">
        <f>IF(AD11=1,COUNTIFS($AD$2:$AD$351,1,$AC$2:$AC$351,"&gt;"&amp;AC11)+COUNTIFS($AD$2:AD11,1,$AC$2:AC11,AC11),"")</f>
        <v/>
      </c>
      <c r="AF11" s="20">
        <f>IF(OR(Dashboard!$B$6="Semua",ISNUMBER(SEARCH(Dashboard!$B$6,D11))),1,0)</f>
        <v>1</v>
      </c>
      <c r="AG11" s="18">
        <f t="shared" si="6"/>
        <v>0.38</v>
      </c>
      <c r="AH11" s="18">
        <f t="shared" si="7"/>
        <v>0.38000001013278961</v>
      </c>
      <c r="AI11" s="18">
        <f t="shared" si="8"/>
        <v>0</v>
      </c>
      <c r="AJ11" s="18">
        <f t="shared" si="9"/>
        <v>0</v>
      </c>
      <c r="AK11" s="20">
        <f>IF(OR(Ruas_Per_Kecamatan!$B$4="Semua",ISNUMBER(SEARCH(Ruas_Per_Kecamatan!$B$4,D11))),1,0)</f>
        <v>1</v>
      </c>
      <c r="AL11" s="20">
        <f>IF(AK11=1,COUNTIF($AK$2:AK11,1),"")</f>
        <v>10</v>
      </c>
      <c r="AM11" s="18">
        <f t="shared" si="10"/>
        <v>0.38</v>
      </c>
      <c r="AN11" s="18">
        <f t="shared" si="11"/>
        <v>0.38000001013278961</v>
      </c>
      <c r="AO11" s="18">
        <f t="shared" si="12"/>
        <v>0</v>
      </c>
      <c r="AP11" s="18">
        <f t="shared" si="13"/>
        <v>0</v>
      </c>
    </row>
    <row r="12" spans="1:42" x14ac:dyDescent="0.25">
      <c r="A12" s="17">
        <v>11</v>
      </c>
      <c r="B12" s="17" t="s">
        <v>455</v>
      </c>
      <c r="C12" s="21" t="s">
        <v>39</v>
      </c>
      <c r="D12" s="17" t="s">
        <v>29</v>
      </c>
      <c r="E12" s="18">
        <v>0.23</v>
      </c>
      <c r="F12" s="18">
        <v>3</v>
      </c>
      <c r="G12" s="18">
        <v>0</v>
      </c>
      <c r="H12" s="18"/>
      <c r="I12" s="18">
        <v>2025</v>
      </c>
      <c r="J12" s="18">
        <v>0.23000000417232513</v>
      </c>
      <c r="K12" s="18">
        <v>0</v>
      </c>
      <c r="L12" s="18">
        <v>0</v>
      </c>
      <c r="M12" s="18">
        <v>0</v>
      </c>
      <c r="N12" s="18">
        <v>0</v>
      </c>
      <c r="O12" s="18">
        <v>0.23000000417232513</v>
      </c>
      <c r="P12" s="19">
        <v>1.000000018140544</v>
      </c>
      <c r="Q12" s="18">
        <v>0</v>
      </c>
      <c r="R12" s="19">
        <v>0</v>
      </c>
      <c r="S12" s="18">
        <v>0</v>
      </c>
      <c r="T12" s="19">
        <v>0</v>
      </c>
      <c r="U12" s="18">
        <v>0</v>
      </c>
      <c r="V12" s="19">
        <v>0</v>
      </c>
      <c r="W12">
        <f t="shared" si="0"/>
        <v>0.23000000417232513</v>
      </c>
      <c r="X12" s="19">
        <f t="shared" si="1"/>
        <v>1.000000018140544</v>
      </c>
      <c r="Y12">
        <f t="shared" si="2"/>
        <v>0</v>
      </c>
      <c r="Z12" s="19">
        <f t="shared" si="3"/>
        <v>0</v>
      </c>
      <c r="AA12" s="19">
        <f t="shared" si="4"/>
        <v>0</v>
      </c>
      <c r="AB12" t="str">
        <f t="shared" si="5"/>
        <v>Relatif Mantap</v>
      </c>
      <c r="AC12" s="19">
        <f>IF(Dashboard!$B$7="Mantap (%)",X12,IF(Dashboard!$B$7="Tidak Mantap (%)",Z12,IF(Dashboard!$B$7="Baik (%)",P12,IF(Dashboard!$B$7="Sedang (%)",R12,IF(Dashboard!$B$7="Rusak Ringan (%)",T12,IF(Dashboard!$B$7="Rusak Berat (%)",V12,AA12))))))</f>
        <v>0</v>
      </c>
      <c r="AD12" s="20">
        <f>IF(AND(AF12=1,E12&gt;=Dashboard!$B$10,IF(Dashboard!$B$9="≤ Maksimum",AC12&lt;=Dashboard!$B$8,AC12&gt;=Dashboard!$B$8)),1,0)</f>
        <v>0</v>
      </c>
      <c r="AE12" s="20" t="str">
        <f>IF(AD12=1,COUNTIFS($AD$2:$AD$351,1,$AC$2:$AC$351,"&gt;"&amp;AC12)+COUNTIFS($AD$2:AD12,1,$AC$2:AC12,AC12),"")</f>
        <v/>
      </c>
      <c r="AF12" s="20">
        <f>IF(OR(Dashboard!$B$6="Semua",ISNUMBER(SEARCH(Dashboard!$B$6,D12))),1,0)</f>
        <v>1</v>
      </c>
      <c r="AG12" s="18">
        <f t="shared" si="6"/>
        <v>0.23</v>
      </c>
      <c r="AH12" s="18">
        <f t="shared" si="7"/>
        <v>0.23000000417232513</v>
      </c>
      <c r="AI12" s="18">
        <f t="shared" si="8"/>
        <v>0</v>
      </c>
      <c r="AJ12" s="18">
        <f t="shared" si="9"/>
        <v>0</v>
      </c>
      <c r="AK12" s="20">
        <f>IF(OR(Ruas_Per_Kecamatan!$B$4="Semua",ISNUMBER(SEARCH(Ruas_Per_Kecamatan!$B$4,D12))),1,0)</f>
        <v>1</v>
      </c>
      <c r="AL12" s="20">
        <f>IF(AK12=1,COUNTIF($AK$2:AK12,1),"")</f>
        <v>11</v>
      </c>
      <c r="AM12" s="18">
        <f t="shared" si="10"/>
        <v>0.23</v>
      </c>
      <c r="AN12" s="18">
        <f t="shared" si="11"/>
        <v>0.23000000417232513</v>
      </c>
      <c r="AO12" s="18">
        <f t="shared" si="12"/>
        <v>0</v>
      </c>
      <c r="AP12" s="18">
        <f t="shared" si="13"/>
        <v>0</v>
      </c>
    </row>
    <row r="13" spans="1:42" x14ac:dyDescent="0.25">
      <c r="A13" s="17">
        <v>12</v>
      </c>
      <c r="B13" s="17" t="s">
        <v>456</v>
      </c>
      <c r="C13" s="21" t="s">
        <v>40</v>
      </c>
      <c r="D13" s="17" t="s">
        <v>29</v>
      </c>
      <c r="E13" s="18">
        <v>0.23</v>
      </c>
      <c r="F13" s="18">
        <v>3</v>
      </c>
      <c r="G13" s="18">
        <v>0</v>
      </c>
      <c r="H13" s="18"/>
      <c r="I13" s="18">
        <v>2025</v>
      </c>
      <c r="J13" s="18">
        <v>0.23000000417232513</v>
      </c>
      <c r="K13" s="18">
        <v>0</v>
      </c>
      <c r="L13" s="18">
        <v>0</v>
      </c>
      <c r="M13" s="18">
        <v>0</v>
      </c>
      <c r="N13" s="18">
        <v>0</v>
      </c>
      <c r="O13" s="18">
        <v>0.23000000417232513</v>
      </c>
      <c r="P13" s="19">
        <v>1.000000018140544</v>
      </c>
      <c r="Q13" s="18">
        <v>0</v>
      </c>
      <c r="R13" s="19">
        <v>0</v>
      </c>
      <c r="S13" s="18">
        <v>0</v>
      </c>
      <c r="T13" s="19">
        <v>0</v>
      </c>
      <c r="U13" s="18">
        <v>0</v>
      </c>
      <c r="V13" s="19">
        <v>0</v>
      </c>
      <c r="W13">
        <f t="shared" si="0"/>
        <v>0.23000000417232513</v>
      </c>
      <c r="X13" s="19">
        <f t="shared" si="1"/>
        <v>1.000000018140544</v>
      </c>
      <c r="Y13">
        <f t="shared" si="2"/>
        <v>0</v>
      </c>
      <c r="Z13" s="19">
        <f t="shared" si="3"/>
        <v>0</v>
      </c>
      <c r="AA13" s="19">
        <f t="shared" si="4"/>
        <v>0</v>
      </c>
      <c r="AB13" t="str">
        <f t="shared" si="5"/>
        <v>Relatif Mantap</v>
      </c>
      <c r="AC13" s="19">
        <f>IF(Dashboard!$B$7="Mantap (%)",X13,IF(Dashboard!$B$7="Tidak Mantap (%)",Z13,IF(Dashboard!$B$7="Baik (%)",P13,IF(Dashboard!$B$7="Sedang (%)",R13,IF(Dashboard!$B$7="Rusak Ringan (%)",T13,IF(Dashboard!$B$7="Rusak Berat (%)",V13,AA13))))))</f>
        <v>0</v>
      </c>
      <c r="AD13" s="20">
        <f>IF(AND(AF13=1,E13&gt;=Dashboard!$B$10,IF(Dashboard!$B$9="≤ Maksimum",AC13&lt;=Dashboard!$B$8,AC13&gt;=Dashboard!$B$8)),1,0)</f>
        <v>0</v>
      </c>
      <c r="AE13" s="20" t="str">
        <f>IF(AD13=1,COUNTIFS($AD$2:$AD$351,1,$AC$2:$AC$351,"&gt;"&amp;AC13)+COUNTIFS($AD$2:AD13,1,$AC$2:AC13,AC13),"")</f>
        <v/>
      </c>
      <c r="AF13" s="20">
        <f>IF(OR(Dashboard!$B$6="Semua",ISNUMBER(SEARCH(Dashboard!$B$6,D13))),1,0)</f>
        <v>1</v>
      </c>
      <c r="AG13" s="18">
        <f t="shared" si="6"/>
        <v>0.23</v>
      </c>
      <c r="AH13" s="18">
        <f t="shared" si="7"/>
        <v>0.23000000417232513</v>
      </c>
      <c r="AI13" s="18">
        <f t="shared" si="8"/>
        <v>0</v>
      </c>
      <c r="AJ13" s="18">
        <f t="shared" si="9"/>
        <v>0</v>
      </c>
      <c r="AK13" s="20">
        <f>IF(OR(Ruas_Per_Kecamatan!$B$4="Semua",ISNUMBER(SEARCH(Ruas_Per_Kecamatan!$B$4,D13))),1,0)</f>
        <v>1</v>
      </c>
      <c r="AL13" s="20">
        <f>IF(AK13=1,COUNTIF($AK$2:AK13,1),"")</f>
        <v>12</v>
      </c>
      <c r="AM13" s="18">
        <f t="shared" si="10"/>
        <v>0.23</v>
      </c>
      <c r="AN13" s="18">
        <f t="shared" si="11"/>
        <v>0.23000000417232513</v>
      </c>
      <c r="AO13" s="18">
        <f t="shared" si="12"/>
        <v>0</v>
      </c>
      <c r="AP13" s="18">
        <f t="shared" si="13"/>
        <v>0</v>
      </c>
    </row>
    <row r="14" spans="1:42" x14ac:dyDescent="0.25">
      <c r="A14" s="17">
        <v>13</v>
      </c>
      <c r="B14" s="17" t="s">
        <v>457</v>
      </c>
      <c r="C14" s="21" t="s">
        <v>41</v>
      </c>
      <c r="D14" s="17" t="s">
        <v>29</v>
      </c>
      <c r="E14" s="18">
        <v>0.23</v>
      </c>
      <c r="F14" s="18">
        <v>7</v>
      </c>
      <c r="G14" s="18">
        <v>0</v>
      </c>
      <c r="H14" s="18"/>
      <c r="I14" s="18">
        <v>2025</v>
      </c>
      <c r="J14" s="18">
        <v>0.23000000417232513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9">
        <v>0</v>
      </c>
      <c r="Q14" s="18">
        <v>0.23000000417232513</v>
      </c>
      <c r="R14" s="19">
        <v>1.000000018140544</v>
      </c>
      <c r="S14" s="18">
        <v>0</v>
      </c>
      <c r="T14" s="19">
        <v>0</v>
      </c>
      <c r="U14" s="18">
        <v>0</v>
      </c>
      <c r="V14" s="19">
        <v>0</v>
      </c>
      <c r="W14">
        <f t="shared" si="0"/>
        <v>0.23000000417232513</v>
      </c>
      <c r="X14" s="19">
        <f t="shared" si="1"/>
        <v>1.000000018140544</v>
      </c>
      <c r="Y14">
        <f t="shared" si="2"/>
        <v>0</v>
      </c>
      <c r="Z14" s="19">
        <f t="shared" si="3"/>
        <v>0</v>
      </c>
      <c r="AA14" s="19">
        <f t="shared" si="4"/>
        <v>0.25000000453513599</v>
      </c>
      <c r="AB14" t="str">
        <f t="shared" si="5"/>
        <v>Relatif Mantap</v>
      </c>
      <c r="AC14" s="19">
        <f>IF(Dashboard!$B$7="Mantap (%)",X14,IF(Dashboard!$B$7="Tidak Mantap (%)",Z14,IF(Dashboard!$B$7="Baik (%)",P14,IF(Dashboard!$B$7="Sedang (%)",R14,IF(Dashboard!$B$7="Rusak Ringan (%)",T14,IF(Dashboard!$B$7="Rusak Berat (%)",V14,AA14))))))</f>
        <v>0</v>
      </c>
      <c r="AD14" s="20">
        <f>IF(AND(AF14=1,E14&gt;=Dashboard!$B$10,IF(Dashboard!$B$9="≤ Maksimum",AC14&lt;=Dashboard!$B$8,AC14&gt;=Dashboard!$B$8)),1,0)</f>
        <v>0</v>
      </c>
      <c r="AE14" s="20" t="str">
        <f>IF(AD14=1,COUNTIFS($AD$2:$AD$351,1,$AC$2:$AC$351,"&gt;"&amp;AC14)+COUNTIFS($AD$2:AD14,1,$AC$2:AC14,AC14),"")</f>
        <v/>
      </c>
      <c r="AF14" s="20">
        <f>IF(OR(Dashboard!$B$6="Semua",ISNUMBER(SEARCH(Dashboard!$B$6,D14))),1,0)</f>
        <v>1</v>
      </c>
      <c r="AG14" s="18">
        <f t="shared" si="6"/>
        <v>0.23</v>
      </c>
      <c r="AH14" s="18">
        <f t="shared" si="7"/>
        <v>0.23000000417232513</v>
      </c>
      <c r="AI14" s="18">
        <f t="shared" si="8"/>
        <v>0</v>
      </c>
      <c r="AJ14" s="18">
        <f t="shared" si="9"/>
        <v>0</v>
      </c>
      <c r="AK14" s="20">
        <f>IF(OR(Ruas_Per_Kecamatan!$B$4="Semua",ISNUMBER(SEARCH(Ruas_Per_Kecamatan!$B$4,D14))),1,0)</f>
        <v>1</v>
      </c>
      <c r="AL14" s="20">
        <f>IF(AK14=1,COUNTIF($AK$2:AK14,1),"")</f>
        <v>13</v>
      </c>
      <c r="AM14" s="18">
        <f t="shared" si="10"/>
        <v>0.23</v>
      </c>
      <c r="AN14" s="18">
        <f t="shared" si="11"/>
        <v>0.23000000417232513</v>
      </c>
      <c r="AO14" s="18">
        <f t="shared" si="12"/>
        <v>0</v>
      </c>
      <c r="AP14" s="18">
        <f t="shared" si="13"/>
        <v>0</v>
      </c>
    </row>
    <row r="15" spans="1:42" x14ac:dyDescent="0.25">
      <c r="A15" s="17">
        <v>14</v>
      </c>
      <c r="B15" s="17" t="s">
        <v>458</v>
      </c>
      <c r="C15" s="21" t="s">
        <v>42</v>
      </c>
      <c r="D15" s="17" t="s">
        <v>29</v>
      </c>
      <c r="E15" s="18">
        <v>0.21</v>
      </c>
      <c r="F15" s="18">
        <v>4</v>
      </c>
      <c r="G15" s="18">
        <v>0</v>
      </c>
      <c r="H15" s="18"/>
      <c r="I15" s="18">
        <v>2025</v>
      </c>
      <c r="J15" s="18">
        <v>0.20999999344348907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9">
        <v>0</v>
      </c>
      <c r="Q15" s="18">
        <v>0.20999999344348907</v>
      </c>
      <c r="R15" s="19">
        <v>0.99999996877851949</v>
      </c>
      <c r="S15" s="18">
        <v>0</v>
      </c>
      <c r="T15" s="19">
        <v>0</v>
      </c>
      <c r="U15" s="18">
        <v>0</v>
      </c>
      <c r="V15" s="19">
        <v>0</v>
      </c>
      <c r="W15">
        <f t="shared" si="0"/>
        <v>0.20999999344348907</v>
      </c>
      <c r="X15" s="19">
        <f t="shared" si="1"/>
        <v>0.99999996877851949</v>
      </c>
      <c r="Y15">
        <f t="shared" si="2"/>
        <v>0</v>
      </c>
      <c r="Z15" s="19">
        <f t="shared" si="3"/>
        <v>0</v>
      </c>
      <c r="AA15" s="19">
        <f t="shared" si="4"/>
        <v>0.24999999219462987</v>
      </c>
      <c r="AB15" t="str">
        <f t="shared" si="5"/>
        <v>Relatif Mantap</v>
      </c>
      <c r="AC15" s="19">
        <f>IF(Dashboard!$B$7="Mantap (%)",X15,IF(Dashboard!$B$7="Tidak Mantap (%)",Z15,IF(Dashboard!$B$7="Baik (%)",P15,IF(Dashboard!$B$7="Sedang (%)",R15,IF(Dashboard!$B$7="Rusak Ringan (%)",T15,IF(Dashboard!$B$7="Rusak Berat (%)",V15,AA15))))))</f>
        <v>0</v>
      </c>
      <c r="AD15" s="20">
        <f>IF(AND(AF15=1,E15&gt;=Dashboard!$B$10,IF(Dashboard!$B$9="≤ Maksimum",AC15&lt;=Dashboard!$B$8,AC15&gt;=Dashboard!$B$8)),1,0)</f>
        <v>0</v>
      </c>
      <c r="AE15" s="20" t="str">
        <f>IF(AD15=1,COUNTIFS($AD$2:$AD$351,1,$AC$2:$AC$351,"&gt;"&amp;AC15)+COUNTIFS($AD$2:AD15,1,$AC$2:AC15,AC15),"")</f>
        <v/>
      </c>
      <c r="AF15" s="20">
        <f>IF(OR(Dashboard!$B$6="Semua",ISNUMBER(SEARCH(Dashboard!$B$6,D15))),1,0)</f>
        <v>1</v>
      </c>
      <c r="AG15" s="18">
        <f t="shared" si="6"/>
        <v>0.21</v>
      </c>
      <c r="AH15" s="18">
        <f t="shared" si="7"/>
        <v>0.20999999344348907</v>
      </c>
      <c r="AI15" s="18">
        <f t="shared" si="8"/>
        <v>0</v>
      </c>
      <c r="AJ15" s="18">
        <f t="shared" si="9"/>
        <v>0</v>
      </c>
      <c r="AK15" s="20">
        <f>IF(OR(Ruas_Per_Kecamatan!$B$4="Semua",ISNUMBER(SEARCH(Ruas_Per_Kecamatan!$B$4,D15))),1,0)</f>
        <v>1</v>
      </c>
      <c r="AL15" s="20">
        <f>IF(AK15=1,COUNTIF($AK$2:AK15,1),"")</f>
        <v>14</v>
      </c>
      <c r="AM15" s="18">
        <f t="shared" si="10"/>
        <v>0.21</v>
      </c>
      <c r="AN15" s="18">
        <f t="shared" si="11"/>
        <v>0.20999999344348907</v>
      </c>
      <c r="AO15" s="18">
        <f t="shared" si="12"/>
        <v>0</v>
      </c>
      <c r="AP15" s="18">
        <f t="shared" si="13"/>
        <v>0</v>
      </c>
    </row>
    <row r="16" spans="1:42" x14ac:dyDescent="0.25">
      <c r="A16" s="17">
        <v>15</v>
      </c>
      <c r="B16" s="17" t="s">
        <v>459</v>
      </c>
      <c r="C16" s="21" t="s">
        <v>43</v>
      </c>
      <c r="D16" s="17" t="s">
        <v>29</v>
      </c>
      <c r="E16" s="18">
        <v>0.18</v>
      </c>
      <c r="F16" s="18">
        <v>3</v>
      </c>
      <c r="G16" s="18">
        <v>0</v>
      </c>
      <c r="H16" s="18"/>
      <c r="I16" s="18">
        <v>2025</v>
      </c>
      <c r="J16" s="18">
        <v>0.18000000715255737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>
        <v>0</v>
      </c>
      <c r="Q16" s="18">
        <v>0</v>
      </c>
      <c r="R16" s="19">
        <v>0</v>
      </c>
      <c r="S16" s="18">
        <v>0.10000000149011612</v>
      </c>
      <c r="T16" s="19">
        <v>0.55555556383397842</v>
      </c>
      <c r="U16" s="18">
        <v>7.9999998211860657E-2</v>
      </c>
      <c r="V16" s="19">
        <v>0.44444443451033699</v>
      </c>
      <c r="W16">
        <f t="shared" si="0"/>
        <v>0</v>
      </c>
      <c r="X16" s="19">
        <f t="shared" si="1"/>
        <v>0</v>
      </c>
      <c r="Y16">
        <f t="shared" si="2"/>
        <v>0.17999999970197678</v>
      </c>
      <c r="Z16" s="19">
        <f t="shared" si="3"/>
        <v>0.99999999834431541</v>
      </c>
      <c r="AA16" s="19">
        <f t="shared" si="4"/>
        <v>0.77777777281072402</v>
      </c>
      <c r="AB16" t="str">
        <f t="shared" si="5"/>
        <v>Rusak Berat Dominan</v>
      </c>
      <c r="AC16" s="19">
        <f>IF(Dashboard!$B$7="Mantap (%)",X16,IF(Dashboard!$B$7="Tidak Mantap (%)",Z16,IF(Dashboard!$B$7="Baik (%)",P16,IF(Dashboard!$B$7="Sedang (%)",R16,IF(Dashboard!$B$7="Rusak Ringan (%)",T16,IF(Dashboard!$B$7="Rusak Berat (%)",V16,AA16))))))</f>
        <v>0.99999999834431541</v>
      </c>
      <c r="AD16" s="20">
        <f>IF(AND(AF16=1,E16&gt;=Dashboard!$B$10,IF(Dashboard!$B$9="≤ Maksimum",AC16&lt;=Dashboard!$B$8,AC16&gt;=Dashboard!$B$8)),1,0)</f>
        <v>1</v>
      </c>
      <c r="AE16" s="20">
        <f>IF(AD16=1,COUNTIFS($AD$2:$AD$351,1,$AC$2:$AC$351,"&gt;"&amp;AC16)+COUNTIFS($AD$2:AD16,1,$AC$2:AC16,AC16),"")</f>
        <v>31</v>
      </c>
      <c r="AF16" s="20">
        <f>IF(OR(Dashboard!$B$6="Semua",ISNUMBER(SEARCH(Dashboard!$B$6,D16))),1,0)</f>
        <v>1</v>
      </c>
      <c r="AG16" s="18">
        <f t="shared" si="6"/>
        <v>0.18</v>
      </c>
      <c r="AH16" s="18">
        <f t="shared" si="7"/>
        <v>0</v>
      </c>
      <c r="AI16" s="18">
        <f t="shared" si="8"/>
        <v>0.17999999970197678</v>
      </c>
      <c r="AJ16" s="18">
        <f t="shared" si="9"/>
        <v>7.9999998211860657E-2</v>
      </c>
      <c r="AK16" s="20">
        <f>IF(OR(Ruas_Per_Kecamatan!$B$4="Semua",ISNUMBER(SEARCH(Ruas_Per_Kecamatan!$B$4,D16))),1,0)</f>
        <v>1</v>
      </c>
      <c r="AL16" s="20">
        <f>IF(AK16=1,COUNTIF($AK$2:AK16,1),"")</f>
        <v>15</v>
      </c>
      <c r="AM16" s="18">
        <f t="shared" si="10"/>
        <v>0.18</v>
      </c>
      <c r="AN16" s="18">
        <f t="shared" si="11"/>
        <v>0</v>
      </c>
      <c r="AO16" s="18">
        <f t="shared" si="12"/>
        <v>0.17999999970197678</v>
      </c>
      <c r="AP16" s="18">
        <f t="shared" si="13"/>
        <v>7.9999998211860657E-2</v>
      </c>
    </row>
    <row r="17" spans="1:42" x14ac:dyDescent="0.25">
      <c r="A17" s="17">
        <v>16</v>
      </c>
      <c r="B17" s="17" t="s">
        <v>460</v>
      </c>
      <c r="C17" s="21" t="s">
        <v>44</v>
      </c>
      <c r="D17" s="17" t="s">
        <v>29</v>
      </c>
      <c r="E17" s="18">
        <v>0.96</v>
      </c>
      <c r="F17" s="18">
        <v>3</v>
      </c>
      <c r="G17" s="18">
        <v>0</v>
      </c>
      <c r="H17" s="18"/>
      <c r="I17" s="18">
        <v>2025</v>
      </c>
      <c r="J17" s="18">
        <v>0.95999997854232788</v>
      </c>
      <c r="K17" s="18">
        <v>0</v>
      </c>
      <c r="L17" s="18">
        <v>0</v>
      </c>
      <c r="M17" s="18">
        <v>0</v>
      </c>
      <c r="N17" s="18">
        <v>0</v>
      </c>
      <c r="O17" s="18">
        <v>0.15999999642372131</v>
      </c>
      <c r="P17" s="19">
        <v>0.16666666294137639</v>
      </c>
      <c r="Q17" s="18">
        <v>0.30000001192092896</v>
      </c>
      <c r="R17" s="19">
        <v>0.31250001241763437</v>
      </c>
      <c r="S17" s="18">
        <v>0.5</v>
      </c>
      <c r="T17" s="19">
        <v>0.52083333333333337</v>
      </c>
      <c r="U17" s="18">
        <v>0</v>
      </c>
      <c r="V17" s="19">
        <v>0</v>
      </c>
      <c r="W17">
        <f t="shared" si="0"/>
        <v>0.46000000834465027</v>
      </c>
      <c r="X17" s="19">
        <f t="shared" si="1"/>
        <v>0.4791666753590107</v>
      </c>
      <c r="Y17">
        <f t="shared" si="2"/>
        <v>0.5</v>
      </c>
      <c r="Z17" s="19">
        <f t="shared" si="3"/>
        <v>0.52083333333333337</v>
      </c>
      <c r="AA17" s="19">
        <f t="shared" si="4"/>
        <v>0.39062500310440862</v>
      </c>
      <c r="AB17" t="str">
        <f t="shared" si="5"/>
        <v>Tidak Mantap Tinggi</v>
      </c>
      <c r="AC17" s="19">
        <f>IF(Dashboard!$B$7="Mantap (%)",X17,IF(Dashboard!$B$7="Tidak Mantap (%)",Z17,IF(Dashboard!$B$7="Baik (%)",P17,IF(Dashboard!$B$7="Sedang (%)",R17,IF(Dashboard!$B$7="Rusak Ringan (%)",T17,IF(Dashboard!$B$7="Rusak Berat (%)",V17,AA17))))))</f>
        <v>0.52083333333333337</v>
      </c>
      <c r="AD17" s="20">
        <f>IF(AND(AF17=1,E17&gt;=Dashboard!$B$10,IF(Dashboard!$B$9="≤ Maksimum",AC17&lt;=Dashboard!$B$8,AC17&gt;=Dashboard!$B$8)),1,0)</f>
        <v>1</v>
      </c>
      <c r="AE17" s="20">
        <f>IF(AD17=1,COUNTIFS($AD$2:$AD$351,1,$AC$2:$AC$351,"&gt;"&amp;AC17)+COUNTIFS($AD$2:AD17,1,$AC$2:AC17,AC17),"")</f>
        <v>121</v>
      </c>
      <c r="AF17" s="20">
        <f>IF(OR(Dashboard!$B$6="Semua",ISNUMBER(SEARCH(Dashboard!$B$6,D17))),1,0)</f>
        <v>1</v>
      </c>
      <c r="AG17" s="18">
        <f t="shared" si="6"/>
        <v>0.96</v>
      </c>
      <c r="AH17" s="18">
        <f t="shared" si="7"/>
        <v>0.46000000834465027</v>
      </c>
      <c r="AI17" s="18">
        <f t="shared" si="8"/>
        <v>0.5</v>
      </c>
      <c r="AJ17" s="18">
        <f t="shared" si="9"/>
        <v>0</v>
      </c>
      <c r="AK17" s="20">
        <f>IF(OR(Ruas_Per_Kecamatan!$B$4="Semua",ISNUMBER(SEARCH(Ruas_Per_Kecamatan!$B$4,D17))),1,0)</f>
        <v>1</v>
      </c>
      <c r="AL17" s="20">
        <f>IF(AK17=1,COUNTIF($AK$2:AK17,1),"")</f>
        <v>16</v>
      </c>
      <c r="AM17" s="18">
        <f t="shared" si="10"/>
        <v>0.96</v>
      </c>
      <c r="AN17" s="18">
        <f t="shared" si="11"/>
        <v>0.46000000834465027</v>
      </c>
      <c r="AO17" s="18">
        <f t="shared" si="12"/>
        <v>0.5</v>
      </c>
      <c r="AP17" s="18">
        <f t="shared" si="13"/>
        <v>0</v>
      </c>
    </row>
    <row r="18" spans="1:42" x14ac:dyDescent="0.25">
      <c r="A18" s="17">
        <v>17</v>
      </c>
      <c r="B18" s="17" t="s">
        <v>461</v>
      </c>
      <c r="C18" s="21" t="s">
        <v>45</v>
      </c>
      <c r="D18" s="17" t="s">
        <v>29</v>
      </c>
      <c r="E18" s="18">
        <v>0.26</v>
      </c>
      <c r="F18" s="18">
        <v>6</v>
      </c>
      <c r="G18" s="18">
        <v>0</v>
      </c>
      <c r="H18" s="18"/>
      <c r="I18" s="18">
        <v>2025</v>
      </c>
      <c r="J18" s="18">
        <v>0.25999999046325684</v>
      </c>
      <c r="K18" s="18">
        <v>0</v>
      </c>
      <c r="L18" s="18">
        <v>0</v>
      </c>
      <c r="M18" s="18">
        <v>0</v>
      </c>
      <c r="N18" s="18">
        <v>0</v>
      </c>
      <c r="O18" s="18">
        <v>0.25999999046325684</v>
      </c>
      <c r="P18" s="19">
        <v>0.99999996332021857</v>
      </c>
      <c r="Q18" s="18">
        <v>0</v>
      </c>
      <c r="R18" s="19">
        <v>0</v>
      </c>
      <c r="S18" s="18">
        <v>0</v>
      </c>
      <c r="T18" s="19">
        <v>0</v>
      </c>
      <c r="U18" s="18">
        <v>0</v>
      </c>
      <c r="V18" s="19">
        <v>0</v>
      </c>
      <c r="W18">
        <f t="shared" si="0"/>
        <v>0.25999999046325684</v>
      </c>
      <c r="X18" s="19">
        <f t="shared" si="1"/>
        <v>0.99999996332021857</v>
      </c>
      <c r="Y18">
        <f t="shared" si="2"/>
        <v>0</v>
      </c>
      <c r="Z18" s="19">
        <f t="shared" si="3"/>
        <v>0</v>
      </c>
      <c r="AA18" s="19">
        <f t="shared" si="4"/>
        <v>0</v>
      </c>
      <c r="AB18" t="str">
        <f t="shared" si="5"/>
        <v>Relatif Mantap</v>
      </c>
      <c r="AC18" s="19">
        <f>IF(Dashboard!$B$7="Mantap (%)",X18,IF(Dashboard!$B$7="Tidak Mantap (%)",Z18,IF(Dashboard!$B$7="Baik (%)",P18,IF(Dashboard!$B$7="Sedang (%)",R18,IF(Dashboard!$B$7="Rusak Ringan (%)",T18,IF(Dashboard!$B$7="Rusak Berat (%)",V18,AA18))))))</f>
        <v>0</v>
      </c>
      <c r="AD18" s="20">
        <f>IF(AND(AF18=1,E18&gt;=Dashboard!$B$10,IF(Dashboard!$B$9="≤ Maksimum",AC18&lt;=Dashboard!$B$8,AC18&gt;=Dashboard!$B$8)),1,0)</f>
        <v>0</v>
      </c>
      <c r="AE18" s="20" t="str">
        <f>IF(AD18=1,COUNTIFS($AD$2:$AD$351,1,$AC$2:$AC$351,"&gt;"&amp;AC18)+COUNTIFS($AD$2:AD18,1,$AC$2:AC18,AC18),"")</f>
        <v/>
      </c>
      <c r="AF18" s="20">
        <f>IF(OR(Dashboard!$B$6="Semua",ISNUMBER(SEARCH(Dashboard!$B$6,D18))),1,0)</f>
        <v>1</v>
      </c>
      <c r="AG18" s="18">
        <f t="shared" si="6"/>
        <v>0.26</v>
      </c>
      <c r="AH18" s="18">
        <f t="shared" si="7"/>
        <v>0.25999999046325684</v>
      </c>
      <c r="AI18" s="18">
        <f t="shared" si="8"/>
        <v>0</v>
      </c>
      <c r="AJ18" s="18">
        <f t="shared" si="9"/>
        <v>0</v>
      </c>
      <c r="AK18" s="20">
        <f>IF(OR(Ruas_Per_Kecamatan!$B$4="Semua",ISNUMBER(SEARCH(Ruas_Per_Kecamatan!$B$4,D18))),1,0)</f>
        <v>1</v>
      </c>
      <c r="AL18" s="20">
        <f>IF(AK18=1,COUNTIF($AK$2:AK18,1),"")</f>
        <v>17</v>
      </c>
      <c r="AM18" s="18">
        <f t="shared" si="10"/>
        <v>0.26</v>
      </c>
      <c r="AN18" s="18">
        <f t="shared" si="11"/>
        <v>0.25999999046325684</v>
      </c>
      <c r="AO18" s="18">
        <f t="shared" si="12"/>
        <v>0</v>
      </c>
      <c r="AP18" s="18">
        <f t="shared" si="13"/>
        <v>0</v>
      </c>
    </row>
    <row r="19" spans="1:42" x14ac:dyDescent="0.25">
      <c r="A19" s="17">
        <v>18</v>
      </c>
      <c r="B19" s="17" t="s">
        <v>462</v>
      </c>
      <c r="C19" s="21" t="s">
        <v>46</v>
      </c>
      <c r="D19" s="17" t="s">
        <v>29</v>
      </c>
      <c r="E19" s="18">
        <v>0.28000000000000003</v>
      </c>
      <c r="F19" s="18">
        <v>6</v>
      </c>
      <c r="G19" s="18">
        <v>0</v>
      </c>
      <c r="H19" s="18"/>
      <c r="I19" s="18">
        <v>2025</v>
      </c>
      <c r="J19" s="18">
        <v>0.2800000011920929</v>
      </c>
      <c r="K19" s="18">
        <v>0</v>
      </c>
      <c r="L19" s="18">
        <v>0</v>
      </c>
      <c r="M19" s="18">
        <v>0</v>
      </c>
      <c r="N19" s="18">
        <v>0</v>
      </c>
      <c r="O19" s="18">
        <v>0.18000000715255737</v>
      </c>
      <c r="P19" s="19">
        <v>0.64285716840199059</v>
      </c>
      <c r="Q19" s="18">
        <v>0.10000000149011612</v>
      </c>
      <c r="R19" s="19">
        <v>0.35714286246470039</v>
      </c>
      <c r="S19" s="18">
        <v>0</v>
      </c>
      <c r="T19" s="19">
        <v>0</v>
      </c>
      <c r="U19" s="18">
        <v>0</v>
      </c>
      <c r="V19" s="19">
        <v>0</v>
      </c>
      <c r="W19">
        <f t="shared" si="0"/>
        <v>0.28000000864267349</v>
      </c>
      <c r="X19" s="19">
        <f t="shared" si="1"/>
        <v>1.000000030866691</v>
      </c>
      <c r="Y19">
        <f t="shared" si="2"/>
        <v>0</v>
      </c>
      <c r="Z19" s="19">
        <f t="shared" si="3"/>
        <v>0</v>
      </c>
      <c r="AA19" s="19">
        <f t="shared" si="4"/>
        <v>8.9285715616175099E-2</v>
      </c>
      <c r="AB19" t="str">
        <f t="shared" si="5"/>
        <v>Relatif Mantap</v>
      </c>
      <c r="AC19" s="19">
        <f>IF(Dashboard!$B$7="Mantap (%)",X19,IF(Dashboard!$B$7="Tidak Mantap (%)",Z19,IF(Dashboard!$B$7="Baik (%)",P19,IF(Dashboard!$B$7="Sedang (%)",R19,IF(Dashboard!$B$7="Rusak Ringan (%)",T19,IF(Dashboard!$B$7="Rusak Berat (%)",V19,AA19))))))</f>
        <v>0</v>
      </c>
      <c r="AD19" s="20">
        <f>IF(AND(AF19=1,E19&gt;=Dashboard!$B$10,IF(Dashboard!$B$9="≤ Maksimum",AC19&lt;=Dashboard!$B$8,AC19&gt;=Dashboard!$B$8)),1,0)</f>
        <v>0</v>
      </c>
      <c r="AE19" s="20" t="str">
        <f>IF(AD19=1,COUNTIFS($AD$2:$AD$351,1,$AC$2:$AC$351,"&gt;"&amp;AC19)+COUNTIFS($AD$2:AD19,1,$AC$2:AC19,AC19),"")</f>
        <v/>
      </c>
      <c r="AF19" s="20">
        <f>IF(OR(Dashboard!$B$6="Semua",ISNUMBER(SEARCH(Dashboard!$B$6,D19))),1,0)</f>
        <v>1</v>
      </c>
      <c r="AG19" s="18">
        <f t="shared" si="6"/>
        <v>0.28000000000000003</v>
      </c>
      <c r="AH19" s="18">
        <f t="shared" si="7"/>
        <v>0.28000000864267349</v>
      </c>
      <c r="AI19" s="18">
        <f t="shared" si="8"/>
        <v>0</v>
      </c>
      <c r="AJ19" s="18">
        <f t="shared" si="9"/>
        <v>0</v>
      </c>
      <c r="AK19" s="20">
        <f>IF(OR(Ruas_Per_Kecamatan!$B$4="Semua",ISNUMBER(SEARCH(Ruas_Per_Kecamatan!$B$4,D19))),1,0)</f>
        <v>1</v>
      </c>
      <c r="AL19" s="20">
        <f>IF(AK19=1,COUNTIF($AK$2:AK19,1),"")</f>
        <v>18</v>
      </c>
      <c r="AM19" s="18">
        <f t="shared" si="10"/>
        <v>0.28000000000000003</v>
      </c>
      <c r="AN19" s="18">
        <f t="shared" si="11"/>
        <v>0.28000000864267349</v>
      </c>
      <c r="AO19" s="18">
        <f t="shared" si="12"/>
        <v>0</v>
      </c>
      <c r="AP19" s="18">
        <f t="shared" si="13"/>
        <v>0</v>
      </c>
    </row>
    <row r="20" spans="1:42" x14ac:dyDescent="0.25">
      <c r="A20" s="17">
        <v>19</v>
      </c>
      <c r="B20" s="17" t="s">
        <v>463</v>
      </c>
      <c r="C20" s="21" t="s">
        <v>47</v>
      </c>
      <c r="D20" s="17" t="s">
        <v>29</v>
      </c>
      <c r="E20" s="18">
        <v>0.12</v>
      </c>
      <c r="F20" s="18">
        <v>6</v>
      </c>
      <c r="G20" s="18">
        <v>0</v>
      </c>
      <c r="H20" s="18"/>
      <c r="I20" s="18">
        <v>2025</v>
      </c>
      <c r="J20" s="18">
        <v>0.11999999731779099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>
        <v>0</v>
      </c>
      <c r="Q20" s="18">
        <v>0.11999999731779099</v>
      </c>
      <c r="R20" s="19">
        <v>0.99999997764825821</v>
      </c>
      <c r="S20" s="18">
        <v>0</v>
      </c>
      <c r="T20" s="19">
        <v>0</v>
      </c>
      <c r="U20" s="18">
        <v>0</v>
      </c>
      <c r="V20" s="19">
        <v>0</v>
      </c>
      <c r="W20">
        <f t="shared" si="0"/>
        <v>0.11999999731779099</v>
      </c>
      <c r="X20" s="19">
        <f t="shared" si="1"/>
        <v>0.99999997764825821</v>
      </c>
      <c r="Y20">
        <f t="shared" si="2"/>
        <v>0</v>
      </c>
      <c r="Z20" s="19">
        <f t="shared" si="3"/>
        <v>0</v>
      </c>
      <c r="AA20" s="19">
        <f t="shared" si="4"/>
        <v>0.24999999441206455</v>
      </c>
      <c r="AB20" t="str">
        <f t="shared" si="5"/>
        <v>Relatif Mantap</v>
      </c>
      <c r="AC20" s="19">
        <f>IF(Dashboard!$B$7="Mantap (%)",X20,IF(Dashboard!$B$7="Tidak Mantap (%)",Z20,IF(Dashboard!$B$7="Baik (%)",P20,IF(Dashboard!$B$7="Sedang (%)",R20,IF(Dashboard!$B$7="Rusak Ringan (%)",T20,IF(Dashboard!$B$7="Rusak Berat (%)",V20,AA20))))))</f>
        <v>0</v>
      </c>
      <c r="AD20" s="20">
        <f>IF(AND(AF20=1,E20&gt;=Dashboard!$B$10,IF(Dashboard!$B$9="≤ Maksimum",AC20&lt;=Dashboard!$B$8,AC20&gt;=Dashboard!$B$8)),1,0)</f>
        <v>0</v>
      </c>
      <c r="AE20" s="20" t="str">
        <f>IF(AD20=1,COUNTIFS($AD$2:$AD$351,1,$AC$2:$AC$351,"&gt;"&amp;AC20)+COUNTIFS($AD$2:AD20,1,$AC$2:AC20,AC20),"")</f>
        <v/>
      </c>
      <c r="AF20" s="20">
        <f>IF(OR(Dashboard!$B$6="Semua",ISNUMBER(SEARCH(Dashboard!$B$6,D20))),1,0)</f>
        <v>1</v>
      </c>
      <c r="AG20" s="18">
        <f t="shared" si="6"/>
        <v>0.12</v>
      </c>
      <c r="AH20" s="18">
        <f t="shared" si="7"/>
        <v>0.11999999731779099</v>
      </c>
      <c r="AI20" s="18">
        <f t="shared" si="8"/>
        <v>0</v>
      </c>
      <c r="AJ20" s="18">
        <f t="shared" si="9"/>
        <v>0</v>
      </c>
      <c r="AK20" s="20">
        <f>IF(OR(Ruas_Per_Kecamatan!$B$4="Semua",ISNUMBER(SEARCH(Ruas_Per_Kecamatan!$B$4,D20))),1,0)</f>
        <v>1</v>
      </c>
      <c r="AL20" s="20">
        <f>IF(AK20=1,COUNTIF($AK$2:AK20,1),"")</f>
        <v>19</v>
      </c>
      <c r="AM20" s="18">
        <f t="shared" si="10"/>
        <v>0.12</v>
      </c>
      <c r="AN20" s="18">
        <f t="shared" si="11"/>
        <v>0.11999999731779099</v>
      </c>
      <c r="AO20" s="18">
        <f t="shared" si="12"/>
        <v>0</v>
      </c>
      <c r="AP20" s="18">
        <f t="shared" si="13"/>
        <v>0</v>
      </c>
    </row>
    <row r="21" spans="1:42" x14ac:dyDescent="0.25">
      <c r="A21" s="17">
        <v>20</v>
      </c>
      <c r="B21" s="17" t="s">
        <v>464</v>
      </c>
      <c r="C21" s="21" t="s">
        <v>48</v>
      </c>
      <c r="D21" s="17" t="s">
        <v>29</v>
      </c>
      <c r="E21" s="18">
        <v>0.32</v>
      </c>
      <c r="F21" s="18">
        <v>6</v>
      </c>
      <c r="G21" s="18">
        <v>0</v>
      </c>
      <c r="H21" s="18"/>
      <c r="I21" s="18">
        <v>2025</v>
      </c>
      <c r="J21" s="18">
        <v>0.31999999284744263</v>
      </c>
      <c r="K21" s="18">
        <v>0</v>
      </c>
      <c r="L21" s="18">
        <v>0</v>
      </c>
      <c r="M21" s="18">
        <v>0</v>
      </c>
      <c r="N21" s="18">
        <v>0</v>
      </c>
      <c r="O21" s="18">
        <v>0.10000000149011612</v>
      </c>
      <c r="P21" s="19">
        <v>0.31250000465661287</v>
      </c>
      <c r="Q21" s="18">
        <v>0.2199999988079071</v>
      </c>
      <c r="R21" s="19">
        <v>0.6874999962747097</v>
      </c>
      <c r="S21" s="18">
        <v>0</v>
      </c>
      <c r="T21" s="19">
        <v>0</v>
      </c>
      <c r="U21" s="18">
        <v>0</v>
      </c>
      <c r="V21" s="19">
        <v>0</v>
      </c>
      <c r="W21">
        <f t="shared" si="0"/>
        <v>0.32000000029802322</v>
      </c>
      <c r="X21" s="19">
        <f t="shared" si="1"/>
        <v>1.0000000009313226</v>
      </c>
      <c r="Y21">
        <f t="shared" si="2"/>
        <v>0</v>
      </c>
      <c r="Z21" s="19">
        <f t="shared" si="3"/>
        <v>0</v>
      </c>
      <c r="AA21" s="19">
        <f t="shared" si="4"/>
        <v>0.17187499906867743</v>
      </c>
      <c r="AB21" t="str">
        <f t="shared" si="5"/>
        <v>Relatif Mantap</v>
      </c>
      <c r="AC21" s="19">
        <f>IF(Dashboard!$B$7="Mantap (%)",X21,IF(Dashboard!$B$7="Tidak Mantap (%)",Z21,IF(Dashboard!$B$7="Baik (%)",P21,IF(Dashboard!$B$7="Sedang (%)",R21,IF(Dashboard!$B$7="Rusak Ringan (%)",T21,IF(Dashboard!$B$7="Rusak Berat (%)",V21,AA21))))))</f>
        <v>0</v>
      </c>
      <c r="AD21" s="20">
        <f>IF(AND(AF21=1,E21&gt;=Dashboard!$B$10,IF(Dashboard!$B$9="≤ Maksimum",AC21&lt;=Dashboard!$B$8,AC21&gt;=Dashboard!$B$8)),1,0)</f>
        <v>0</v>
      </c>
      <c r="AE21" s="20" t="str">
        <f>IF(AD21=1,COUNTIFS($AD$2:$AD$351,1,$AC$2:$AC$351,"&gt;"&amp;AC21)+COUNTIFS($AD$2:AD21,1,$AC$2:AC21,AC21),"")</f>
        <v/>
      </c>
      <c r="AF21" s="20">
        <f>IF(OR(Dashboard!$B$6="Semua",ISNUMBER(SEARCH(Dashboard!$B$6,D21))),1,0)</f>
        <v>1</v>
      </c>
      <c r="AG21" s="18">
        <f t="shared" si="6"/>
        <v>0.32</v>
      </c>
      <c r="AH21" s="18">
        <f t="shared" si="7"/>
        <v>0.32000000029802322</v>
      </c>
      <c r="AI21" s="18">
        <f t="shared" si="8"/>
        <v>0</v>
      </c>
      <c r="AJ21" s="18">
        <f t="shared" si="9"/>
        <v>0</v>
      </c>
      <c r="AK21" s="20">
        <f>IF(OR(Ruas_Per_Kecamatan!$B$4="Semua",ISNUMBER(SEARCH(Ruas_Per_Kecamatan!$B$4,D21))),1,0)</f>
        <v>1</v>
      </c>
      <c r="AL21" s="20">
        <f>IF(AK21=1,COUNTIF($AK$2:AK21,1),"")</f>
        <v>20</v>
      </c>
      <c r="AM21" s="18">
        <f t="shared" si="10"/>
        <v>0.32</v>
      </c>
      <c r="AN21" s="18">
        <f t="shared" si="11"/>
        <v>0.32000000029802322</v>
      </c>
      <c r="AO21" s="18">
        <f t="shared" si="12"/>
        <v>0</v>
      </c>
      <c r="AP21" s="18">
        <f t="shared" si="13"/>
        <v>0</v>
      </c>
    </row>
    <row r="22" spans="1:42" x14ac:dyDescent="0.25">
      <c r="A22" s="17">
        <v>21</v>
      </c>
      <c r="B22" s="17" t="s">
        <v>465</v>
      </c>
      <c r="C22" s="21" t="s">
        <v>49</v>
      </c>
      <c r="D22" s="17" t="s">
        <v>29</v>
      </c>
      <c r="E22" s="18">
        <v>0.2</v>
      </c>
      <c r="F22" s="18">
        <v>6</v>
      </c>
      <c r="G22" s="18">
        <v>0</v>
      </c>
      <c r="H22" s="18"/>
      <c r="I22" s="18">
        <v>2025</v>
      </c>
      <c r="J22" s="18">
        <v>0.20000000298023224</v>
      </c>
      <c r="K22" s="18">
        <v>0</v>
      </c>
      <c r="L22" s="18">
        <v>0</v>
      </c>
      <c r="M22" s="18">
        <v>0</v>
      </c>
      <c r="N22" s="18">
        <v>0</v>
      </c>
      <c r="O22" s="18">
        <v>0.20000000298023224</v>
      </c>
      <c r="P22" s="19">
        <v>1.0000000149011612</v>
      </c>
      <c r="Q22" s="18">
        <v>0</v>
      </c>
      <c r="R22" s="19">
        <v>0</v>
      </c>
      <c r="S22" s="18">
        <v>0</v>
      </c>
      <c r="T22" s="19">
        <v>0</v>
      </c>
      <c r="U22" s="18">
        <v>0</v>
      </c>
      <c r="V22" s="19">
        <v>0</v>
      </c>
      <c r="W22">
        <f t="shared" si="0"/>
        <v>0.20000000298023224</v>
      </c>
      <c r="X22" s="19">
        <f t="shared" si="1"/>
        <v>1.0000000149011612</v>
      </c>
      <c r="Y22">
        <f t="shared" si="2"/>
        <v>0</v>
      </c>
      <c r="Z22" s="19">
        <f t="shared" si="3"/>
        <v>0</v>
      </c>
      <c r="AA22" s="19">
        <f t="shared" si="4"/>
        <v>0</v>
      </c>
      <c r="AB22" t="str">
        <f t="shared" si="5"/>
        <v>Relatif Mantap</v>
      </c>
      <c r="AC22" s="19">
        <f>IF(Dashboard!$B$7="Mantap (%)",X22,IF(Dashboard!$B$7="Tidak Mantap (%)",Z22,IF(Dashboard!$B$7="Baik (%)",P22,IF(Dashboard!$B$7="Sedang (%)",R22,IF(Dashboard!$B$7="Rusak Ringan (%)",T22,IF(Dashboard!$B$7="Rusak Berat (%)",V22,AA22))))))</f>
        <v>0</v>
      </c>
      <c r="AD22" s="20">
        <f>IF(AND(AF22=1,E22&gt;=Dashboard!$B$10,IF(Dashboard!$B$9="≤ Maksimum",AC22&lt;=Dashboard!$B$8,AC22&gt;=Dashboard!$B$8)),1,0)</f>
        <v>0</v>
      </c>
      <c r="AE22" s="20" t="str">
        <f>IF(AD22=1,COUNTIFS($AD$2:$AD$351,1,$AC$2:$AC$351,"&gt;"&amp;AC22)+COUNTIFS($AD$2:AD22,1,$AC$2:AC22,AC22),"")</f>
        <v/>
      </c>
      <c r="AF22" s="20">
        <f>IF(OR(Dashboard!$B$6="Semua",ISNUMBER(SEARCH(Dashboard!$B$6,D22))),1,0)</f>
        <v>1</v>
      </c>
      <c r="AG22" s="18">
        <f t="shared" si="6"/>
        <v>0.2</v>
      </c>
      <c r="AH22" s="18">
        <f t="shared" si="7"/>
        <v>0.20000000298023224</v>
      </c>
      <c r="AI22" s="18">
        <f t="shared" si="8"/>
        <v>0</v>
      </c>
      <c r="AJ22" s="18">
        <f t="shared" si="9"/>
        <v>0</v>
      </c>
      <c r="AK22" s="20">
        <f>IF(OR(Ruas_Per_Kecamatan!$B$4="Semua",ISNUMBER(SEARCH(Ruas_Per_Kecamatan!$B$4,D22))),1,0)</f>
        <v>1</v>
      </c>
      <c r="AL22" s="20">
        <f>IF(AK22=1,COUNTIF($AK$2:AK22,1),"")</f>
        <v>21</v>
      </c>
      <c r="AM22" s="18">
        <f t="shared" si="10"/>
        <v>0.2</v>
      </c>
      <c r="AN22" s="18">
        <f t="shared" si="11"/>
        <v>0.20000000298023224</v>
      </c>
      <c r="AO22" s="18">
        <f t="shared" si="12"/>
        <v>0</v>
      </c>
      <c r="AP22" s="18">
        <f t="shared" si="13"/>
        <v>0</v>
      </c>
    </row>
    <row r="23" spans="1:42" x14ac:dyDescent="0.25">
      <c r="A23" s="17">
        <v>22</v>
      </c>
      <c r="B23" s="17" t="s">
        <v>466</v>
      </c>
      <c r="C23" s="21" t="s">
        <v>50</v>
      </c>
      <c r="D23" s="17" t="s">
        <v>29</v>
      </c>
      <c r="E23" s="18">
        <v>0.22</v>
      </c>
      <c r="F23" s="18">
        <v>4</v>
      </c>
      <c r="G23" s="18">
        <v>0</v>
      </c>
      <c r="H23" s="18"/>
      <c r="I23" s="18">
        <v>2025</v>
      </c>
      <c r="J23" s="18">
        <v>0.2199999988079071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9">
        <v>0</v>
      </c>
      <c r="Q23" s="18">
        <v>0.2199999988079071</v>
      </c>
      <c r="R23" s="19">
        <v>0.99999999458139588</v>
      </c>
      <c r="S23" s="18">
        <v>0</v>
      </c>
      <c r="T23" s="19">
        <v>0</v>
      </c>
      <c r="U23" s="18">
        <v>0</v>
      </c>
      <c r="V23" s="19">
        <v>0</v>
      </c>
      <c r="W23">
        <f t="shared" si="0"/>
        <v>0.2199999988079071</v>
      </c>
      <c r="X23" s="19">
        <f t="shared" si="1"/>
        <v>0.99999999458139588</v>
      </c>
      <c r="Y23">
        <f t="shared" si="2"/>
        <v>0</v>
      </c>
      <c r="Z23" s="19">
        <f t="shared" si="3"/>
        <v>0</v>
      </c>
      <c r="AA23" s="19">
        <f t="shared" si="4"/>
        <v>0.24999999864534897</v>
      </c>
      <c r="AB23" t="str">
        <f t="shared" si="5"/>
        <v>Relatif Mantap</v>
      </c>
      <c r="AC23" s="19">
        <f>IF(Dashboard!$B$7="Mantap (%)",X23,IF(Dashboard!$B$7="Tidak Mantap (%)",Z23,IF(Dashboard!$B$7="Baik (%)",P23,IF(Dashboard!$B$7="Sedang (%)",R23,IF(Dashboard!$B$7="Rusak Ringan (%)",T23,IF(Dashboard!$B$7="Rusak Berat (%)",V23,AA23))))))</f>
        <v>0</v>
      </c>
      <c r="AD23" s="20">
        <f>IF(AND(AF23=1,E23&gt;=Dashboard!$B$10,IF(Dashboard!$B$9="≤ Maksimum",AC23&lt;=Dashboard!$B$8,AC23&gt;=Dashboard!$B$8)),1,0)</f>
        <v>0</v>
      </c>
      <c r="AE23" s="20" t="str">
        <f>IF(AD23=1,COUNTIFS($AD$2:$AD$351,1,$AC$2:$AC$351,"&gt;"&amp;AC23)+COUNTIFS($AD$2:AD23,1,$AC$2:AC23,AC23),"")</f>
        <v/>
      </c>
      <c r="AF23" s="20">
        <f>IF(OR(Dashboard!$B$6="Semua",ISNUMBER(SEARCH(Dashboard!$B$6,D23))),1,0)</f>
        <v>1</v>
      </c>
      <c r="AG23" s="18">
        <f t="shared" si="6"/>
        <v>0.22</v>
      </c>
      <c r="AH23" s="18">
        <f t="shared" si="7"/>
        <v>0.2199999988079071</v>
      </c>
      <c r="AI23" s="18">
        <f t="shared" si="8"/>
        <v>0</v>
      </c>
      <c r="AJ23" s="18">
        <f t="shared" si="9"/>
        <v>0</v>
      </c>
      <c r="AK23" s="20">
        <f>IF(OR(Ruas_Per_Kecamatan!$B$4="Semua",ISNUMBER(SEARCH(Ruas_Per_Kecamatan!$B$4,D23))),1,0)</f>
        <v>1</v>
      </c>
      <c r="AL23" s="20">
        <f>IF(AK23=1,COUNTIF($AK$2:AK23,1),"")</f>
        <v>22</v>
      </c>
      <c r="AM23" s="18">
        <f t="shared" si="10"/>
        <v>0.22</v>
      </c>
      <c r="AN23" s="18">
        <f t="shared" si="11"/>
        <v>0.2199999988079071</v>
      </c>
      <c r="AO23" s="18">
        <f t="shared" si="12"/>
        <v>0</v>
      </c>
      <c r="AP23" s="18">
        <f t="shared" si="13"/>
        <v>0</v>
      </c>
    </row>
    <row r="24" spans="1:42" x14ac:dyDescent="0.25">
      <c r="A24" s="17">
        <v>23</v>
      </c>
      <c r="B24" s="17" t="s">
        <v>467</v>
      </c>
      <c r="C24" s="21" t="s">
        <v>51</v>
      </c>
      <c r="D24" s="17" t="s">
        <v>29</v>
      </c>
      <c r="E24" s="18">
        <v>0.35</v>
      </c>
      <c r="F24" s="18">
        <v>3.5</v>
      </c>
      <c r="G24" s="18">
        <v>0</v>
      </c>
      <c r="H24" s="18"/>
      <c r="I24" s="18">
        <v>2025</v>
      </c>
      <c r="J24" s="18">
        <v>0.34999999403953552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9">
        <v>0</v>
      </c>
      <c r="Q24" s="18">
        <v>0.34999999403953552</v>
      </c>
      <c r="R24" s="19">
        <v>0.99999998297010151</v>
      </c>
      <c r="S24" s="18">
        <v>0</v>
      </c>
      <c r="T24" s="19">
        <v>0</v>
      </c>
      <c r="U24" s="18">
        <v>0</v>
      </c>
      <c r="V24" s="19">
        <v>0</v>
      </c>
      <c r="W24">
        <f t="shared" si="0"/>
        <v>0.34999999403953552</v>
      </c>
      <c r="X24" s="19">
        <f t="shared" si="1"/>
        <v>0.99999998297010151</v>
      </c>
      <c r="Y24">
        <f t="shared" si="2"/>
        <v>0</v>
      </c>
      <c r="Z24" s="19">
        <f t="shared" si="3"/>
        <v>0</v>
      </c>
      <c r="AA24" s="19">
        <f t="shared" si="4"/>
        <v>0.24999999574252538</v>
      </c>
      <c r="AB24" t="str">
        <f t="shared" si="5"/>
        <v>Relatif Mantap</v>
      </c>
      <c r="AC24" s="19">
        <f>IF(Dashboard!$B$7="Mantap (%)",X24,IF(Dashboard!$B$7="Tidak Mantap (%)",Z24,IF(Dashboard!$B$7="Baik (%)",P24,IF(Dashboard!$B$7="Sedang (%)",R24,IF(Dashboard!$B$7="Rusak Ringan (%)",T24,IF(Dashboard!$B$7="Rusak Berat (%)",V24,AA24))))))</f>
        <v>0</v>
      </c>
      <c r="AD24" s="20">
        <f>IF(AND(AF24=1,E24&gt;=Dashboard!$B$10,IF(Dashboard!$B$9="≤ Maksimum",AC24&lt;=Dashboard!$B$8,AC24&gt;=Dashboard!$B$8)),1,0)</f>
        <v>0</v>
      </c>
      <c r="AE24" s="20" t="str">
        <f>IF(AD24=1,COUNTIFS($AD$2:$AD$351,1,$AC$2:$AC$351,"&gt;"&amp;AC24)+COUNTIFS($AD$2:AD24,1,$AC$2:AC24,AC24),"")</f>
        <v/>
      </c>
      <c r="AF24" s="20">
        <f>IF(OR(Dashboard!$B$6="Semua",ISNUMBER(SEARCH(Dashboard!$B$6,D24))),1,0)</f>
        <v>1</v>
      </c>
      <c r="AG24" s="18">
        <f t="shared" si="6"/>
        <v>0.35</v>
      </c>
      <c r="AH24" s="18">
        <f t="shared" si="7"/>
        <v>0.34999999403953552</v>
      </c>
      <c r="AI24" s="18">
        <f t="shared" si="8"/>
        <v>0</v>
      </c>
      <c r="AJ24" s="18">
        <f t="shared" si="9"/>
        <v>0</v>
      </c>
      <c r="AK24" s="20">
        <f>IF(OR(Ruas_Per_Kecamatan!$B$4="Semua",ISNUMBER(SEARCH(Ruas_Per_Kecamatan!$B$4,D24))),1,0)</f>
        <v>1</v>
      </c>
      <c r="AL24" s="20">
        <f>IF(AK24=1,COUNTIF($AK$2:AK24,1),"")</f>
        <v>23</v>
      </c>
      <c r="AM24" s="18">
        <f t="shared" si="10"/>
        <v>0.35</v>
      </c>
      <c r="AN24" s="18">
        <f t="shared" si="11"/>
        <v>0.34999999403953552</v>
      </c>
      <c r="AO24" s="18">
        <f t="shared" si="12"/>
        <v>0</v>
      </c>
      <c r="AP24" s="18">
        <f t="shared" si="13"/>
        <v>0</v>
      </c>
    </row>
    <row r="25" spans="1:42" x14ac:dyDescent="0.25">
      <c r="A25" s="17">
        <v>24</v>
      </c>
      <c r="B25" s="17" t="s">
        <v>468</v>
      </c>
      <c r="C25" s="21" t="s">
        <v>52</v>
      </c>
      <c r="D25" s="17" t="s">
        <v>29</v>
      </c>
      <c r="E25" s="18">
        <v>0.22</v>
      </c>
      <c r="F25" s="18">
        <v>3</v>
      </c>
      <c r="G25" s="18">
        <v>0</v>
      </c>
      <c r="H25" s="18"/>
      <c r="I25" s="18">
        <v>2025</v>
      </c>
      <c r="J25" s="18">
        <v>0.2199999988079071</v>
      </c>
      <c r="K25" s="18">
        <v>0</v>
      </c>
      <c r="L25" s="18">
        <v>0</v>
      </c>
      <c r="M25" s="18">
        <v>0</v>
      </c>
      <c r="N25" s="18">
        <v>0</v>
      </c>
      <c r="O25" s="18">
        <v>0.2199999988079071</v>
      </c>
      <c r="P25" s="19">
        <v>0.99999999458139588</v>
      </c>
      <c r="Q25" s="18">
        <v>0</v>
      </c>
      <c r="R25" s="19">
        <v>0</v>
      </c>
      <c r="S25" s="18">
        <v>0</v>
      </c>
      <c r="T25" s="19">
        <v>0</v>
      </c>
      <c r="U25" s="18">
        <v>0</v>
      </c>
      <c r="V25" s="19">
        <v>0</v>
      </c>
      <c r="W25">
        <f t="shared" si="0"/>
        <v>0.2199999988079071</v>
      </c>
      <c r="X25" s="19">
        <f t="shared" si="1"/>
        <v>0.99999999458139588</v>
      </c>
      <c r="Y25">
        <f t="shared" si="2"/>
        <v>0</v>
      </c>
      <c r="Z25" s="19">
        <f t="shared" si="3"/>
        <v>0</v>
      </c>
      <c r="AA25" s="19">
        <f t="shared" si="4"/>
        <v>0</v>
      </c>
      <c r="AB25" t="str">
        <f t="shared" si="5"/>
        <v>Relatif Mantap</v>
      </c>
      <c r="AC25" s="19">
        <f>IF(Dashboard!$B$7="Mantap (%)",X25,IF(Dashboard!$B$7="Tidak Mantap (%)",Z25,IF(Dashboard!$B$7="Baik (%)",P25,IF(Dashboard!$B$7="Sedang (%)",R25,IF(Dashboard!$B$7="Rusak Ringan (%)",T25,IF(Dashboard!$B$7="Rusak Berat (%)",V25,AA25))))))</f>
        <v>0</v>
      </c>
      <c r="AD25" s="20">
        <f>IF(AND(AF25=1,E25&gt;=Dashboard!$B$10,IF(Dashboard!$B$9="≤ Maksimum",AC25&lt;=Dashboard!$B$8,AC25&gt;=Dashboard!$B$8)),1,0)</f>
        <v>0</v>
      </c>
      <c r="AE25" s="20" t="str">
        <f>IF(AD25=1,COUNTIFS($AD$2:$AD$351,1,$AC$2:$AC$351,"&gt;"&amp;AC25)+COUNTIFS($AD$2:AD25,1,$AC$2:AC25,AC25),"")</f>
        <v/>
      </c>
      <c r="AF25" s="20">
        <f>IF(OR(Dashboard!$B$6="Semua",ISNUMBER(SEARCH(Dashboard!$B$6,D25))),1,0)</f>
        <v>1</v>
      </c>
      <c r="AG25" s="18">
        <f t="shared" si="6"/>
        <v>0.22</v>
      </c>
      <c r="AH25" s="18">
        <f t="shared" si="7"/>
        <v>0.2199999988079071</v>
      </c>
      <c r="AI25" s="18">
        <f t="shared" si="8"/>
        <v>0</v>
      </c>
      <c r="AJ25" s="18">
        <f t="shared" si="9"/>
        <v>0</v>
      </c>
      <c r="AK25" s="20">
        <f>IF(OR(Ruas_Per_Kecamatan!$B$4="Semua",ISNUMBER(SEARCH(Ruas_Per_Kecamatan!$B$4,D25))),1,0)</f>
        <v>1</v>
      </c>
      <c r="AL25" s="20">
        <f>IF(AK25=1,COUNTIF($AK$2:AK25,1),"")</f>
        <v>24</v>
      </c>
      <c r="AM25" s="18">
        <f t="shared" si="10"/>
        <v>0.22</v>
      </c>
      <c r="AN25" s="18">
        <f t="shared" si="11"/>
        <v>0.2199999988079071</v>
      </c>
      <c r="AO25" s="18">
        <f t="shared" si="12"/>
        <v>0</v>
      </c>
      <c r="AP25" s="18">
        <f t="shared" si="13"/>
        <v>0</v>
      </c>
    </row>
    <row r="26" spans="1:42" x14ac:dyDescent="0.25">
      <c r="A26" s="17">
        <v>25</v>
      </c>
      <c r="B26" s="17" t="s">
        <v>469</v>
      </c>
      <c r="C26" s="21" t="s">
        <v>53</v>
      </c>
      <c r="D26" s="17" t="s">
        <v>29</v>
      </c>
      <c r="E26" s="18">
        <v>5.32</v>
      </c>
      <c r="F26" s="18">
        <v>4</v>
      </c>
      <c r="G26" s="18">
        <v>0</v>
      </c>
      <c r="H26" s="18"/>
      <c r="I26" s="18">
        <v>2025</v>
      </c>
      <c r="J26" s="18">
        <v>5.320000171661377</v>
      </c>
      <c r="K26" s="18">
        <v>0</v>
      </c>
      <c r="L26" s="18">
        <v>0</v>
      </c>
      <c r="M26" s="18">
        <v>0</v>
      </c>
      <c r="N26" s="18">
        <v>0</v>
      </c>
      <c r="O26" s="18">
        <v>1.1000000238418579</v>
      </c>
      <c r="P26" s="19">
        <v>0.20676692177478531</v>
      </c>
      <c r="Q26" s="18">
        <v>1.7000000476837158</v>
      </c>
      <c r="R26" s="19">
        <v>0.31954888114355556</v>
      </c>
      <c r="S26" s="18">
        <v>1.3200000524520874</v>
      </c>
      <c r="T26" s="19">
        <v>0.24812031061129461</v>
      </c>
      <c r="U26" s="18">
        <v>1.2000000476837158</v>
      </c>
      <c r="V26" s="19">
        <v>0.22556391873754056</v>
      </c>
      <c r="W26">
        <f t="shared" si="0"/>
        <v>2.8000000715255737</v>
      </c>
      <c r="X26" s="19">
        <f t="shared" si="1"/>
        <v>0.5263158029183409</v>
      </c>
      <c r="Y26">
        <f t="shared" si="2"/>
        <v>2.5200001001358032</v>
      </c>
      <c r="Z26" s="19">
        <f t="shared" si="3"/>
        <v>0.47368422934883514</v>
      </c>
      <c r="AA26" s="19">
        <f t="shared" si="4"/>
        <v>0.4543233253902062</v>
      </c>
      <c r="AB26" t="str">
        <f t="shared" si="5"/>
        <v>Rusak Berat Dominan</v>
      </c>
      <c r="AC26" s="19">
        <f>IF(Dashboard!$B$7="Mantap (%)",X26,IF(Dashboard!$B$7="Tidak Mantap (%)",Z26,IF(Dashboard!$B$7="Baik (%)",P26,IF(Dashboard!$B$7="Sedang (%)",R26,IF(Dashboard!$B$7="Rusak Ringan (%)",T26,IF(Dashboard!$B$7="Rusak Berat (%)",V26,AA26))))))</f>
        <v>0.47368422934883514</v>
      </c>
      <c r="AD26" s="20">
        <f>IF(AND(AF26=1,E26&gt;=Dashboard!$B$10,IF(Dashboard!$B$9="≤ Maksimum",AC26&lt;=Dashboard!$B$8,AC26&gt;=Dashboard!$B$8)),1,0)</f>
        <v>1</v>
      </c>
      <c r="AE26" s="20">
        <f>IF(AD26=1,COUNTIFS($AD$2:$AD$351,1,$AC$2:$AC$351,"&gt;"&amp;AC26)+COUNTIFS($AD$2:AD26,1,$AC$2:AC26,AC26),"")</f>
        <v>129</v>
      </c>
      <c r="AF26" s="20">
        <f>IF(OR(Dashboard!$B$6="Semua",ISNUMBER(SEARCH(Dashboard!$B$6,D26))),1,0)</f>
        <v>1</v>
      </c>
      <c r="AG26" s="18">
        <f t="shared" si="6"/>
        <v>5.32</v>
      </c>
      <c r="AH26" s="18">
        <f t="shared" si="7"/>
        <v>2.8000000715255737</v>
      </c>
      <c r="AI26" s="18">
        <f t="shared" si="8"/>
        <v>2.5200001001358032</v>
      </c>
      <c r="AJ26" s="18">
        <f t="shared" si="9"/>
        <v>1.2000000476837158</v>
      </c>
      <c r="AK26" s="20">
        <f>IF(OR(Ruas_Per_Kecamatan!$B$4="Semua",ISNUMBER(SEARCH(Ruas_Per_Kecamatan!$B$4,D26))),1,0)</f>
        <v>1</v>
      </c>
      <c r="AL26" s="20">
        <f>IF(AK26=1,COUNTIF($AK$2:AK26,1),"")</f>
        <v>25</v>
      </c>
      <c r="AM26" s="18">
        <f t="shared" si="10"/>
        <v>5.32</v>
      </c>
      <c r="AN26" s="18">
        <f t="shared" si="11"/>
        <v>2.8000000715255737</v>
      </c>
      <c r="AO26" s="18">
        <f t="shared" si="12"/>
        <v>2.5200001001358032</v>
      </c>
      <c r="AP26" s="18">
        <f t="shared" si="13"/>
        <v>1.2000000476837158</v>
      </c>
    </row>
    <row r="27" spans="1:42" x14ac:dyDescent="0.25">
      <c r="A27" s="17">
        <v>26</v>
      </c>
      <c r="B27" s="17" t="s">
        <v>470</v>
      </c>
      <c r="C27" s="21" t="s">
        <v>54</v>
      </c>
      <c r="D27" s="17" t="s">
        <v>29</v>
      </c>
      <c r="E27" s="18">
        <v>0.2</v>
      </c>
      <c r="F27" s="18">
        <v>4</v>
      </c>
      <c r="G27" s="18">
        <v>0</v>
      </c>
      <c r="H27" s="18"/>
      <c r="I27" s="18">
        <v>2025</v>
      </c>
      <c r="J27" s="18">
        <v>0.20000000298023224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9">
        <v>0</v>
      </c>
      <c r="Q27" s="18">
        <v>0.20000000298023224</v>
      </c>
      <c r="R27" s="19">
        <v>1.0000000149011612</v>
      </c>
      <c r="S27" s="18">
        <v>0</v>
      </c>
      <c r="T27" s="19">
        <v>0</v>
      </c>
      <c r="U27" s="18">
        <v>0</v>
      </c>
      <c r="V27" s="19">
        <v>0</v>
      </c>
      <c r="W27">
        <f t="shared" si="0"/>
        <v>0.20000000298023224</v>
      </c>
      <c r="X27" s="19">
        <f t="shared" si="1"/>
        <v>1.0000000149011612</v>
      </c>
      <c r="Y27">
        <f t="shared" si="2"/>
        <v>0</v>
      </c>
      <c r="Z27" s="19">
        <f t="shared" si="3"/>
        <v>0</v>
      </c>
      <c r="AA27" s="19">
        <f t="shared" si="4"/>
        <v>0.2500000037252903</v>
      </c>
      <c r="AB27" t="str">
        <f t="shared" si="5"/>
        <v>Relatif Mantap</v>
      </c>
      <c r="AC27" s="19">
        <f>IF(Dashboard!$B$7="Mantap (%)",X27,IF(Dashboard!$B$7="Tidak Mantap (%)",Z27,IF(Dashboard!$B$7="Baik (%)",P27,IF(Dashboard!$B$7="Sedang (%)",R27,IF(Dashboard!$B$7="Rusak Ringan (%)",T27,IF(Dashboard!$B$7="Rusak Berat (%)",V27,AA27))))))</f>
        <v>0</v>
      </c>
      <c r="AD27" s="20">
        <f>IF(AND(AF27=1,E27&gt;=Dashboard!$B$10,IF(Dashboard!$B$9="≤ Maksimum",AC27&lt;=Dashboard!$B$8,AC27&gt;=Dashboard!$B$8)),1,0)</f>
        <v>0</v>
      </c>
      <c r="AE27" s="20" t="str">
        <f>IF(AD27=1,COUNTIFS($AD$2:$AD$351,1,$AC$2:$AC$351,"&gt;"&amp;AC27)+COUNTIFS($AD$2:AD27,1,$AC$2:AC27,AC27),"")</f>
        <v/>
      </c>
      <c r="AF27" s="20">
        <f>IF(OR(Dashboard!$B$6="Semua",ISNUMBER(SEARCH(Dashboard!$B$6,D27))),1,0)</f>
        <v>1</v>
      </c>
      <c r="AG27" s="18">
        <f t="shared" si="6"/>
        <v>0.2</v>
      </c>
      <c r="AH27" s="18">
        <f t="shared" si="7"/>
        <v>0.20000000298023224</v>
      </c>
      <c r="AI27" s="18">
        <f t="shared" si="8"/>
        <v>0</v>
      </c>
      <c r="AJ27" s="18">
        <f t="shared" si="9"/>
        <v>0</v>
      </c>
      <c r="AK27" s="20">
        <f>IF(OR(Ruas_Per_Kecamatan!$B$4="Semua",ISNUMBER(SEARCH(Ruas_Per_Kecamatan!$B$4,D27))),1,0)</f>
        <v>1</v>
      </c>
      <c r="AL27" s="20">
        <f>IF(AK27=1,COUNTIF($AK$2:AK27,1),"")</f>
        <v>26</v>
      </c>
      <c r="AM27" s="18">
        <f t="shared" si="10"/>
        <v>0.2</v>
      </c>
      <c r="AN27" s="18">
        <f t="shared" si="11"/>
        <v>0.20000000298023224</v>
      </c>
      <c r="AO27" s="18">
        <f t="shared" si="12"/>
        <v>0</v>
      </c>
      <c r="AP27" s="18">
        <f t="shared" si="13"/>
        <v>0</v>
      </c>
    </row>
    <row r="28" spans="1:42" x14ac:dyDescent="0.25">
      <c r="A28" s="17">
        <v>27</v>
      </c>
      <c r="B28" s="17" t="s">
        <v>471</v>
      </c>
      <c r="C28" s="21" t="s">
        <v>55</v>
      </c>
      <c r="D28" s="17" t="s">
        <v>29</v>
      </c>
      <c r="E28" s="18">
        <v>0.66</v>
      </c>
      <c r="F28" s="18">
        <v>3.5</v>
      </c>
      <c r="G28" s="18">
        <v>0</v>
      </c>
      <c r="H28" s="18"/>
      <c r="I28" s="18">
        <v>2025</v>
      </c>
      <c r="J28" s="18">
        <v>0.6600000262260437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9">
        <v>0</v>
      </c>
      <c r="Q28" s="18">
        <v>0.6600000262260437</v>
      </c>
      <c r="R28" s="19">
        <v>1.0000000397364297</v>
      </c>
      <c r="S28" s="18">
        <v>0</v>
      </c>
      <c r="T28" s="19">
        <v>0</v>
      </c>
      <c r="U28" s="18">
        <v>0</v>
      </c>
      <c r="V28" s="19">
        <v>0</v>
      </c>
      <c r="W28">
        <f t="shared" si="0"/>
        <v>0.6600000262260437</v>
      </c>
      <c r="X28" s="19">
        <f t="shared" si="1"/>
        <v>1.0000000397364297</v>
      </c>
      <c r="Y28">
        <f t="shared" si="2"/>
        <v>0</v>
      </c>
      <c r="Z28" s="19">
        <f t="shared" si="3"/>
        <v>0</v>
      </c>
      <c r="AA28" s="19">
        <f t="shared" si="4"/>
        <v>0.25000000993410743</v>
      </c>
      <c r="AB28" t="str">
        <f t="shared" si="5"/>
        <v>Relatif Mantap</v>
      </c>
      <c r="AC28" s="19">
        <f>IF(Dashboard!$B$7="Mantap (%)",X28,IF(Dashboard!$B$7="Tidak Mantap (%)",Z28,IF(Dashboard!$B$7="Baik (%)",P28,IF(Dashboard!$B$7="Sedang (%)",R28,IF(Dashboard!$B$7="Rusak Ringan (%)",T28,IF(Dashboard!$B$7="Rusak Berat (%)",V28,AA28))))))</f>
        <v>0</v>
      </c>
      <c r="AD28" s="20">
        <f>IF(AND(AF28=1,E28&gt;=Dashboard!$B$10,IF(Dashboard!$B$9="≤ Maksimum",AC28&lt;=Dashboard!$B$8,AC28&gt;=Dashboard!$B$8)),1,0)</f>
        <v>0</v>
      </c>
      <c r="AE28" s="20" t="str">
        <f>IF(AD28=1,COUNTIFS($AD$2:$AD$351,1,$AC$2:$AC$351,"&gt;"&amp;AC28)+COUNTIFS($AD$2:AD28,1,$AC$2:AC28,AC28),"")</f>
        <v/>
      </c>
      <c r="AF28" s="20">
        <f>IF(OR(Dashboard!$B$6="Semua",ISNUMBER(SEARCH(Dashboard!$B$6,D28))),1,0)</f>
        <v>1</v>
      </c>
      <c r="AG28" s="18">
        <f t="shared" si="6"/>
        <v>0.66</v>
      </c>
      <c r="AH28" s="18">
        <f t="shared" si="7"/>
        <v>0.6600000262260437</v>
      </c>
      <c r="AI28" s="18">
        <f t="shared" si="8"/>
        <v>0</v>
      </c>
      <c r="AJ28" s="18">
        <f t="shared" si="9"/>
        <v>0</v>
      </c>
      <c r="AK28" s="20">
        <f>IF(OR(Ruas_Per_Kecamatan!$B$4="Semua",ISNUMBER(SEARCH(Ruas_Per_Kecamatan!$B$4,D28))),1,0)</f>
        <v>1</v>
      </c>
      <c r="AL28" s="20">
        <f>IF(AK28=1,COUNTIF($AK$2:AK28,1),"")</f>
        <v>27</v>
      </c>
      <c r="AM28" s="18">
        <f t="shared" si="10"/>
        <v>0.66</v>
      </c>
      <c r="AN28" s="18">
        <f t="shared" si="11"/>
        <v>0.6600000262260437</v>
      </c>
      <c r="AO28" s="18">
        <f t="shared" si="12"/>
        <v>0</v>
      </c>
      <c r="AP28" s="18">
        <f t="shared" si="13"/>
        <v>0</v>
      </c>
    </row>
    <row r="29" spans="1:42" x14ac:dyDescent="0.25">
      <c r="A29" s="17">
        <v>28</v>
      </c>
      <c r="B29" s="17" t="s">
        <v>472</v>
      </c>
      <c r="C29" s="21" t="s">
        <v>56</v>
      </c>
      <c r="D29" s="17" t="s">
        <v>29</v>
      </c>
      <c r="E29" s="18">
        <v>0.81</v>
      </c>
      <c r="F29" s="18">
        <v>5</v>
      </c>
      <c r="G29" s="18">
        <v>0</v>
      </c>
      <c r="H29" s="18"/>
      <c r="I29" s="18">
        <v>2025</v>
      </c>
      <c r="J29" s="18">
        <v>0.81000000238418579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9">
        <v>0</v>
      </c>
      <c r="Q29" s="18">
        <v>0.81000000238418579</v>
      </c>
      <c r="R29" s="19">
        <v>1.0000000029434393</v>
      </c>
      <c r="S29" s="18">
        <v>0</v>
      </c>
      <c r="T29" s="19">
        <v>0</v>
      </c>
      <c r="U29" s="18">
        <v>0</v>
      </c>
      <c r="V29" s="19">
        <v>0</v>
      </c>
      <c r="W29">
        <f t="shared" si="0"/>
        <v>0.81000000238418579</v>
      </c>
      <c r="X29" s="19">
        <f t="shared" si="1"/>
        <v>1.0000000029434393</v>
      </c>
      <c r="Y29">
        <f t="shared" si="2"/>
        <v>0</v>
      </c>
      <c r="Z29" s="19">
        <f t="shared" si="3"/>
        <v>0</v>
      </c>
      <c r="AA29" s="19">
        <f t="shared" si="4"/>
        <v>0.25000000073585982</v>
      </c>
      <c r="AB29" t="str">
        <f t="shared" si="5"/>
        <v>Relatif Mantap</v>
      </c>
      <c r="AC29" s="19">
        <f>IF(Dashboard!$B$7="Mantap (%)",X29,IF(Dashboard!$B$7="Tidak Mantap (%)",Z29,IF(Dashboard!$B$7="Baik (%)",P29,IF(Dashboard!$B$7="Sedang (%)",R29,IF(Dashboard!$B$7="Rusak Ringan (%)",T29,IF(Dashboard!$B$7="Rusak Berat (%)",V29,AA29))))))</f>
        <v>0</v>
      </c>
      <c r="AD29" s="20">
        <f>IF(AND(AF29=1,E29&gt;=Dashboard!$B$10,IF(Dashboard!$B$9="≤ Maksimum",AC29&lt;=Dashboard!$B$8,AC29&gt;=Dashboard!$B$8)),1,0)</f>
        <v>0</v>
      </c>
      <c r="AE29" s="20" t="str">
        <f>IF(AD29=1,COUNTIFS($AD$2:$AD$351,1,$AC$2:$AC$351,"&gt;"&amp;AC29)+COUNTIFS($AD$2:AD29,1,$AC$2:AC29,AC29),"")</f>
        <v/>
      </c>
      <c r="AF29" s="20">
        <f>IF(OR(Dashboard!$B$6="Semua",ISNUMBER(SEARCH(Dashboard!$B$6,D29))),1,0)</f>
        <v>1</v>
      </c>
      <c r="AG29" s="18">
        <f t="shared" si="6"/>
        <v>0.81</v>
      </c>
      <c r="AH29" s="18">
        <f t="shared" si="7"/>
        <v>0.81000000238418579</v>
      </c>
      <c r="AI29" s="18">
        <f t="shared" si="8"/>
        <v>0</v>
      </c>
      <c r="AJ29" s="18">
        <f t="shared" si="9"/>
        <v>0</v>
      </c>
      <c r="AK29" s="20">
        <f>IF(OR(Ruas_Per_Kecamatan!$B$4="Semua",ISNUMBER(SEARCH(Ruas_Per_Kecamatan!$B$4,D29))),1,0)</f>
        <v>1</v>
      </c>
      <c r="AL29" s="20">
        <f>IF(AK29=1,COUNTIF($AK$2:AK29,1),"")</f>
        <v>28</v>
      </c>
      <c r="AM29" s="18">
        <f t="shared" si="10"/>
        <v>0.81</v>
      </c>
      <c r="AN29" s="18">
        <f t="shared" si="11"/>
        <v>0.81000000238418579</v>
      </c>
      <c r="AO29" s="18">
        <f t="shared" si="12"/>
        <v>0</v>
      </c>
      <c r="AP29" s="18">
        <f t="shared" si="13"/>
        <v>0</v>
      </c>
    </row>
    <row r="30" spans="1:42" x14ac:dyDescent="0.25">
      <c r="A30" s="17">
        <v>29</v>
      </c>
      <c r="B30" s="17" t="s">
        <v>473</v>
      </c>
      <c r="C30" s="21" t="s">
        <v>57</v>
      </c>
      <c r="D30" s="17" t="s">
        <v>29</v>
      </c>
      <c r="E30" s="18">
        <v>1.07</v>
      </c>
      <c r="F30" s="18">
        <v>3.0299999713897705</v>
      </c>
      <c r="G30" s="18">
        <v>0</v>
      </c>
      <c r="H30" s="18"/>
      <c r="I30" s="18">
        <v>2025</v>
      </c>
      <c r="J30" s="18">
        <v>1.0700000524520874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9">
        <v>0</v>
      </c>
      <c r="Q30" s="18">
        <v>0.67000001668930054</v>
      </c>
      <c r="R30" s="19">
        <v>0.62616823989654247</v>
      </c>
      <c r="S30" s="18">
        <v>0.20000000298023224</v>
      </c>
      <c r="T30" s="19">
        <v>0.18691589063573105</v>
      </c>
      <c r="U30" s="18">
        <v>0.20000000298023224</v>
      </c>
      <c r="V30" s="19">
        <v>0.18691589063573105</v>
      </c>
      <c r="W30">
        <f t="shared" si="0"/>
        <v>0.67000001668930054</v>
      </c>
      <c r="X30" s="19">
        <f t="shared" si="1"/>
        <v>0.62616823989654247</v>
      </c>
      <c r="Y30">
        <f t="shared" si="2"/>
        <v>0.40000000596046448</v>
      </c>
      <c r="Z30" s="19">
        <f t="shared" si="3"/>
        <v>0.3738317812714621</v>
      </c>
      <c r="AA30" s="19">
        <f t="shared" si="4"/>
        <v>0.45560748499130527</v>
      </c>
      <c r="AB30" t="str">
        <f t="shared" si="5"/>
        <v>Tidak Mantap Sedang</v>
      </c>
      <c r="AC30" s="19">
        <f>IF(Dashboard!$B$7="Mantap (%)",X30,IF(Dashboard!$B$7="Tidak Mantap (%)",Z30,IF(Dashboard!$B$7="Baik (%)",P30,IF(Dashboard!$B$7="Sedang (%)",R30,IF(Dashboard!$B$7="Rusak Ringan (%)",T30,IF(Dashboard!$B$7="Rusak Berat (%)",V30,AA30))))))</f>
        <v>0.3738317812714621</v>
      </c>
      <c r="AD30" s="20">
        <f>IF(AND(AF30=1,E30&gt;=Dashboard!$B$10,IF(Dashboard!$B$9="≤ Maksimum",AC30&lt;=Dashboard!$B$8,AC30&gt;=Dashboard!$B$8)),1,0)</f>
        <v>1</v>
      </c>
      <c r="AE30" s="20">
        <f>IF(AD30=1,COUNTIFS($AD$2:$AD$351,1,$AC$2:$AC$351,"&gt;"&amp;AC30)+COUNTIFS($AD$2:AD30,1,$AC$2:AC30,AC30),"")</f>
        <v>154</v>
      </c>
      <c r="AF30" s="20">
        <f>IF(OR(Dashboard!$B$6="Semua",ISNUMBER(SEARCH(Dashboard!$B$6,D30))),1,0)</f>
        <v>1</v>
      </c>
      <c r="AG30" s="18">
        <f t="shared" si="6"/>
        <v>1.07</v>
      </c>
      <c r="AH30" s="18">
        <f t="shared" si="7"/>
        <v>0.67000001668930054</v>
      </c>
      <c r="AI30" s="18">
        <f t="shared" si="8"/>
        <v>0.40000000596046448</v>
      </c>
      <c r="AJ30" s="18">
        <f t="shared" si="9"/>
        <v>0.20000000298023224</v>
      </c>
      <c r="AK30" s="20">
        <f>IF(OR(Ruas_Per_Kecamatan!$B$4="Semua",ISNUMBER(SEARCH(Ruas_Per_Kecamatan!$B$4,D30))),1,0)</f>
        <v>1</v>
      </c>
      <c r="AL30" s="20">
        <f>IF(AK30=1,COUNTIF($AK$2:AK30,1),"")</f>
        <v>29</v>
      </c>
      <c r="AM30" s="18">
        <f t="shared" si="10"/>
        <v>1.07</v>
      </c>
      <c r="AN30" s="18">
        <f t="shared" si="11"/>
        <v>0.67000001668930054</v>
      </c>
      <c r="AO30" s="18">
        <f t="shared" si="12"/>
        <v>0.40000000596046448</v>
      </c>
      <c r="AP30" s="18">
        <f t="shared" si="13"/>
        <v>0.20000000298023224</v>
      </c>
    </row>
    <row r="31" spans="1:42" x14ac:dyDescent="0.25">
      <c r="A31" s="17">
        <v>30</v>
      </c>
      <c r="B31" s="17" t="s">
        <v>474</v>
      </c>
      <c r="C31" s="21" t="s">
        <v>58</v>
      </c>
      <c r="D31" s="17" t="s">
        <v>29</v>
      </c>
      <c r="E31" s="18">
        <v>2.5099999999999998</v>
      </c>
      <c r="F31" s="18">
        <v>3.5</v>
      </c>
      <c r="G31" s="18">
        <v>0</v>
      </c>
      <c r="H31" s="18"/>
      <c r="I31" s="18">
        <v>2025</v>
      </c>
      <c r="J31" s="18">
        <v>2.5099999904632568</v>
      </c>
      <c r="K31" s="18">
        <v>0</v>
      </c>
      <c r="L31" s="18">
        <v>0</v>
      </c>
      <c r="M31" s="18">
        <v>0</v>
      </c>
      <c r="N31" s="18">
        <v>0</v>
      </c>
      <c r="O31" s="18">
        <v>0.60000002384185791</v>
      </c>
      <c r="P31" s="19">
        <v>0.23904383419994341</v>
      </c>
      <c r="Q31" s="18">
        <v>1.7100000381469727</v>
      </c>
      <c r="R31" s="19">
        <v>0.68127491559640352</v>
      </c>
      <c r="S31" s="18">
        <v>0.20000000298023224</v>
      </c>
      <c r="T31" s="19">
        <v>7.9681276087741934E-2</v>
      </c>
      <c r="U31" s="18">
        <v>0</v>
      </c>
      <c r="V31" s="19">
        <v>0</v>
      </c>
      <c r="W31">
        <f t="shared" si="0"/>
        <v>2.3100000619888306</v>
      </c>
      <c r="X31" s="19">
        <f t="shared" si="1"/>
        <v>0.92031874979634687</v>
      </c>
      <c r="Y31">
        <f t="shared" si="2"/>
        <v>0.20000000298023224</v>
      </c>
      <c r="Z31" s="19">
        <f t="shared" si="3"/>
        <v>7.9681276087741934E-2</v>
      </c>
      <c r="AA31" s="19">
        <f t="shared" si="4"/>
        <v>0.21812749455174604</v>
      </c>
      <c r="AB31" t="str">
        <f t="shared" si="5"/>
        <v>Relatif Mantap</v>
      </c>
      <c r="AC31" s="19">
        <f>IF(Dashboard!$B$7="Mantap (%)",X31,IF(Dashboard!$B$7="Tidak Mantap (%)",Z31,IF(Dashboard!$B$7="Baik (%)",P31,IF(Dashboard!$B$7="Sedang (%)",R31,IF(Dashboard!$B$7="Rusak Ringan (%)",T31,IF(Dashboard!$B$7="Rusak Berat (%)",V31,AA31))))))</f>
        <v>7.9681276087741934E-2</v>
      </c>
      <c r="AD31" s="20">
        <f>IF(AND(AF31=1,E31&gt;=Dashboard!$B$10,IF(Dashboard!$B$9="≤ Maksimum",AC31&lt;=Dashboard!$B$8,AC31&gt;=Dashboard!$B$8)),1,0)</f>
        <v>0</v>
      </c>
      <c r="AE31" s="20" t="str">
        <f>IF(AD31=1,COUNTIFS($AD$2:$AD$351,1,$AC$2:$AC$351,"&gt;"&amp;AC31)+COUNTIFS($AD$2:AD31,1,$AC$2:AC31,AC31),"")</f>
        <v/>
      </c>
      <c r="AF31" s="20">
        <f>IF(OR(Dashboard!$B$6="Semua",ISNUMBER(SEARCH(Dashboard!$B$6,D31))),1,0)</f>
        <v>1</v>
      </c>
      <c r="AG31" s="18">
        <f t="shared" si="6"/>
        <v>2.5099999999999998</v>
      </c>
      <c r="AH31" s="18">
        <f t="shared" si="7"/>
        <v>2.3100000619888306</v>
      </c>
      <c r="AI31" s="18">
        <f t="shared" si="8"/>
        <v>0.20000000298023224</v>
      </c>
      <c r="AJ31" s="18">
        <f t="shared" si="9"/>
        <v>0</v>
      </c>
      <c r="AK31" s="20">
        <f>IF(OR(Ruas_Per_Kecamatan!$B$4="Semua",ISNUMBER(SEARCH(Ruas_Per_Kecamatan!$B$4,D31))),1,0)</f>
        <v>1</v>
      </c>
      <c r="AL31" s="20">
        <f>IF(AK31=1,COUNTIF($AK$2:AK31,1),"")</f>
        <v>30</v>
      </c>
      <c r="AM31" s="18">
        <f t="shared" si="10"/>
        <v>2.5099999999999998</v>
      </c>
      <c r="AN31" s="18">
        <f t="shared" si="11"/>
        <v>2.3100000619888306</v>
      </c>
      <c r="AO31" s="18">
        <f t="shared" si="12"/>
        <v>0.20000000298023224</v>
      </c>
      <c r="AP31" s="18">
        <f t="shared" si="13"/>
        <v>0</v>
      </c>
    </row>
    <row r="32" spans="1:42" x14ac:dyDescent="0.25">
      <c r="A32" s="17">
        <v>31</v>
      </c>
      <c r="B32" s="17" t="s">
        <v>475</v>
      </c>
      <c r="C32" s="21" t="s">
        <v>59</v>
      </c>
      <c r="D32" s="17" t="s">
        <v>29</v>
      </c>
      <c r="E32" s="18">
        <v>5.41</v>
      </c>
      <c r="F32" s="18">
        <v>3.5</v>
      </c>
      <c r="G32" s="18">
        <v>0</v>
      </c>
      <c r="H32" s="18"/>
      <c r="I32" s="18">
        <v>2025</v>
      </c>
      <c r="J32" s="18">
        <v>5.4099998474121094</v>
      </c>
      <c r="K32" s="18">
        <v>0</v>
      </c>
      <c r="L32" s="18">
        <v>0</v>
      </c>
      <c r="M32" s="18">
        <v>0</v>
      </c>
      <c r="N32" s="18">
        <v>0</v>
      </c>
      <c r="O32" s="18">
        <v>4.5</v>
      </c>
      <c r="P32" s="19">
        <v>0.83179297597042512</v>
      </c>
      <c r="Q32" s="18">
        <v>0.40999999642372131</v>
      </c>
      <c r="R32" s="19">
        <v>7.5785581594033508E-2</v>
      </c>
      <c r="S32" s="18">
        <v>0.5</v>
      </c>
      <c r="T32" s="19">
        <v>9.2421441774491686E-2</v>
      </c>
      <c r="U32" s="18">
        <v>0</v>
      </c>
      <c r="V32" s="19">
        <v>0</v>
      </c>
      <c r="W32">
        <f t="shared" si="0"/>
        <v>4.9099999964237213</v>
      </c>
      <c r="X32" s="19">
        <f t="shared" si="1"/>
        <v>0.9075785575644586</v>
      </c>
      <c r="Y32">
        <f t="shared" si="2"/>
        <v>0.5</v>
      </c>
      <c r="Z32" s="19">
        <f t="shared" si="3"/>
        <v>9.2421441774491686E-2</v>
      </c>
      <c r="AA32" s="19">
        <f t="shared" si="4"/>
        <v>7.4399260463203387E-2</v>
      </c>
      <c r="AB32" t="str">
        <f t="shared" si="5"/>
        <v>Relatif Mantap</v>
      </c>
      <c r="AC32" s="19">
        <f>IF(Dashboard!$B$7="Mantap (%)",X32,IF(Dashboard!$B$7="Tidak Mantap (%)",Z32,IF(Dashboard!$B$7="Baik (%)",P32,IF(Dashboard!$B$7="Sedang (%)",R32,IF(Dashboard!$B$7="Rusak Ringan (%)",T32,IF(Dashboard!$B$7="Rusak Berat (%)",V32,AA32))))))</f>
        <v>9.2421441774491686E-2</v>
      </c>
      <c r="AD32" s="20">
        <f>IF(AND(AF32=1,E32&gt;=Dashboard!$B$10,IF(Dashboard!$B$9="≤ Maksimum",AC32&lt;=Dashboard!$B$8,AC32&gt;=Dashboard!$B$8)),1,0)</f>
        <v>0</v>
      </c>
      <c r="AE32" s="20" t="str">
        <f>IF(AD32=1,COUNTIFS($AD$2:$AD$351,1,$AC$2:$AC$351,"&gt;"&amp;AC32)+COUNTIFS($AD$2:AD32,1,$AC$2:AC32,AC32),"")</f>
        <v/>
      </c>
      <c r="AF32" s="20">
        <f>IF(OR(Dashboard!$B$6="Semua",ISNUMBER(SEARCH(Dashboard!$B$6,D32))),1,0)</f>
        <v>1</v>
      </c>
      <c r="AG32" s="18">
        <f t="shared" si="6"/>
        <v>5.41</v>
      </c>
      <c r="AH32" s="18">
        <f t="shared" si="7"/>
        <v>4.9099999964237213</v>
      </c>
      <c r="AI32" s="18">
        <f t="shared" si="8"/>
        <v>0.5</v>
      </c>
      <c r="AJ32" s="18">
        <f t="shared" si="9"/>
        <v>0</v>
      </c>
      <c r="AK32" s="20">
        <f>IF(OR(Ruas_Per_Kecamatan!$B$4="Semua",ISNUMBER(SEARCH(Ruas_Per_Kecamatan!$B$4,D32))),1,0)</f>
        <v>1</v>
      </c>
      <c r="AL32" s="20">
        <f>IF(AK32=1,COUNTIF($AK$2:AK32,1),"")</f>
        <v>31</v>
      </c>
      <c r="AM32" s="18">
        <f t="shared" si="10"/>
        <v>5.41</v>
      </c>
      <c r="AN32" s="18">
        <f t="shared" si="11"/>
        <v>4.9099999964237213</v>
      </c>
      <c r="AO32" s="18">
        <f t="shared" si="12"/>
        <v>0.5</v>
      </c>
      <c r="AP32" s="18">
        <f t="shared" si="13"/>
        <v>0</v>
      </c>
    </row>
    <row r="33" spans="1:42" x14ac:dyDescent="0.25">
      <c r="A33" s="17">
        <v>32</v>
      </c>
      <c r="B33" s="17" t="s">
        <v>476</v>
      </c>
      <c r="C33" s="21" t="s">
        <v>60</v>
      </c>
      <c r="D33" s="17" t="s">
        <v>29</v>
      </c>
      <c r="E33" s="18">
        <v>3.17</v>
      </c>
      <c r="F33" s="18">
        <v>3.5</v>
      </c>
      <c r="G33" s="18">
        <v>0</v>
      </c>
      <c r="H33" s="18"/>
      <c r="I33" s="18">
        <v>2025</v>
      </c>
      <c r="J33" s="18">
        <v>3.1700000762939453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9">
        <v>0</v>
      </c>
      <c r="Q33" s="18">
        <v>2.4700000286102295</v>
      </c>
      <c r="R33" s="19">
        <v>0.77917981975086104</v>
      </c>
      <c r="S33" s="18">
        <v>0.69999998807907104</v>
      </c>
      <c r="T33" s="19">
        <v>0.22082018551390253</v>
      </c>
      <c r="U33" s="18">
        <v>0</v>
      </c>
      <c r="V33" s="19">
        <v>0</v>
      </c>
      <c r="W33">
        <f t="shared" si="0"/>
        <v>2.4700000286102295</v>
      </c>
      <c r="X33" s="19">
        <f t="shared" si="1"/>
        <v>0.77917981975086104</v>
      </c>
      <c r="Y33">
        <f t="shared" si="2"/>
        <v>0.69999998807907104</v>
      </c>
      <c r="Z33" s="19">
        <f t="shared" si="3"/>
        <v>0.22082018551390253</v>
      </c>
      <c r="AA33" s="19">
        <f t="shared" si="4"/>
        <v>0.32728706624605675</v>
      </c>
      <c r="AB33" t="str">
        <f t="shared" si="5"/>
        <v>Tidak Mantap Sedang</v>
      </c>
      <c r="AC33" s="19">
        <f>IF(Dashboard!$B$7="Mantap (%)",X33,IF(Dashboard!$B$7="Tidak Mantap (%)",Z33,IF(Dashboard!$B$7="Baik (%)",P33,IF(Dashboard!$B$7="Sedang (%)",R33,IF(Dashboard!$B$7="Rusak Ringan (%)",T33,IF(Dashboard!$B$7="Rusak Berat (%)",V33,AA33))))))</f>
        <v>0.22082018551390253</v>
      </c>
      <c r="AD33" s="20">
        <f>IF(AND(AF33=1,E33&gt;=Dashboard!$B$10,IF(Dashboard!$B$9="≤ Maksimum",AC33&lt;=Dashboard!$B$8,AC33&gt;=Dashboard!$B$8)),1,0)</f>
        <v>1</v>
      </c>
      <c r="AE33" s="20">
        <f>IF(AD33=1,COUNTIFS($AD$2:$AD$351,1,$AC$2:$AC$351,"&gt;"&amp;AC33)+COUNTIFS($AD$2:AD33,1,$AC$2:AC33,AC33),"")</f>
        <v>187</v>
      </c>
      <c r="AF33" s="20">
        <f>IF(OR(Dashboard!$B$6="Semua",ISNUMBER(SEARCH(Dashboard!$B$6,D33))),1,0)</f>
        <v>1</v>
      </c>
      <c r="AG33" s="18">
        <f t="shared" si="6"/>
        <v>3.17</v>
      </c>
      <c r="AH33" s="18">
        <f t="shared" si="7"/>
        <v>2.4700000286102295</v>
      </c>
      <c r="AI33" s="18">
        <f t="shared" si="8"/>
        <v>0.69999998807907104</v>
      </c>
      <c r="AJ33" s="18">
        <f t="shared" si="9"/>
        <v>0</v>
      </c>
      <c r="AK33" s="20">
        <f>IF(OR(Ruas_Per_Kecamatan!$B$4="Semua",ISNUMBER(SEARCH(Ruas_Per_Kecamatan!$B$4,D33))),1,0)</f>
        <v>1</v>
      </c>
      <c r="AL33" s="20">
        <f>IF(AK33=1,COUNTIF($AK$2:AK33,1),"")</f>
        <v>32</v>
      </c>
      <c r="AM33" s="18">
        <f t="shared" si="10"/>
        <v>3.17</v>
      </c>
      <c r="AN33" s="18">
        <f t="shared" si="11"/>
        <v>2.4700000286102295</v>
      </c>
      <c r="AO33" s="18">
        <f t="shared" si="12"/>
        <v>0.69999998807907104</v>
      </c>
      <c r="AP33" s="18">
        <f t="shared" si="13"/>
        <v>0</v>
      </c>
    </row>
    <row r="34" spans="1:42" x14ac:dyDescent="0.25">
      <c r="A34" s="17">
        <v>33</v>
      </c>
      <c r="B34" s="17" t="s">
        <v>477</v>
      </c>
      <c r="C34" s="21" t="s">
        <v>61</v>
      </c>
      <c r="D34" s="17" t="s">
        <v>29</v>
      </c>
      <c r="E34" s="18">
        <v>0.41</v>
      </c>
      <c r="F34" s="18">
        <v>4.5</v>
      </c>
      <c r="G34" s="18">
        <v>0</v>
      </c>
      <c r="H34" s="18"/>
      <c r="I34" s="18">
        <v>2025</v>
      </c>
      <c r="J34" s="18">
        <v>0.40999999642372131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9">
        <v>0</v>
      </c>
      <c r="Q34" s="18">
        <v>0.40999999642372131</v>
      </c>
      <c r="R34" s="19">
        <v>0.99999999127736916</v>
      </c>
      <c r="S34" s="18">
        <v>0</v>
      </c>
      <c r="T34" s="19">
        <v>0</v>
      </c>
      <c r="U34" s="18">
        <v>0</v>
      </c>
      <c r="V34" s="19">
        <v>0</v>
      </c>
      <c r="W34">
        <f t="shared" si="0"/>
        <v>0.40999999642372131</v>
      </c>
      <c r="X34" s="19">
        <f t="shared" si="1"/>
        <v>0.99999999127736916</v>
      </c>
      <c r="Y34">
        <f t="shared" si="2"/>
        <v>0</v>
      </c>
      <c r="Z34" s="19">
        <f t="shared" si="3"/>
        <v>0</v>
      </c>
      <c r="AA34" s="19">
        <f t="shared" si="4"/>
        <v>0.24999999781934229</v>
      </c>
      <c r="AB34" t="str">
        <f t="shared" si="5"/>
        <v>Relatif Mantap</v>
      </c>
      <c r="AC34" s="19">
        <f>IF(Dashboard!$B$7="Mantap (%)",X34,IF(Dashboard!$B$7="Tidak Mantap (%)",Z34,IF(Dashboard!$B$7="Baik (%)",P34,IF(Dashboard!$B$7="Sedang (%)",R34,IF(Dashboard!$B$7="Rusak Ringan (%)",T34,IF(Dashboard!$B$7="Rusak Berat (%)",V34,AA34))))))</f>
        <v>0</v>
      </c>
      <c r="AD34" s="20">
        <f>IF(AND(AF34=1,E34&gt;=Dashboard!$B$10,IF(Dashboard!$B$9="≤ Maksimum",AC34&lt;=Dashboard!$B$8,AC34&gt;=Dashboard!$B$8)),1,0)</f>
        <v>0</v>
      </c>
      <c r="AE34" s="20" t="str">
        <f>IF(AD34=1,COUNTIFS($AD$2:$AD$351,1,$AC$2:$AC$351,"&gt;"&amp;AC34)+COUNTIFS($AD$2:AD34,1,$AC$2:AC34,AC34),"")</f>
        <v/>
      </c>
      <c r="AF34" s="20">
        <f>IF(OR(Dashboard!$B$6="Semua",ISNUMBER(SEARCH(Dashboard!$B$6,D34))),1,0)</f>
        <v>1</v>
      </c>
      <c r="AG34" s="18">
        <f t="shared" si="6"/>
        <v>0.41</v>
      </c>
      <c r="AH34" s="18">
        <f t="shared" si="7"/>
        <v>0.40999999642372131</v>
      </c>
      <c r="AI34" s="18">
        <f t="shared" si="8"/>
        <v>0</v>
      </c>
      <c r="AJ34" s="18">
        <f t="shared" si="9"/>
        <v>0</v>
      </c>
      <c r="AK34" s="20">
        <f>IF(OR(Ruas_Per_Kecamatan!$B$4="Semua",ISNUMBER(SEARCH(Ruas_Per_Kecamatan!$B$4,D34))),1,0)</f>
        <v>1</v>
      </c>
      <c r="AL34" s="20">
        <f>IF(AK34=1,COUNTIF($AK$2:AK34,1),"")</f>
        <v>33</v>
      </c>
      <c r="AM34" s="18">
        <f t="shared" si="10"/>
        <v>0.41</v>
      </c>
      <c r="AN34" s="18">
        <f t="shared" si="11"/>
        <v>0.40999999642372131</v>
      </c>
      <c r="AO34" s="18">
        <f t="shared" si="12"/>
        <v>0</v>
      </c>
      <c r="AP34" s="18">
        <f t="shared" si="13"/>
        <v>0</v>
      </c>
    </row>
    <row r="35" spans="1:42" x14ac:dyDescent="0.25">
      <c r="A35" s="17">
        <v>34</v>
      </c>
      <c r="B35" s="17" t="s">
        <v>478</v>
      </c>
      <c r="C35" s="21" t="s">
        <v>62</v>
      </c>
      <c r="D35" s="17" t="s">
        <v>29</v>
      </c>
      <c r="E35" s="18">
        <v>2.44</v>
      </c>
      <c r="F35" s="18">
        <v>8</v>
      </c>
      <c r="G35" s="18">
        <v>0</v>
      </c>
      <c r="H35" s="18"/>
      <c r="I35" s="18">
        <v>2025</v>
      </c>
      <c r="J35" s="18">
        <v>2.440000057220459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9">
        <v>0</v>
      </c>
      <c r="Q35" s="18">
        <v>2.440000057220459</v>
      </c>
      <c r="R35" s="19">
        <v>1.0000000234510078</v>
      </c>
      <c r="S35" s="18">
        <v>0</v>
      </c>
      <c r="T35" s="19">
        <v>0</v>
      </c>
      <c r="U35" s="18">
        <v>0</v>
      </c>
      <c r="V35" s="19">
        <v>0</v>
      </c>
      <c r="W35">
        <f t="shared" si="0"/>
        <v>2.440000057220459</v>
      </c>
      <c r="X35" s="19">
        <f t="shared" si="1"/>
        <v>1.0000000234510078</v>
      </c>
      <c r="Y35">
        <f t="shared" si="2"/>
        <v>0</v>
      </c>
      <c r="Z35" s="19">
        <f t="shared" si="3"/>
        <v>0</v>
      </c>
      <c r="AA35" s="19">
        <f t="shared" si="4"/>
        <v>0.25000000586275195</v>
      </c>
      <c r="AB35" t="str">
        <f t="shared" si="5"/>
        <v>Relatif Mantap</v>
      </c>
      <c r="AC35" s="19">
        <f>IF(Dashboard!$B$7="Mantap (%)",X35,IF(Dashboard!$B$7="Tidak Mantap (%)",Z35,IF(Dashboard!$B$7="Baik (%)",P35,IF(Dashboard!$B$7="Sedang (%)",R35,IF(Dashboard!$B$7="Rusak Ringan (%)",T35,IF(Dashboard!$B$7="Rusak Berat (%)",V35,AA35))))))</f>
        <v>0</v>
      </c>
      <c r="AD35" s="20">
        <f>IF(AND(AF35=1,E35&gt;=Dashboard!$B$10,IF(Dashboard!$B$9="≤ Maksimum",AC35&lt;=Dashboard!$B$8,AC35&gt;=Dashboard!$B$8)),1,0)</f>
        <v>0</v>
      </c>
      <c r="AE35" s="20" t="str">
        <f>IF(AD35=1,COUNTIFS($AD$2:$AD$351,1,$AC$2:$AC$351,"&gt;"&amp;AC35)+COUNTIFS($AD$2:AD35,1,$AC$2:AC35,AC35),"")</f>
        <v/>
      </c>
      <c r="AF35" s="20">
        <f>IF(OR(Dashboard!$B$6="Semua",ISNUMBER(SEARCH(Dashboard!$B$6,D35))),1,0)</f>
        <v>1</v>
      </c>
      <c r="AG35" s="18">
        <f t="shared" si="6"/>
        <v>2.44</v>
      </c>
      <c r="AH35" s="18">
        <f t="shared" si="7"/>
        <v>2.440000057220459</v>
      </c>
      <c r="AI35" s="18">
        <f t="shared" si="8"/>
        <v>0</v>
      </c>
      <c r="AJ35" s="18">
        <f t="shared" si="9"/>
        <v>0</v>
      </c>
      <c r="AK35" s="20">
        <f>IF(OR(Ruas_Per_Kecamatan!$B$4="Semua",ISNUMBER(SEARCH(Ruas_Per_Kecamatan!$B$4,D35))),1,0)</f>
        <v>1</v>
      </c>
      <c r="AL35" s="20">
        <f>IF(AK35=1,COUNTIF($AK$2:AK35,1),"")</f>
        <v>34</v>
      </c>
      <c r="AM35" s="18">
        <f t="shared" si="10"/>
        <v>2.44</v>
      </c>
      <c r="AN35" s="18">
        <f t="shared" si="11"/>
        <v>2.440000057220459</v>
      </c>
      <c r="AO35" s="18">
        <f t="shared" si="12"/>
        <v>0</v>
      </c>
      <c r="AP35" s="18">
        <f t="shared" si="13"/>
        <v>0</v>
      </c>
    </row>
    <row r="36" spans="1:42" x14ac:dyDescent="0.25">
      <c r="A36" s="17">
        <v>35</v>
      </c>
      <c r="B36" s="17" t="s">
        <v>479</v>
      </c>
      <c r="C36" s="21" t="s">
        <v>63</v>
      </c>
      <c r="D36" s="17" t="s">
        <v>29</v>
      </c>
      <c r="E36" s="18">
        <v>0.24</v>
      </c>
      <c r="F36" s="18">
        <v>3.5</v>
      </c>
      <c r="G36" s="18">
        <v>0</v>
      </c>
      <c r="H36" s="18"/>
      <c r="I36" s="18">
        <v>2025</v>
      </c>
      <c r="J36" s="18">
        <v>0.23999999463558197</v>
      </c>
      <c r="K36" s="18">
        <v>0</v>
      </c>
      <c r="L36" s="18">
        <v>0</v>
      </c>
      <c r="M36" s="18">
        <v>0</v>
      </c>
      <c r="N36" s="18">
        <v>0</v>
      </c>
      <c r="O36" s="18">
        <v>0.23999999463558197</v>
      </c>
      <c r="P36" s="19">
        <v>0.99999997764825821</v>
      </c>
      <c r="Q36" s="18">
        <v>0</v>
      </c>
      <c r="R36" s="19">
        <v>0</v>
      </c>
      <c r="S36" s="18">
        <v>0</v>
      </c>
      <c r="T36" s="19">
        <v>0</v>
      </c>
      <c r="U36" s="18">
        <v>0</v>
      </c>
      <c r="V36" s="19">
        <v>0</v>
      </c>
      <c r="W36">
        <f t="shared" si="0"/>
        <v>0.23999999463558197</v>
      </c>
      <c r="X36" s="19">
        <f t="shared" si="1"/>
        <v>0.99999997764825821</v>
      </c>
      <c r="Y36">
        <f t="shared" si="2"/>
        <v>0</v>
      </c>
      <c r="Z36" s="19">
        <f t="shared" si="3"/>
        <v>0</v>
      </c>
      <c r="AA36" s="19">
        <f t="shared" si="4"/>
        <v>0</v>
      </c>
      <c r="AB36" t="str">
        <f t="shared" si="5"/>
        <v>Relatif Mantap</v>
      </c>
      <c r="AC36" s="19">
        <f>IF(Dashboard!$B$7="Mantap (%)",X36,IF(Dashboard!$B$7="Tidak Mantap (%)",Z36,IF(Dashboard!$B$7="Baik (%)",P36,IF(Dashboard!$B$7="Sedang (%)",R36,IF(Dashboard!$B$7="Rusak Ringan (%)",T36,IF(Dashboard!$B$7="Rusak Berat (%)",V36,AA36))))))</f>
        <v>0</v>
      </c>
      <c r="AD36" s="20">
        <f>IF(AND(AF36=1,E36&gt;=Dashboard!$B$10,IF(Dashboard!$B$9="≤ Maksimum",AC36&lt;=Dashboard!$B$8,AC36&gt;=Dashboard!$B$8)),1,0)</f>
        <v>0</v>
      </c>
      <c r="AE36" s="20" t="str">
        <f>IF(AD36=1,COUNTIFS($AD$2:$AD$351,1,$AC$2:$AC$351,"&gt;"&amp;AC36)+COUNTIFS($AD$2:AD36,1,$AC$2:AC36,AC36),"")</f>
        <v/>
      </c>
      <c r="AF36" s="20">
        <f>IF(OR(Dashboard!$B$6="Semua",ISNUMBER(SEARCH(Dashboard!$B$6,D36))),1,0)</f>
        <v>1</v>
      </c>
      <c r="AG36" s="18">
        <f t="shared" si="6"/>
        <v>0.24</v>
      </c>
      <c r="AH36" s="18">
        <f t="shared" si="7"/>
        <v>0.23999999463558197</v>
      </c>
      <c r="AI36" s="18">
        <f t="shared" si="8"/>
        <v>0</v>
      </c>
      <c r="AJ36" s="18">
        <f t="shared" si="9"/>
        <v>0</v>
      </c>
      <c r="AK36" s="20">
        <f>IF(OR(Ruas_Per_Kecamatan!$B$4="Semua",ISNUMBER(SEARCH(Ruas_Per_Kecamatan!$B$4,D36))),1,0)</f>
        <v>1</v>
      </c>
      <c r="AL36" s="20">
        <f>IF(AK36=1,COUNTIF($AK$2:AK36,1),"")</f>
        <v>35</v>
      </c>
      <c r="AM36" s="18">
        <f t="shared" si="10"/>
        <v>0.24</v>
      </c>
      <c r="AN36" s="18">
        <f t="shared" si="11"/>
        <v>0.23999999463558197</v>
      </c>
      <c r="AO36" s="18">
        <f t="shared" si="12"/>
        <v>0</v>
      </c>
      <c r="AP36" s="18">
        <f t="shared" si="13"/>
        <v>0</v>
      </c>
    </row>
    <row r="37" spans="1:42" x14ac:dyDescent="0.25">
      <c r="A37" s="17">
        <v>36</v>
      </c>
      <c r="B37" s="17" t="s">
        <v>480</v>
      </c>
      <c r="C37" s="21" t="s">
        <v>64</v>
      </c>
      <c r="D37" s="17" t="s">
        <v>29</v>
      </c>
      <c r="E37" s="18">
        <v>0.84</v>
      </c>
      <c r="F37" s="18">
        <v>3</v>
      </c>
      <c r="G37" s="18">
        <v>0</v>
      </c>
      <c r="H37" s="18"/>
      <c r="I37" s="18">
        <v>2025</v>
      </c>
      <c r="J37" s="18">
        <v>0.8399999737739563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9">
        <v>0</v>
      </c>
      <c r="Q37" s="18">
        <v>0.43999999761581421</v>
      </c>
      <c r="R37" s="19">
        <v>0.52380952097120737</v>
      </c>
      <c r="S37" s="18">
        <v>0.30000001192092896</v>
      </c>
      <c r="T37" s="19">
        <v>0.35714287133443923</v>
      </c>
      <c r="U37" s="18">
        <v>0.10000000149011612</v>
      </c>
      <c r="V37" s="19">
        <v>0.11904762082156681</v>
      </c>
      <c r="W37">
        <f t="shared" si="0"/>
        <v>0.43999999761581421</v>
      </c>
      <c r="X37" s="19">
        <f t="shared" si="1"/>
        <v>0.52380952097120737</v>
      </c>
      <c r="Y37">
        <f t="shared" si="2"/>
        <v>0.40000001341104507</v>
      </c>
      <c r="Z37" s="19">
        <f t="shared" si="3"/>
        <v>0.47619049215600606</v>
      </c>
      <c r="AA37" s="19">
        <f t="shared" si="4"/>
        <v>0.4642857238650322</v>
      </c>
      <c r="AB37" t="str">
        <f t="shared" si="5"/>
        <v>Tidak Mantap Sedang</v>
      </c>
      <c r="AC37" s="19">
        <f>IF(Dashboard!$B$7="Mantap (%)",X37,IF(Dashboard!$B$7="Tidak Mantap (%)",Z37,IF(Dashboard!$B$7="Baik (%)",P37,IF(Dashboard!$B$7="Sedang (%)",R37,IF(Dashboard!$B$7="Rusak Ringan (%)",T37,IF(Dashboard!$B$7="Rusak Berat (%)",V37,AA37))))))</f>
        <v>0.47619049215600606</v>
      </c>
      <c r="AD37" s="20">
        <f>IF(AND(AF37=1,E37&gt;=Dashboard!$B$10,IF(Dashboard!$B$9="≤ Maksimum",AC37&lt;=Dashboard!$B$8,AC37&gt;=Dashboard!$B$8)),1,0)</f>
        <v>1</v>
      </c>
      <c r="AE37" s="20">
        <f>IF(AD37=1,COUNTIFS($AD$2:$AD$351,1,$AC$2:$AC$351,"&gt;"&amp;AC37)+COUNTIFS($AD$2:AD37,1,$AC$2:AC37,AC37),"")</f>
        <v>127</v>
      </c>
      <c r="AF37" s="20">
        <f>IF(OR(Dashboard!$B$6="Semua",ISNUMBER(SEARCH(Dashboard!$B$6,D37))),1,0)</f>
        <v>1</v>
      </c>
      <c r="AG37" s="18">
        <f t="shared" si="6"/>
        <v>0.84</v>
      </c>
      <c r="AH37" s="18">
        <f t="shared" si="7"/>
        <v>0.43999999761581421</v>
      </c>
      <c r="AI37" s="18">
        <f t="shared" si="8"/>
        <v>0.40000001341104507</v>
      </c>
      <c r="AJ37" s="18">
        <f t="shared" si="9"/>
        <v>0.10000000149011612</v>
      </c>
      <c r="AK37" s="20">
        <f>IF(OR(Ruas_Per_Kecamatan!$B$4="Semua",ISNUMBER(SEARCH(Ruas_Per_Kecamatan!$B$4,D37))),1,0)</f>
        <v>1</v>
      </c>
      <c r="AL37" s="20">
        <f>IF(AK37=1,COUNTIF($AK$2:AK37,1),"")</f>
        <v>36</v>
      </c>
      <c r="AM37" s="18">
        <f t="shared" si="10"/>
        <v>0.84</v>
      </c>
      <c r="AN37" s="18">
        <f t="shared" si="11"/>
        <v>0.43999999761581421</v>
      </c>
      <c r="AO37" s="18">
        <f t="shared" si="12"/>
        <v>0.40000001341104507</v>
      </c>
      <c r="AP37" s="18">
        <f t="shared" si="13"/>
        <v>0.10000000149011612</v>
      </c>
    </row>
    <row r="38" spans="1:42" x14ac:dyDescent="0.25">
      <c r="A38" s="17">
        <v>37</v>
      </c>
      <c r="B38" s="17" t="s">
        <v>481</v>
      </c>
      <c r="C38" s="21" t="s">
        <v>65</v>
      </c>
      <c r="D38" s="17" t="s">
        <v>29</v>
      </c>
      <c r="E38" s="18">
        <v>0.28000000000000003</v>
      </c>
      <c r="F38" s="18">
        <v>3.5</v>
      </c>
      <c r="G38" s="18">
        <v>0</v>
      </c>
      <c r="H38" s="18"/>
      <c r="I38" s="18">
        <v>2025</v>
      </c>
      <c r="J38" s="18">
        <v>0.2800000011920929</v>
      </c>
      <c r="K38" s="18">
        <v>0</v>
      </c>
      <c r="L38" s="18">
        <v>0</v>
      </c>
      <c r="M38" s="18">
        <v>0</v>
      </c>
      <c r="N38" s="18">
        <v>0</v>
      </c>
      <c r="O38" s="18">
        <v>0.2800000011920929</v>
      </c>
      <c r="P38" s="19">
        <v>1.0000000042574746</v>
      </c>
      <c r="Q38" s="18">
        <v>0</v>
      </c>
      <c r="R38" s="19">
        <v>0</v>
      </c>
      <c r="S38" s="18">
        <v>0</v>
      </c>
      <c r="T38" s="19">
        <v>0</v>
      </c>
      <c r="U38" s="18">
        <v>0</v>
      </c>
      <c r="V38" s="19">
        <v>0</v>
      </c>
      <c r="W38">
        <f t="shared" si="0"/>
        <v>0.2800000011920929</v>
      </c>
      <c r="X38" s="19">
        <f t="shared" si="1"/>
        <v>1.0000000042574746</v>
      </c>
      <c r="Y38">
        <f t="shared" si="2"/>
        <v>0</v>
      </c>
      <c r="Z38" s="19">
        <f t="shared" si="3"/>
        <v>0</v>
      </c>
      <c r="AA38" s="19">
        <f t="shared" si="4"/>
        <v>0</v>
      </c>
      <c r="AB38" t="str">
        <f t="shared" si="5"/>
        <v>Relatif Mantap</v>
      </c>
      <c r="AC38" s="19">
        <f>IF(Dashboard!$B$7="Mantap (%)",X38,IF(Dashboard!$B$7="Tidak Mantap (%)",Z38,IF(Dashboard!$B$7="Baik (%)",P38,IF(Dashboard!$B$7="Sedang (%)",R38,IF(Dashboard!$B$7="Rusak Ringan (%)",T38,IF(Dashboard!$B$7="Rusak Berat (%)",V38,AA38))))))</f>
        <v>0</v>
      </c>
      <c r="AD38" s="20">
        <f>IF(AND(AF38=1,E38&gt;=Dashboard!$B$10,IF(Dashboard!$B$9="≤ Maksimum",AC38&lt;=Dashboard!$B$8,AC38&gt;=Dashboard!$B$8)),1,0)</f>
        <v>0</v>
      </c>
      <c r="AE38" s="20" t="str">
        <f>IF(AD38=1,COUNTIFS($AD$2:$AD$351,1,$AC$2:$AC$351,"&gt;"&amp;AC38)+COUNTIFS($AD$2:AD38,1,$AC$2:AC38,AC38),"")</f>
        <v/>
      </c>
      <c r="AF38" s="20">
        <f>IF(OR(Dashboard!$B$6="Semua",ISNUMBER(SEARCH(Dashboard!$B$6,D38))),1,0)</f>
        <v>1</v>
      </c>
      <c r="AG38" s="18">
        <f t="shared" si="6"/>
        <v>0.28000000000000003</v>
      </c>
      <c r="AH38" s="18">
        <f t="shared" si="7"/>
        <v>0.2800000011920929</v>
      </c>
      <c r="AI38" s="18">
        <f t="shared" si="8"/>
        <v>0</v>
      </c>
      <c r="AJ38" s="18">
        <f t="shared" si="9"/>
        <v>0</v>
      </c>
      <c r="AK38" s="20">
        <f>IF(OR(Ruas_Per_Kecamatan!$B$4="Semua",ISNUMBER(SEARCH(Ruas_Per_Kecamatan!$B$4,D38))),1,0)</f>
        <v>1</v>
      </c>
      <c r="AL38" s="20">
        <f>IF(AK38=1,COUNTIF($AK$2:AK38,1),"")</f>
        <v>37</v>
      </c>
      <c r="AM38" s="18">
        <f t="shared" si="10"/>
        <v>0.28000000000000003</v>
      </c>
      <c r="AN38" s="18">
        <f t="shared" si="11"/>
        <v>0.2800000011920929</v>
      </c>
      <c r="AO38" s="18">
        <f t="shared" si="12"/>
        <v>0</v>
      </c>
      <c r="AP38" s="18">
        <f t="shared" si="13"/>
        <v>0</v>
      </c>
    </row>
    <row r="39" spans="1:42" ht="30" x14ac:dyDescent="0.25">
      <c r="A39" s="17">
        <v>38</v>
      </c>
      <c r="B39" s="17" t="s">
        <v>482</v>
      </c>
      <c r="C39" s="21" t="s">
        <v>66</v>
      </c>
      <c r="D39" s="17" t="s">
        <v>29</v>
      </c>
      <c r="E39" s="18">
        <v>0.19</v>
      </c>
      <c r="F39" s="18">
        <v>3.5</v>
      </c>
      <c r="G39" s="18">
        <v>0</v>
      </c>
      <c r="H39" s="18"/>
      <c r="I39" s="18">
        <v>2025</v>
      </c>
      <c r="J39" s="18">
        <v>0.18999999761581421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9">
        <v>0</v>
      </c>
      <c r="Q39" s="18">
        <v>0</v>
      </c>
      <c r="R39" s="19">
        <v>0</v>
      </c>
      <c r="S39" s="18">
        <v>0.18999999761581421</v>
      </c>
      <c r="T39" s="19">
        <v>0.99999998745165375</v>
      </c>
      <c r="U39" s="18">
        <v>0</v>
      </c>
      <c r="V39" s="19">
        <v>0</v>
      </c>
      <c r="W39">
        <f t="shared" si="0"/>
        <v>0</v>
      </c>
      <c r="X39" s="19">
        <f t="shared" si="1"/>
        <v>0</v>
      </c>
      <c r="Y39">
        <f t="shared" si="2"/>
        <v>0.18999999761581421</v>
      </c>
      <c r="Z39" s="19">
        <f t="shared" si="3"/>
        <v>0.99999998745165375</v>
      </c>
      <c r="AA39" s="19">
        <f t="shared" si="4"/>
        <v>0.59999999247099223</v>
      </c>
      <c r="AB39" t="str">
        <f t="shared" si="5"/>
        <v>Tidak Mantap Tinggi</v>
      </c>
      <c r="AC39" s="19">
        <f>IF(Dashboard!$B$7="Mantap (%)",X39,IF(Dashboard!$B$7="Tidak Mantap (%)",Z39,IF(Dashboard!$B$7="Baik (%)",P39,IF(Dashboard!$B$7="Sedang (%)",R39,IF(Dashboard!$B$7="Rusak Ringan (%)",T39,IF(Dashboard!$B$7="Rusak Berat (%)",V39,AA39))))))</f>
        <v>0.99999998745165375</v>
      </c>
      <c r="AD39" s="20">
        <f>IF(AND(AF39=1,E39&gt;=Dashboard!$B$10,IF(Dashboard!$B$9="≤ Maksimum",AC39&lt;=Dashboard!$B$8,AC39&gt;=Dashboard!$B$8)),1,0)</f>
        <v>1</v>
      </c>
      <c r="AE39" s="20">
        <f>IF(AD39=1,COUNTIFS($AD$2:$AD$351,1,$AC$2:$AC$351,"&gt;"&amp;AC39)+COUNTIFS($AD$2:AD39,1,$AC$2:AC39,AC39),"")</f>
        <v>34</v>
      </c>
      <c r="AF39" s="20">
        <f>IF(OR(Dashboard!$B$6="Semua",ISNUMBER(SEARCH(Dashboard!$B$6,D39))),1,0)</f>
        <v>1</v>
      </c>
      <c r="AG39" s="18">
        <f t="shared" si="6"/>
        <v>0.19</v>
      </c>
      <c r="AH39" s="18">
        <f t="shared" si="7"/>
        <v>0</v>
      </c>
      <c r="AI39" s="18">
        <f t="shared" si="8"/>
        <v>0.18999999761581421</v>
      </c>
      <c r="AJ39" s="18">
        <f t="shared" si="9"/>
        <v>0</v>
      </c>
      <c r="AK39" s="20">
        <f>IF(OR(Ruas_Per_Kecamatan!$B$4="Semua",ISNUMBER(SEARCH(Ruas_Per_Kecamatan!$B$4,D39))),1,0)</f>
        <v>1</v>
      </c>
      <c r="AL39" s="20">
        <f>IF(AK39=1,COUNTIF($AK$2:AK39,1),"")</f>
        <v>38</v>
      </c>
      <c r="AM39" s="18">
        <f t="shared" si="10"/>
        <v>0.19</v>
      </c>
      <c r="AN39" s="18">
        <f t="shared" si="11"/>
        <v>0</v>
      </c>
      <c r="AO39" s="18">
        <f t="shared" si="12"/>
        <v>0.18999999761581421</v>
      </c>
      <c r="AP39" s="18">
        <f t="shared" si="13"/>
        <v>0</v>
      </c>
    </row>
    <row r="40" spans="1:42" x14ac:dyDescent="0.25">
      <c r="A40" s="17">
        <v>39</v>
      </c>
      <c r="B40" s="17" t="s">
        <v>483</v>
      </c>
      <c r="C40" s="21" t="s">
        <v>67</v>
      </c>
      <c r="D40" s="17" t="s">
        <v>29</v>
      </c>
      <c r="E40" s="18">
        <v>0.24</v>
      </c>
      <c r="F40" s="18">
        <v>3</v>
      </c>
      <c r="G40" s="18">
        <v>0</v>
      </c>
      <c r="H40" s="18"/>
      <c r="I40" s="18">
        <v>2025</v>
      </c>
      <c r="J40" s="18">
        <v>0.23999999463558197</v>
      </c>
      <c r="K40" s="18">
        <v>0</v>
      </c>
      <c r="L40" s="18">
        <v>0</v>
      </c>
      <c r="M40" s="18">
        <v>0</v>
      </c>
      <c r="N40" s="18">
        <v>0</v>
      </c>
      <c r="O40" s="18">
        <v>0.23999999463558197</v>
      </c>
      <c r="P40" s="19">
        <v>0.99999997764825821</v>
      </c>
      <c r="Q40" s="18">
        <v>0</v>
      </c>
      <c r="R40" s="19">
        <v>0</v>
      </c>
      <c r="S40" s="18">
        <v>0</v>
      </c>
      <c r="T40" s="19">
        <v>0</v>
      </c>
      <c r="U40" s="18">
        <v>0</v>
      </c>
      <c r="V40" s="19">
        <v>0</v>
      </c>
      <c r="W40">
        <f t="shared" si="0"/>
        <v>0.23999999463558197</v>
      </c>
      <c r="X40" s="19">
        <f t="shared" si="1"/>
        <v>0.99999997764825821</v>
      </c>
      <c r="Y40">
        <f t="shared" si="2"/>
        <v>0</v>
      </c>
      <c r="Z40" s="19">
        <f t="shared" si="3"/>
        <v>0</v>
      </c>
      <c r="AA40" s="19">
        <f t="shared" si="4"/>
        <v>0</v>
      </c>
      <c r="AB40" t="str">
        <f t="shared" si="5"/>
        <v>Relatif Mantap</v>
      </c>
      <c r="AC40" s="19">
        <f>IF(Dashboard!$B$7="Mantap (%)",X40,IF(Dashboard!$B$7="Tidak Mantap (%)",Z40,IF(Dashboard!$B$7="Baik (%)",P40,IF(Dashboard!$B$7="Sedang (%)",R40,IF(Dashboard!$B$7="Rusak Ringan (%)",T40,IF(Dashboard!$B$7="Rusak Berat (%)",V40,AA40))))))</f>
        <v>0</v>
      </c>
      <c r="AD40" s="20">
        <f>IF(AND(AF40=1,E40&gt;=Dashboard!$B$10,IF(Dashboard!$B$9="≤ Maksimum",AC40&lt;=Dashboard!$B$8,AC40&gt;=Dashboard!$B$8)),1,0)</f>
        <v>0</v>
      </c>
      <c r="AE40" s="20" t="str">
        <f>IF(AD40=1,COUNTIFS($AD$2:$AD$351,1,$AC$2:$AC$351,"&gt;"&amp;AC40)+COUNTIFS($AD$2:AD40,1,$AC$2:AC40,AC40),"")</f>
        <v/>
      </c>
      <c r="AF40" s="20">
        <f>IF(OR(Dashboard!$B$6="Semua",ISNUMBER(SEARCH(Dashboard!$B$6,D40))),1,0)</f>
        <v>1</v>
      </c>
      <c r="AG40" s="18">
        <f t="shared" si="6"/>
        <v>0.24</v>
      </c>
      <c r="AH40" s="18">
        <f t="shared" si="7"/>
        <v>0.23999999463558197</v>
      </c>
      <c r="AI40" s="18">
        <f t="shared" si="8"/>
        <v>0</v>
      </c>
      <c r="AJ40" s="18">
        <f t="shared" si="9"/>
        <v>0</v>
      </c>
      <c r="AK40" s="20">
        <f>IF(OR(Ruas_Per_Kecamatan!$B$4="Semua",ISNUMBER(SEARCH(Ruas_Per_Kecamatan!$B$4,D40))),1,0)</f>
        <v>1</v>
      </c>
      <c r="AL40" s="20">
        <f>IF(AK40=1,COUNTIF($AK$2:AK40,1),"")</f>
        <v>39</v>
      </c>
      <c r="AM40" s="18">
        <f t="shared" si="10"/>
        <v>0.24</v>
      </c>
      <c r="AN40" s="18">
        <f t="shared" si="11"/>
        <v>0.23999999463558197</v>
      </c>
      <c r="AO40" s="18">
        <f t="shared" si="12"/>
        <v>0</v>
      </c>
      <c r="AP40" s="18">
        <f t="shared" si="13"/>
        <v>0</v>
      </c>
    </row>
    <row r="41" spans="1:42" x14ac:dyDescent="0.25">
      <c r="A41" s="17">
        <v>40</v>
      </c>
      <c r="B41" s="17" t="s">
        <v>484</v>
      </c>
      <c r="C41" s="21" t="s">
        <v>68</v>
      </c>
      <c r="D41" s="17" t="s">
        <v>69</v>
      </c>
      <c r="E41" s="18">
        <v>4.07</v>
      </c>
      <c r="F41" s="18">
        <v>3.5</v>
      </c>
      <c r="G41" s="18">
        <v>0</v>
      </c>
      <c r="H41" s="18"/>
      <c r="I41" s="18">
        <v>2025</v>
      </c>
      <c r="J41" s="18">
        <v>4.070000171661377</v>
      </c>
      <c r="K41" s="18">
        <v>0</v>
      </c>
      <c r="L41" s="18">
        <v>0</v>
      </c>
      <c r="M41" s="18">
        <v>0</v>
      </c>
      <c r="N41" s="18">
        <v>0</v>
      </c>
      <c r="O41" s="18">
        <v>0.5</v>
      </c>
      <c r="P41" s="19">
        <v>0.12285012285012284</v>
      </c>
      <c r="Q41" s="18">
        <v>1.7999999523162842</v>
      </c>
      <c r="R41" s="19">
        <v>0.44226043054454156</v>
      </c>
      <c r="S41" s="18">
        <v>1.2699999809265137</v>
      </c>
      <c r="T41" s="19">
        <v>0.31203930735295177</v>
      </c>
      <c r="U41" s="18">
        <v>0.5</v>
      </c>
      <c r="V41" s="19">
        <v>0.12285012285012284</v>
      </c>
      <c r="W41">
        <f t="shared" si="0"/>
        <v>2.2999999523162842</v>
      </c>
      <c r="X41" s="19">
        <f t="shared" si="1"/>
        <v>0.56511055339466443</v>
      </c>
      <c r="Y41">
        <f t="shared" si="2"/>
        <v>1.7699999809265137</v>
      </c>
      <c r="Z41" s="19">
        <f t="shared" si="3"/>
        <v>0.43488943020307458</v>
      </c>
      <c r="AA41" s="19">
        <f t="shared" si="4"/>
        <v>0.42063881489802935</v>
      </c>
      <c r="AB41" t="str">
        <f t="shared" si="5"/>
        <v>Tidak Mantap Sedang</v>
      </c>
      <c r="AC41" s="19">
        <f>IF(Dashboard!$B$7="Mantap (%)",X41,IF(Dashboard!$B$7="Tidak Mantap (%)",Z41,IF(Dashboard!$B$7="Baik (%)",P41,IF(Dashboard!$B$7="Sedang (%)",R41,IF(Dashboard!$B$7="Rusak Ringan (%)",T41,IF(Dashboard!$B$7="Rusak Berat (%)",V41,AA41))))))</f>
        <v>0.43488943020307458</v>
      </c>
      <c r="AD41" s="20">
        <f>IF(AND(AF41=1,E41&gt;=Dashboard!$B$10,IF(Dashboard!$B$9="≤ Maksimum",AC41&lt;=Dashboard!$B$8,AC41&gt;=Dashboard!$B$8)),1,0)</f>
        <v>1</v>
      </c>
      <c r="AE41" s="20">
        <f>IF(AD41=1,COUNTIFS($AD$2:$AD$351,1,$AC$2:$AC$351,"&gt;"&amp;AC41)+COUNTIFS($AD$2:AD41,1,$AC$2:AC41,AC41),"")</f>
        <v>141</v>
      </c>
      <c r="AF41" s="20">
        <f>IF(OR(Dashboard!$B$6="Semua",ISNUMBER(SEARCH(Dashboard!$B$6,D41))),1,0)</f>
        <v>1</v>
      </c>
      <c r="AG41" s="18">
        <f t="shared" si="6"/>
        <v>4.07</v>
      </c>
      <c r="AH41" s="18">
        <f t="shared" si="7"/>
        <v>2.2999999523162842</v>
      </c>
      <c r="AI41" s="18">
        <f t="shared" si="8"/>
        <v>1.7699999809265137</v>
      </c>
      <c r="AJ41" s="18">
        <f t="shared" si="9"/>
        <v>0.5</v>
      </c>
      <c r="AK41" s="20">
        <f>IF(OR(Ruas_Per_Kecamatan!$B$4="Semua",ISNUMBER(SEARCH(Ruas_Per_Kecamatan!$B$4,D41))),1,0)</f>
        <v>1</v>
      </c>
      <c r="AL41" s="20">
        <f>IF(AK41=1,COUNTIF($AK$2:AK41,1),"")</f>
        <v>40</v>
      </c>
      <c r="AM41" s="18">
        <f t="shared" si="10"/>
        <v>4.07</v>
      </c>
      <c r="AN41" s="18">
        <f t="shared" si="11"/>
        <v>2.2999999523162842</v>
      </c>
      <c r="AO41" s="18">
        <f t="shared" si="12"/>
        <v>1.7699999809265137</v>
      </c>
      <c r="AP41" s="18">
        <f t="shared" si="13"/>
        <v>0.5</v>
      </c>
    </row>
    <row r="42" spans="1:42" x14ac:dyDescent="0.25">
      <c r="A42" s="17">
        <v>41</v>
      </c>
      <c r="B42" s="17" t="s">
        <v>485</v>
      </c>
      <c r="C42" s="21" t="s">
        <v>70</v>
      </c>
      <c r="D42" s="17" t="s">
        <v>29</v>
      </c>
      <c r="E42" s="18">
        <v>1.57</v>
      </c>
      <c r="F42" s="18">
        <v>3</v>
      </c>
      <c r="G42" s="18">
        <v>0</v>
      </c>
      <c r="H42" s="18"/>
      <c r="I42" s="18">
        <v>2025</v>
      </c>
      <c r="J42" s="18">
        <v>1.5700000524520874</v>
      </c>
      <c r="K42" s="18">
        <v>0</v>
      </c>
      <c r="L42" s="18">
        <v>0</v>
      </c>
      <c r="M42" s="18">
        <v>0</v>
      </c>
      <c r="N42" s="18">
        <v>0</v>
      </c>
      <c r="O42" s="18">
        <v>0.40000000596046448</v>
      </c>
      <c r="P42" s="19">
        <v>0.25477707386016846</v>
      </c>
      <c r="Q42" s="18">
        <v>1.0700000524520874</v>
      </c>
      <c r="R42" s="19">
        <v>0.68152869582935505</v>
      </c>
      <c r="S42" s="18">
        <v>0.10000000149011612</v>
      </c>
      <c r="T42" s="19">
        <v>6.3694268465042114E-2</v>
      </c>
      <c r="U42" s="18">
        <v>0</v>
      </c>
      <c r="V42" s="19">
        <v>0</v>
      </c>
      <c r="W42">
        <f t="shared" si="0"/>
        <v>1.4700000584125519</v>
      </c>
      <c r="X42" s="19">
        <f t="shared" si="1"/>
        <v>0.9363057696895235</v>
      </c>
      <c r="Y42">
        <f t="shared" si="2"/>
        <v>0.10000000149011612</v>
      </c>
      <c r="Z42" s="19">
        <f t="shared" si="3"/>
        <v>6.3694268465042114E-2</v>
      </c>
      <c r="AA42" s="19">
        <f t="shared" si="4"/>
        <v>0.20859873503636403</v>
      </c>
      <c r="AB42" t="str">
        <f t="shared" si="5"/>
        <v>Relatif Mantap</v>
      </c>
      <c r="AC42" s="19">
        <f>IF(Dashboard!$B$7="Mantap (%)",X42,IF(Dashboard!$B$7="Tidak Mantap (%)",Z42,IF(Dashboard!$B$7="Baik (%)",P42,IF(Dashboard!$B$7="Sedang (%)",R42,IF(Dashboard!$B$7="Rusak Ringan (%)",T42,IF(Dashboard!$B$7="Rusak Berat (%)",V42,AA42))))))</f>
        <v>6.3694268465042114E-2</v>
      </c>
      <c r="AD42" s="20">
        <f>IF(AND(AF42=1,E42&gt;=Dashboard!$B$10,IF(Dashboard!$B$9="≤ Maksimum",AC42&lt;=Dashboard!$B$8,AC42&gt;=Dashboard!$B$8)),1,0)</f>
        <v>0</v>
      </c>
      <c r="AE42" s="20" t="str">
        <f>IF(AD42=1,COUNTIFS($AD$2:$AD$351,1,$AC$2:$AC$351,"&gt;"&amp;AC42)+COUNTIFS($AD$2:AD42,1,$AC$2:AC42,AC42),"")</f>
        <v/>
      </c>
      <c r="AF42" s="20">
        <f>IF(OR(Dashboard!$B$6="Semua",ISNUMBER(SEARCH(Dashboard!$B$6,D42))),1,0)</f>
        <v>1</v>
      </c>
      <c r="AG42" s="18">
        <f t="shared" si="6"/>
        <v>1.57</v>
      </c>
      <c r="AH42" s="18">
        <f t="shared" si="7"/>
        <v>1.4700000584125519</v>
      </c>
      <c r="AI42" s="18">
        <f t="shared" si="8"/>
        <v>0.10000000149011612</v>
      </c>
      <c r="AJ42" s="18">
        <f t="shared" si="9"/>
        <v>0</v>
      </c>
      <c r="AK42" s="20">
        <f>IF(OR(Ruas_Per_Kecamatan!$B$4="Semua",ISNUMBER(SEARCH(Ruas_Per_Kecamatan!$B$4,D42))),1,0)</f>
        <v>1</v>
      </c>
      <c r="AL42" s="20">
        <f>IF(AK42=1,COUNTIF($AK$2:AK42,1),"")</f>
        <v>41</v>
      </c>
      <c r="AM42" s="18">
        <f t="shared" si="10"/>
        <v>1.57</v>
      </c>
      <c r="AN42" s="18">
        <f t="shared" si="11"/>
        <v>1.4700000584125519</v>
      </c>
      <c r="AO42" s="18">
        <f t="shared" si="12"/>
        <v>0.10000000149011612</v>
      </c>
      <c r="AP42" s="18">
        <f t="shared" si="13"/>
        <v>0</v>
      </c>
    </row>
    <row r="43" spans="1:42" ht="30" x14ac:dyDescent="0.25">
      <c r="A43" s="17">
        <v>42</v>
      </c>
      <c r="B43" s="17" t="s">
        <v>486</v>
      </c>
      <c r="C43" s="21" t="s">
        <v>71</v>
      </c>
      <c r="D43" s="17" t="s">
        <v>29</v>
      </c>
      <c r="E43" s="18">
        <v>2.36</v>
      </c>
      <c r="F43" s="18">
        <v>3.5</v>
      </c>
      <c r="G43" s="18">
        <v>0</v>
      </c>
      <c r="H43" s="18"/>
      <c r="I43" s="18">
        <v>2025</v>
      </c>
      <c r="J43" s="18">
        <v>2.2999999523162842</v>
      </c>
      <c r="K43" s="18">
        <v>0</v>
      </c>
      <c r="L43" s="18">
        <v>5.9999998658895493E-2</v>
      </c>
      <c r="M43" s="18">
        <v>0</v>
      </c>
      <c r="N43" s="18">
        <v>0</v>
      </c>
      <c r="O43" s="18">
        <v>1.5</v>
      </c>
      <c r="P43" s="19">
        <v>0.63559322033898313</v>
      </c>
      <c r="Q43" s="18">
        <v>0.86000001430511475</v>
      </c>
      <c r="R43" s="19">
        <v>0.36440678572250629</v>
      </c>
      <c r="S43" s="18">
        <v>0</v>
      </c>
      <c r="T43" s="19">
        <v>0</v>
      </c>
      <c r="U43" s="18">
        <v>0</v>
      </c>
      <c r="V43" s="19">
        <v>0</v>
      </c>
      <c r="W43">
        <f t="shared" si="0"/>
        <v>2.3600000143051147</v>
      </c>
      <c r="X43" s="19">
        <f t="shared" si="1"/>
        <v>1.0000000060614893</v>
      </c>
      <c r="Y43">
        <f t="shared" si="2"/>
        <v>0</v>
      </c>
      <c r="Z43" s="19">
        <f t="shared" si="3"/>
        <v>0</v>
      </c>
      <c r="AA43" s="19">
        <f t="shared" si="4"/>
        <v>9.1101696430626572E-2</v>
      </c>
      <c r="AB43" t="str">
        <f t="shared" si="5"/>
        <v>Relatif Mantap</v>
      </c>
      <c r="AC43" s="19">
        <f>IF(Dashboard!$B$7="Mantap (%)",X43,IF(Dashboard!$B$7="Tidak Mantap (%)",Z43,IF(Dashboard!$B$7="Baik (%)",P43,IF(Dashboard!$B$7="Sedang (%)",R43,IF(Dashboard!$B$7="Rusak Ringan (%)",T43,IF(Dashboard!$B$7="Rusak Berat (%)",V43,AA43))))))</f>
        <v>0</v>
      </c>
      <c r="AD43" s="20">
        <f>IF(AND(AF43=1,E43&gt;=Dashboard!$B$10,IF(Dashboard!$B$9="≤ Maksimum",AC43&lt;=Dashboard!$B$8,AC43&gt;=Dashboard!$B$8)),1,0)</f>
        <v>0</v>
      </c>
      <c r="AE43" s="20" t="str">
        <f>IF(AD43=1,COUNTIFS($AD$2:$AD$351,1,$AC$2:$AC$351,"&gt;"&amp;AC43)+COUNTIFS($AD$2:AD43,1,$AC$2:AC43,AC43),"")</f>
        <v/>
      </c>
      <c r="AF43" s="20">
        <f>IF(OR(Dashboard!$B$6="Semua",ISNUMBER(SEARCH(Dashboard!$B$6,D43))),1,0)</f>
        <v>1</v>
      </c>
      <c r="AG43" s="18">
        <f t="shared" si="6"/>
        <v>2.36</v>
      </c>
      <c r="AH43" s="18">
        <f t="shared" si="7"/>
        <v>2.3600000143051147</v>
      </c>
      <c r="AI43" s="18">
        <f t="shared" si="8"/>
        <v>0</v>
      </c>
      <c r="AJ43" s="18">
        <f t="shared" si="9"/>
        <v>0</v>
      </c>
      <c r="AK43" s="20">
        <f>IF(OR(Ruas_Per_Kecamatan!$B$4="Semua",ISNUMBER(SEARCH(Ruas_Per_Kecamatan!$B$4,D43))),1,0)</f>
        <v>1</v>
      </c>
      <c r="AL43" s="20">
        <f>IF(AK43=1,COUNTIF($AK$2:AK43,1),"")</f>
        <v>42</v>
      </c>
      <c r="AM43" s="18">
        <f t="shared" si="10"/>
        <v>2.36</v>
      </c>
      <c r="AN43" s="18">
        <f t="shared" si="11"/>
        <v>2.3600000143051147</v>
      </c>
      <c r="AO43" s="18">
        <f t="shared" si="12"/>
        <v>0</v>
      </c>
      <c r="AP43" s="18">
        <f t="shared" si="13"/>
        <v>0</v>
      </c>
    </row>
    <row r="44" spans="1:42" x14ac:dyDescent="0.25">
      <c r="A44" s="17">
        <v>43</v>
      </c>
      <c r="B44" s="17" t="s">
        <v>487</v>
      </c>
      <c r="C44" s="21" t="s">
        <v>72</v>
      </c>
      <c r="D44" s="17" t="s">
        <v>29</v>
      </c>
      <c r="E44" s="18">
        <v>8.1</v>
      </c>
      <c r="F44" s="18">
        <v>3</v>
      </c>
      <c r="G44" s="18">
        <v>0</v>
      </c>
      <c r="H44" s="18"/>
      <c r="I44" s="18">
        <v>2025</v>
      </c>
      <c r="J44" s="18">
        <v>2.2000000476837158</v>
      </c>
      <c r="K44" s="18">
        <v>0</v>
      </c>
      <c r="L44" s="18">
        <v>0</v>
      </c>
      <c r="M44" s="18">
        <v>0</v>
      </c>
      <c r="N44" s="18">
        <v>5.9000000953674316</v>
      </c>
      <c r="O44" s="18">
        <v>0</v>
      </c>
      <c r="P44" s="19">
        <v>0</v>
      </c>
      <c r="Q44" s="18">
        <v>2.2000000476837158</v>
      </c>
      <c r="R44" s="19">
        <v>0.27160494415848346</v>
      </c>
      <c r="S44" s="18">
        <v>0</v>
      </c>
      <c r="T44" s="19">
        <v>0</v>
      </c>
      <c r="U44" s="18">
        <v>5.9000000953674316</v>
      </c>
      <c r="V44" s="19">
        <v>0.72839507350215205</v>
      </c>
      <c r="W44">
        <f t="shared" si="0"/>
        <v>2.2000000476837158</v>
      </c>
      <c r="X44" s="19">
        <f t="shared" si="1"/>
        <v>0.27160494415848346</v>
      </c>
      <c r="Y44">
        <f t="shared" si="2"/>
        <v>5.9000000953674316</v>
      </c>
      <c r="Z44" s="19">
        <f t="shared" si="3"/>
        <v>0.72839507350215205</v>
      </c>
      <c r="AA44" s="19">
        <f t="shared" si="4"/>
        <v>0.79629630954177288</v>
      </c>
      <c r="AB44" t="str">
        <f t="shared" si="5"/>
        <v>Rusak Berat Dominan</v>
      </c>
      <c r="AC44" s="19">
        <f>IF(Dashboard!$B$7="Mantap (%)",X44,IF(Dashboard!$B$7="Tidak Mantap (%)",Z44,IF(Dashboard!$B$7="Baik (%)",P44,IF(Dashboard!$B$7="Sedang (%)",R44,IF(Dashboard!$B$7="Rusak Ringan (%)",T44,IF(Dashboard!$B$7="Rusak Berat (%)",V44,AA44))))))</f>
        <v>0.72839507350215205</v>
      </c>
      <c r="AD44" s="20">
        <f>IF(AND(AF44=1,E44&gt;=Dashboard!$B$10,IF(Dashboard!$B$9="≤ Maksimum",AC44&lt;=Dashboard!$B$8,AC44&gt;=Dashboard!$B$8)),1,0)</f>
        <v>1</v>
      </c>
      <c r="AE44" s="20">
        <f>IF(AD44=1,COUNTIFS($AD$2:$AD$351,1,$AC$2:$AC$351,"&gt;"&amp;AC44)+COUNTIFS($AD$2:AD44,1,$AC$2:AC44,AC44),"")</f>
        <v>78</v>
      </c>
      <c r="AF44" s="20">
        <f>IF(OR(Dashboard!$B$6="Semua",ISNUMBER(SEARCH(Dashboard!$B$6,D44))),1,0)</f>
        <v>1</v>
      </c>
      <c r="AG44" s="18">
        <f t="shared" si="6"/>
        <v>8.1</v>
      </c>
      <c r="AH44" s="18">
        <f t="shared" si="7"/>
        <v>2.2000000476837158</v>
      </c>
      <c r="AI44" s="18">
        <f t="shared" si="8"/>
        <v>5.9000000953674316</v>
      </c>
      <c r="AJ44" s="18">
        <f t="shared" si="9"/>
        <v>5.9000000953674316</v>
      </c>
      <c r="AK44" s="20">
        <f>IF(OR(Ruas_Per_Kecamatan!$B$4="Semua",ISNUMBER(SEARCH(Ruas_Per_Kecamatan!$B$4,D44))),1,0)</f>
        <v>1</v>
      </c>
      <c r="AL44" s="20">
        <f>IF(AK44=1,COUNTIF($AK$2:AK44,1),"")</f>
        <v>43</v>
      </c>
      <c r="AM44" s="18">
        <f t="shared" si="10"/>
        <v>8.1</v>
      </c>
      <c r="AN44" s="18">
        <f t="shared" si="11"/>
        <v>2.2000000476837158</v>
      </c>
      <c r="AO44" s="18">
        <f t="shared" si="12"/>
        <v>5.9000000953674316</v>
      </c>
      <c r="AP44" s="18">
        <f t="shared" si="13"/>
        <v>5.9000000953674316</v>
      </c>
    </row>
    <row r="45" spans="1:42" x14ac:dyDescent="0.25">
      <c r="A45" s="17">
        <v>44</v>
      </c>
      <c r="B45" s="17" t="s">
        <v>488</v>
      </c>
      <c r="C45" s="21" t="s">
        <v>73</v>
      </c>
      <c r="D45" s="17" t="s">
        <v>29</v>
      </c>
      <c r="E45" s="18">
        <v>8.19</v>
      </c>
      <c r="F45" s="18">
        <v>3</v>
      </c>
      <c r="G45" s="18">
        <v>0</v>
      </c>
      <c r="H45" s="18"/>
      <c r="I45" s="18">
        <v>2025</v>
      </c>
      <c r="J45" s="18">
        <v>1.6000000238418579</v>
      </c>
      <c r="K45" s="18">
        <v>0</v>
      </c>
      <c r="L45" s="18">
        <v>0</v>
      </c>
      <c r="M45" s="18">
        <v>1.3999999761581421</v>
      </c>
      <c r="N45" s="18">
        <v>5.190000057220459</v>
      </c>
      <c r="O45" s="18">
        <v>0</v>
      </c>
      <c r="P45" s="19">
        <v>0</v>
      </c>
      <c r="Q45" s="18">
        <v>1.6000000238418579</v>
      </c>
      <c r="R45" s="19">
        <v>0.19536019827128914</v>
      </c>
      <c r="S45" s="18">
        <v>0</v>
      </c>
      <c r="T45" s="19">
        <v>0</v>
      </c>
      <c r="U45" s="18">
        <v>6.5900001525878906</v>
      </c>
      <c r="V45" s="19">
        <v>0.80463982327080474</v>
      </c>
      <c r="W45">
        <f t="shared" si="0"/>
        <v>1.6000000238418579</v>
      </c>
      <c r="X45" s="19">
        <f t="shared" si="1"/>
        <v>0.19536019827128914</v>
      </c>
      <c r="Y45">
        <f t="shared" si="2"/>
        <v>6.5900001525878906</v>
      </c>
      <c r="Z45" s="19">
        <f t="shared" si="3"/>
        <v>0.80463982327080474</v>
      </c>
      <c r="AA45" s="19">
        <f t="shared" si="4"/>
        <v>0.85347987283862703</v>
      </c>
      <c r="AB45" t="str">
        <f t="shared" si="5"/>
        <v>Rusak Berat Dominan</v>
      </c>
      <c r="AC45" s="19">
        <f>IF(Dashboard!$B$7="Mantap (%)",X45,IF(Dashboard!$B$7="Tidak Mantap (%)",Z45,IF(Dashboard!$B$7="Baik (%)",P45,IF(Dashboard!$B$7="Sedang (%)",R45,IF(Dashboard!$B$7="Rusak Ringan (%)",T45,IF(Dashboard!$B$7="Rusak Berat (%)",V45,AA45))))))</f>
        <v>0.80463982327080474</v>
      </c>
      <c r="AD45" s="20">
        <f>IF(AND(AF45=1,E45&gt;=Dashboard!$B$10,IF(Dashboard!$B$9="≤ Maksimum",AC45&lt;=Dashboard!$B$8,AC45&gt;=Dashboard!$B$8)),1,0)</f>
        <v>1</v>
      </c>
      <c r="AE45" s="20">
        <f>IF(AD45=1,COUNTIFS($AD$2:$AD$351,1,$AC$2:$AC$351,"&gt;"&amp;AC45)+COUNTIFS($AD$2:AD45,1,$AC$2:AC45,AC45),"")</f>
        <v>67</v>
      </c>
      <c r="AF45" s="20">
        <f>IF(OR(Dashboard!$B$6="Semua",ISNUMBER(SEARCH(Dashboard!$B$6,D45))),1,0)</f>
        <v>1</v>
      </c>
      <c r="AG45" s="18">
        <f t="shared" si="6"/>
        <v>8.19</v>
      </c>
      <c r="AH45" s="18">
        <f t="shared" si="7"/>
        <v>1.6000000238418579</v>
      </c>
      <c r="AI45" s="18">
        <f t="shared" si="8"/>
        <v>6.5900001525878906</v>
      </c>
      <c r="AJ45" s="18">
        <f t="shared" si="9"/>
        <v>6.5900001525878906</v>
      </c>
      <c r="AK45" s="20">
        <f>IF(OR(Ruas_Per_Kecamatan!$B$4="Semua",ISNUMBER(SEARCH(Ruas_Per_Kecamatan!$B$4,D45))),1,0)</f>
        <v>1</v>
      </c>
      <c r="AL45" s="20">
        <f>IF(AK45=1,COUNTIF($AK$2:AK45,1),"")</f>
        <v>44</v>
      </c>
      <c r="AM45" s="18">
        <f t="shared" si="10"/>
        <v>8.19</v>
      </c>
      <c r="AN45" s="18">
        <f t="shared" si="11"/>
        <v>1.6000000238418579</v>
      </c>
      <c r="AO45" s="18">
        <f t="shared" si="12"/>
        <v>6.5900001525878906</v>
      </c>
      <c r="AP45" s="18">
        <f t="shared" si="13"/>
        <v>6.5900001525878906</v>
      </c>
    </row>
    <row r="46" spans="1:42" x14ac:dyDescent="0.25">
      <c r="A46" s="17">
        <v>45</v>
      </c>
      <c r="B46" s="17" t="s">
        <v>489</v>
      </c>
      <c r="C46" s="21" t="s">
        <v>74</v>
      </c>
      <c r="D46" s="17" t="s">
        <v>29</v>
      </c>
      <c r="E46" s="18">
        <v>2.95</v>
      </c>
      <c r="F46" s="18">
        <v>3</v>
      </c>
      <c r="G46" s="18">
        <v>0</v>
      </c>
      <c r="H46" s="18"/>
      <c r="I46" s="18">
        <v>2025</v>
      </c>
      <c r="J46" s="18">
        <v>1.5</v>
      </c>
      <c r="K46" s="18">
        <v>0</v>
      </c>
      <c r="L46" s="18">
        <v>0</v>
      </c>
      <c r="M46" s="18">
        <v>0.69999998807907104</v>
      </c>
      <c r="N46" s="18">
        <v>0.75</v>
      </c>
      <c r="O46" s="18">
        <v>0</v>
      </c>
      <c r="P46" s="19">
        <v>0</v>
      </c>
      <c r="Q46" s="18">
        <v>1.5</v>
      </c>
      <c r="R46" s="19">
        <v>0.50847457627118642</v>
      </c>
      <c r="S46" s="18">
        <v>0</v>
      </c>
      <c r="T46" s="19">
        <v>0</v>
      </c>
      <c r="U46" s="18">
        <v>1.4500000476837158</v>
      </c>
      <c r="V46" s="19">
        <v>0.49152543989278502</v>
      </c>
      <c r="W46">
        <f t="shared" si="0"/>
        <v>1.5</v>
      </c>
      <c r="X46" s="19">
        <f t="shared" si="1"/>
        <v>0.50847457627118642</v>
      </c>
      <c r="Y46">
        <f t="shared" si="2"/>
        <v>1.4500000476837158</v>
      </c>
      <c r="Z46" s="19">
        <f t="shared" si="3"/>
        <v>0.49152543989278502</v>
      </c>
      <c r="AA46" s="19">
        <f t="shared" si="4"/>
        <v>0.61864408396058157</v>
      </c>
      <c r="AB46" t="str">
        <f t="shared" si="5"/>
        <v>Rusak Berat Dominan</v>
      </c>
      <c r="AC46" s="19">
        <f>IF(Dashboard!$B$7="Mantap (%)",X46,IF(Dashboard!$B$7="Tidak Mantap (%)",Z46,IF(Dashboard!$B$7="Baik (%)",P46,IF(Dashboard!$B$7="Sedang (%)",R46,IF(Dashboard!$B$7="Rusak Ringan (%)",T46,IF(Dashboard!$B$7="Rusak Berat (%)",V46,AA46))))))</f>
        <v>0.49152543989278502</v>
      </c>
      <c r="AD46" s="20">
        <f>IF(AND(AF46=1,E46&gt;=Dashboard!$B$10,IF(Dashboard!$B$9="≤ Maksimum",AC46&lt;=Dashboard!$B$8,AC46&gt;=Dashboard!$B$8)),1,0)</f>
        <v>1</v>
      </c>
      <c r="AE46" s="20">
        <f>IF(AD46=1,COUNTIFS($AD$2:$AD$351,1,$AC$2:$AC$351,"&gt;"&amp;AC46)+COUNTIFS($AD$2:AD46,1,$AC$2:AC46,AC46),"")</f>
        <v>125</v>
      </c>
      <c r="AF46" s="20">
        <f>IF(OR(Dashboard!$B$6="Semua",ISNUMBER(SEARCH(Dashboard!$B$6,D46))),1,0)</f>
        <v>1</v>
      </c>
      <c r="AG46" s="18">
        <f t="shared" si="6"/>
        <v>2.95</v>
      </c>
      <c r="AH46" s="18">
        <f t="shared" si="7"/>
        <v>1.5</v>
      </c>
      <c r="AI46" s="18">
        <f t="shared" si="8"/>
        <v>1.4500000476837158</v>
      </c>
      <c r="AJ46" s="18">
        <f t="shared" si="9"/>
        <v>1.4500000476837158</v>
      </c>
      <c r="AK46" s="20">
        <f>IF(OR(Ruas_Per_Kecamatan!$B$4="Semua",ISNUMBER(SEARCH(Ruas_Per_Kecamatan!$B$4,D46))),1,0)</f>
        <v>1</v>
      </c>
      <c r="AL46" s="20">
        <f>IF(AK46=1,COUNTIF($AK$2:AK46,1),"")</f>
        <v>45</v>
      </c>
      <c r="AM46" s="18">
        <f t="shared" si="10"/>
        <v>2.95</v>
      </c>
      <c r="AN46" s="18">
        <f t="shared" si="11"/>
        <v>1.5</v>
      </c>
      <c r="AO46" s="18">
        <f t="shared" si="12"/>
        <v>1.4500000476837158</v>
      </c>
      <c r="AP46" s="18">
        <f t="shared" si="13"/>
        <v>1.4500000476837158</v>
      </c>
    </row>
    <row r="47" spans="1:42" x14ac:dyDescent="0.25">
      <c r="A47" s="17">
        <v>46</v>
      </c>
      <c r="B47" s="17" t="s">
        <v>490</v>
      </c>
      <c r="C47" s="21" t="s">
        <v>75</v>
      </c>
      <c r="D47" s="17" t="s">
        <v>29</v>
      </c>
      <c r="E47" s="18">
        <v>1.24</v>
      </c>
      <c r="F47" s="18">
        <v>3</v>
      </c>
      <c r="G47" s="18">
        <v>0</v>
      </c>
      <c r="H47" s="18"/>
      <c r="I47" s="18">
        <v>2025</v>
      </c>
      <c r="J47" s="18">
        <v>1.2400000095367432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9">
        <v>0</v>
      </c>
      <c r="Q47" s="18">
        <v>0.40000000596046448</v>
      </c>
      <c r="R47" s="19">
        <v>0.32258064996811653</v>
      </c>
      <c r="S47" s="18">
        <v>0.8399999737739563</v>
      </c>
      <c r="T47" s="19">
        <v>0.67741933368867446</v>
      </c>
      <c r="U47" s="18">
        <v>0</v>
      </c>
      <c r="V47" s="19">
        <v>0</v>
      </c>
      <c r="W47">
        <f t="shared" si="0"/>
        <v>0.40000000596046448</v>
      </c>
      <c r="X47" s="19">
        <f t="shared" si="1"/>
        <v>0.32258064996811653</v>
      </c>
      <c r="Y47">
        <f t="shared" si="2"/>
        <v>0.8399999737739563</v>
      </c>
      <c r="Z47" s="19">
        <f t="shared" si="3"/>
        <v>0.67741933368867446</v>
      </c>
      <c r="AA47" s="19">
        <f t="shared" si="4"/>
        <v>0.48709676270523378</v>
      </c>
      <c r="AB47" t="str">
        <f t="shared" si="5"/>
        <v>Tidak Mantap Tinggi</v>
      </c>
      <c r="AC47" s="19">
        <f>IF(Dashboard!$B$7="Mantap (%)",X47,IF(Dashboard!$B$7="Tidak Mantap (%)",Z47,IF(Dashboard!$B$7="Baik (%)",P47,IF(Dashboard!$B$7="Sedang (%)",R47,IF(Dashboard!$B$7="Rusak Ringan (%)",T47,IF(Dashboard!$B$7="Rusak Berat (%)",V47,AA47))))))</f>
        <v>0.67741933368867446</v>
      </c>
      <c r="AD47" s="20">
        <f>IF(AND(AF47=1,E47&gt;=Dashboard!$B$10,IF(Dashboard!$B$9="≤ Maksimum",AC47&lt;=Dashboard!$B$8,AC47&gt;=Dashboard!$B$8)),1,0)</f>
        <v>1</v>
      </c>
      <c r="AE47" s="20">
        <f>IF(AD47=1,COUNTIFS($AD$2:$AD$351,1,$AC$2:$AC$351,"&gt;"&amp;AC47)+COUNTIFS($AD$2:AD47,1,$AC$2:AC47,AC47),"")</f>
        <v>93</v>
      </c>
      <c r="AF47" s="20">
        <f>IF(OR(Dashboard!$B$6="Semua",ISNUMBER(SEARCH(Dashboard!$B$6,D47))),1,0)</f>
        <v>1</v>
      </c>
      <c r="AG47" s="18">
        <f t="shared" si="6"/>
        <v>1.24</v>
      </c>
      <c r="AH47" s="18">
        <f t="shared" si="7"/>
        <v>0.40000000596046448</v>
      </c>
      <c r="AI47" s="18">
        <f t="shared" si="8"/>
        <v>0.8399999737739563</v>
      </c>
      <c r="AJ47" s="18">
        <f t="shared" si="9"/>
        <v>0</v>
      </c>
      <c r="AK47" s="20">
        <f>IF(OR(Ruas_Per_Kecamatan!$B$4="Semua",ISNUMBER(SEARCH(Ruas_Per_Kecamatan!$B$4,D47))),1,0)</f>
        <v>1</v>
      </c>
      <c r="AL47" s="20">
        <f>IF(AK47=1,COUNTIF($AK$2:AK47,1),"")</f>
        <v>46</v>
      </c>
      <c r="AM47" s="18">
        <f t="shared" si="10"/>
        <v>1.24</v>
      </c>
      <c r="AN47" s="18">
        <f t="shared" si="11"/>
        <v>0.40000000596046448</v>
      </c>
      <c r="AO47" s="18">
        <f t="shared" si="12"/>
        <v>0.8399999737739563</v>
      </c>
      <c r="AP47" s="18">
        <f t="shared" si="13"/>
        <v>0</v>
      </c>
    </row>
    <row r="48" spans="1:42" x14ac:dyDescent="0.25">
      <c r="A48" s="17">
        <v>47</v>
      </c>
      <c r="B48" s="17" t="s">
        <v>491</v>
      </c>
      <c r="C48" s="21" t="s">
        <v>76</v>
      </c>
      <c r="D48" s="17" t="s">
        <v>69</v>
      </c>
      <c r="E48" s="18">
        <v>1.59</v>
      </c>
      <c r="F48" s="18">
        <v>3</v>
      </c>
      <c r="G48" s="18">
        <v>0</v>
      </c>
      <c r="H48" s="18"/>
      <c r="I48" s="18">
        <v>2025</v>
      </c>
      <c r="J48" s="18">
        <v>1.5900000333786011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9">
        <v>0</v>
      </c>
      <c r="Q48" s="18">
        <v>1.5900000333786011</v>
      </c>
      <c r="R48" s="19">
        <v>1.0000000209928308</v>
      </c>
      <c r="S48" s="18">
        <v>0</v>
      </c>
      <c r="T48" s="19">
        <v>0</v>
      </c>
      <c r="U48" s="18">
        <v>0</v>
      </c>
      <c r="V48" s="19">
        <v>0</v>
      </c>
      <c r="W48">
        <f t="shared" si="0"/>
        <v>1.5900000333786011</v>
      </c>
      <c r="X48" s="19">
        <f t="shared" si="1"/>
        <v>1.0000000209928308</v>
      </c>
      <c r="Y48">
        <f t="shared" si="2"/>
        <v>0</v>
      </c>
      <c r="Z48" s="19">
        <f t="shared" si="3"/>
        <v>0</v>
      </c>
      <c r="AA48" s="19">
        <f t="shared" si="4"/>
        <v>0.2500000052482077</v>
      </c>
      <c r="AB48" t="str">
        <f t="shared" si="5"/>
        <v>Relatif Mantap</v>
      </c>
      <c r="AC48" s="19">
        <f>IF(Dashboard!$B$7="Mantap (%)",X48,IF(Dashboard!$B$7="Tidak Mantap (%)",Z48,IF(Dashboard!$B$7="Baik (%)",P48,IF(Dashboard!$B$7="Sedang (%)",R48,IF(Dashboard!$B$7="Rusak Ringan (%)",T48,IF(Dashboard!$B$7="Rusak Berat (%)",V48,AA48))))))</f>
        <v>0</v>
      </c>
      <c r="AD48" s="20">
        <f>IF(AND(AF48=1,E48&gt;=Dashboard!$B$10,IF(Dashboard!$B$9="≤ Maksimum",AC48&lt;=Dashboard!$B$8,AC48&gt;=Dashboard!$B$8)),1,0)</f>
        <v>0</v>
      </c>
      <c r="AE48" s="20" t="str">
        <f>IF(AD48=1,COUNTIFS($AD$2:$AD$351,1,$AC$2:$AC$351,"&gt;"&amp;AC48)+COUNTIFS($AD$2:AD48,1,$AC$2:AC48,AC48),"")</f>
        <v/>
      </c>
      <c r="AF48" s="20">
        <f>IF(OR(Dashboard!$B$6="Semua",ISNUMBER(SEARCH(Dashboard!$B$6,D48))),1,0)</f>
        <v>1</v>
      </c>
      <c r="AG48" s="18">
        <f t="shared" si="6"/>
        <v>1.59</v>
      </c>
      <c r="AH48" s="18">
        <f t="shared" si="7"/>
        <v>1.5900000333786011</v>
      </c>
      <c r="AI48" s="18">
        <f t="shared" si="8"/>
        <v>0</v>
      </c>
      <c r="AJ48" s="18">
        <f t="shared" si="9"/>
        <v>0</v>
      </c>
      <c r="AK48" s="20">
        <f>IF(OR(Ruas_Per_Kecamatan!$B$4="Semua",ISNUMBER(SEARCH(Ruas_Per_Kecamatan!$B$4,D48))),1,0)</f>
        <v>1</v>
      </c>
      <c r="AL48" s="20">
        <f>IF(AK48=1,COUNTIF($AK$2:AK48,1),"")</f>
        <v>47</v>
      </c>
      <c r="AM48" s="18">
        <f t="shared" si="10"/>
        <v>1.59</v>
      </c>
      <c r="AN48" s="18">
        <f t="shared" si="11"/>
        <v>1.5900000333786011</v>
      </c>
      <c r="AO48" s="18">
        <f t="shared" si="12"/>
        <v>0</v>
      </c>
      <c r="AP48" s="18">
        <f t="shared" si="13"/>
        <v>0</v>
      </c>
    </row>
    <row r="49" spans="1:42" ht="30" x14ac:dyDescent="0.25">
      <c r="A49" s="17">
        <v>48</v>
      </c>
      <c r="B49" s="17" t="s">
        <v>492</v>
      </c>
      <c r="C49" s="21" t="s">
        <v>77</v>
      </c>
      <c r="D49" s="17" t="s">
        <v>78</v>
      </c>
      <c r="E49" s="18">
        <v>5.85</v>
      </c>
      <c r="F49" s="18">
        <v>3</v>
      </c>
      <c r="G49" s="18">
        <v>0</v>
      </c>
      <c r="H49" s="18"/>
      <c r="I49" s="18">
        <v>2025</v>
      </c>
      <c r="J49" s="18">
        <v>5.0500001907348633</v>
      </c>
      <c r="K49" s="18">
        <v>0</v>
      </c>
      <c r="L49" s="18">
        <v>0</v>
      </c>
      <c r="M49" s="18">
        <v>0.80000001192092896</v>
      </c>
      <c r="N49" s="18">
        <v>0</v>
      </c>
      <c r="O49" s="18">
        <v>0</v>
      </c>
      <c r="P49" s="19">
        <v>0</v>
      </c>
      <c r="Q49" s="18">
        <v>1.3999999761581421</v>
      </c>
      <c r="R49" s="19">
        <v>0.23931623524070805</v>
      </c>
      <c r="S49" s="18">
        <v>2.2999999523162842</v>
      </c>
      <c r="T49" s="19">
        <v>0.39316238501133066</v>
      </c>
      <c r="U49" s="18">
        <v>2.1500000357627869</v>
      </c>
      <c r="V49" s="19">
        <v>0.36752137363466442</v>
      </c>
      <c r="W49">
        <f t="shared" si="0"/>
        <v>1.3999999761581421</v>
      </c>
      <c r="X49" s="19">
        <f t="shared" si="1"/>
        <v>0.23931623524070805</v>
      </c>
      <c r="Y49">
        <f t="shared" si="2"/>
        <v>4.449999988079071</v>
      </c>
      <c r="Z49" s="19">
        <f t="shared" si="3"/>
        <v>0.76068375864599513</v>
      </c>
      <c r="AA49" s="19">
        <f t="shared" si="4"/>
        <v>0.66324786345163989</v>
      </c>
      <c r="AB49" t="str">
        <f t="shared" si="5"/>
        <v>Rusak Berat Dominan</v>
      </c>
      <c r="AC49" s="19">
        <f>IF(Dashboard!$B$7="Mantap (%)",X49,IF(Dashboard!$B$7="Tidak Mantap (%)",Z49,IF(Dashboard!$B$7="Baik (%)",P49,IF(Dashboard!$B$7="Sedang (%)",R49,IF(Dashboard!$B$7="Rusak Ringan (%)",T49,IF(Dashboard!$B$7="Rusak Berat (%)",V49,AA49))))))</f>
        <v>0.76068375864599513</v>
      </c>
      <c r="AD49" s="20">
        <f>IF(AND(AF49=1,E49&gt;=Dashboard!$B$10,IF(Dashboard!$B$9="≤ Maksimum",AC49&lt;=Dashboard!$B$8,AC49&gt;=Dashboard!$B$8)),1,0)</f>
        <v>1</v>
      </c>
      <c r="AE49" s="20">
        <f>IF(AD49=1,COUNTIFS($AD$2:$AD$351,1,$AC$2:$AC$351,"&gt;"&amp;AC49)+COUNTIFS($AD$2:AD49,1,$AC$2:AC49,AC49),"")</f>
        <v>73</v>
      </c>
      <c r="AF49" s="20">
        <f>IF(OR(Dashboard!$B$6="Semua",ISNUMBER(SEARCH(Dashboard!$B$6,D49))),1,0)</f>
        <v>1</v>
      </c>
      <c r="AG49" s="18">
        <f t="shared" si="6"/>
        <v>5.85</v>
      </c>
      <c r="AH49" s="18">
        <f t="shared" si="7"/>
        <v>1.3999999761581421</v>
      </c>
      <c r="AI49" s="18">
        <f t="shared" si="8"/>
        <v>4.449999988079071</v>
      </c>
      <c r="AJ49" s="18">
        <f t="shared" si="9"/>
        <v>2.1500000357627869</v>
      </c>
      <c r="AK49" s="20">
        <f>IF(OR(Ruas_Per_Kecamatan!$B$4="Semua",ISNUMBER(SEARCH(Ruas_Per_Kecamatan!$B$4,D49))),1,0)</f>
        <v>1</v>
      </c>
      <c r="AL49" s="20">
        <f>IF(AK49=1,COUNTIF($AK$2:AK49,1),"")</f>
        <v>48</v>
      </c>
      <c r="AM49" s="18">
        <f t="shared" si="10"/>
        <v>5.85</v>
      </c>
      <c r="AN49" s="18">
        <f t="shared" si="11"/>
        <v>1.3999999761581421</v>
      </c>
      <c r="AO49" s="18">
        <f t="shared" si="12"/>
        <v>4.449999988079071</v>
      </c>
      <c r="AP49" s="18">
        <f t="shared" si="13"/>
        <v>2.1500000357627869</v>
      </c>
    </row>
    <row r="50" spans="1:42" x14ac:dyDescent="0.25">
      <c r="A50" s="17">
        <v>49</v>
      </c>
      <c r="B50" s="17" t="s">
        <v>493</v>
      </c>
      <c r="C50" s="21" t="s">
        <v>79</v>
      </c>
      <c r="D50" s="17" t="s">
        <v>69</v>
      </c>
      <c r="E50" s="18">
        <v>1.25</v>
      </c>
      <c r="F50" s="18">
        <v>3.5</v>
      </c>
      <c r="G50" s="18">
        <v>0</v>
      </c>
      <c r="H50" s="18"/>
      <c r="I50" s="18">
        <v>2025</v>
      </c>
      <c r="J50" s="18">
        <v>1.25</v>
      </c>
      <c r="K50" s="18">
        <v>0</v>
      </c>
      <c r="L50" s="18">
        <v>0</v>
      </c>
      <c r="M50" s="18">
        <v>0</v>
      </c>
      <c r="N50" s="18">
        <v>0</v>
      </c>
      <c r="O50" s="18">
        <v>0.34999999403953552</v>
      </c>
      <c r="P50" s="19">
        <v>0.27999999523162844</v>
      </c>
      <c r="Q50" s="18">
        <v>0.89999997615814209</v>
      </c>
      <c r="R50" s="19">
        <v>0.71999998092651363</v>
      </c>
      <c r="S50" s="18">
        <v>0</v>
      </c>
      <c r="T50" s="19">
        <v>0</v>
      </c>
      <c r="U50" s="18">
        <v>0</v>
      </c>
      <c r="V50" s="19">
        <v>0</v>
      </c>
      <c r="W50">
        <f t="shared" si="0"/>
        <v>1.2499999701976776</v>
      </c>
      <c r="X50" s="19">
        <f t="shared" si="1"/>
        <v>0.99999997615814207</v>
      </c>
      <c r="Y50">
        <f t="shared" si="2"/>
        <v>0</v>
      </c>
      <c r="Z50" s="19">
        <f t="shared" si="3"/>
        <v>0</v>
      </c>
      <c r="AA50" s="19">
        <f t="shared" si="4"/>
        <v>0.17999999523162841</v>
      </c>
      <c r="AB50" t="str">
        <f t="shared" si="5"/>
        <v>Relatif Mantap</v>
      </c>
      <c r="AC50" s="19">
        <f>IF(Dashboard!$B$7="Mantap (%)",X50,IF(Dashboard!$B$7="Tidak Mantap (%)",Z50,IF(Dashboard!$B$7="Baik (%)",P50,IF(Dashboard!$B$7="Sedang (%)",R50,IF(Dashboard!$B$7="Rusak Ringan (%)",T50,IF(Dashboard!$B$7="Rusak Berat (%)",V50,AA50))))))</f>
        <v>0</v>
      </c>
      <c r="AD50" s="20">
        <f>IF(AND(AF50=1,E50&gt;=Dashboard!$B$10,IF(Dashboard!$B$9="≤ Maksimum",AC50&lt;=Dashboard!$B$8,AC50&gt;=Dashboard!$B$8)),1,0)</f>
        <v>0</v>
      </c>
      <c r="AE50" s="20" t="str">
        <f>IF(AD50=1,COUNTIFS($AD$2:$AD$351,1,$AC$2:$AC$351,"&gt;"&amp;AC50)+COUNTIFS($AD$2:AD50,1,$AC$2:AC50,AC50),"")</f>
        <v/>
      </c>
      <c r="AF50" s="20">
        <f>IF(OR(Dashboard!$B$6="Semua",ISNUMBER(SEARCH(Dashboard!$B$6,D50))),1,0)</f>
        <v>1</v>
      </c>
      <c r="AG50" s="18">
        <f t="shared" si="6"/>
        <v>1.25</v>
      </c>
      <c r="AH50" s="18">
        <f t="shared" si="7"/>
        <v>1.2499999701976776</v>
      </c>
      <c r="AI50" s="18">
        <f t="shared" si="8"/>
        <v>0</v>
      </c>
      <c r="AJ50" s="18">
        <f t="shared" si="9"/>
        <v>0</v>
      </c>
      <c r="AK50" s="20">
        <f>IF(OR(Ruas_Per_Kecamatan!$B$4="Semua",ISNUMBER(SEARCH(Ruas_Per_Kecamatan!$B$4,D50))),1,0)</f>
        <v>1</v>
      </c>
      <c r="AL50" s="20">
        <f>IF(AK50=1,COUNTIF($AK$2:AK50,1),"")</f>
        <v>49</v>
      </c>
      <c r="AM50" s="18">
        <f t="shared" si="10"/>
        <v>1.25</v>
      </c>
      <c r="AN50" s="18">
        <f t="shared" si="11"/>
        <v>1.2499999701976776</v>
      </c>
      <c r="AO50" s="18">
        <f t="shared" si="12"/>
        <v>0</v>
      </c>
      <c r="AP50" s="18">
        <f t="shared" si="13"/>
        <v>0</v>
      </c>
    </row>
    <row r="51" spans="1:42" x14ac:dyDescent="0.25">
      <c r="A51" s="17">
        <v>50</v>
      </c>
      <c r="B51" s="17" t="s">
        <v>494</v>
      </c>
      <c r="C51" s="21" t="s">
        <v>80</v>
      </c>
      <c r="D51" s="17" t="s">
        <v>29</v>
      </c>
      <c r="E51" s="18">
        <v>2.1</v>
      </c>
      <c r="F51" s="18">
        <v>3</v>
      </c>
      <c r="G51" s="18">
        <v>0</v>
      </c>
      <c r="H51" s="18"/>
      <c r="I51" s="18">
        <v>2025</v>
      </c>
      <c r="J51" s="18">
        <v>2.0999999046325684</v>
      </c>
      <c r="K51" s="18">
        <v>0</v>
      </c>
      <c r="L51" s="18">
        <v>0</v>
      </c>
      <c r="M51" s="18">
        <v>0</v>
      </c>
      <c r="N51" s="18">
        <v>0</v>
      </c>
      <c r="O51" s="18">
        <v>0.89999997615814209</v>
      </c>
      <c r="P51" s="19">
        <v>0.42857141721816289</v>
      </c>
      <c r="Q51" s="18">
        <v>1.2000000476837158</v>
      </c>
      <c r="R51" s="19">
        <v>0.57142859413510272</v>
      </c>
      <c r="S51" s="18">
        <v>0</v>
      </c>
      <c r="T51" s="19">
        <v>0</v>
      </c>
      <c r="U51" s="18">
        <v>0</v>
      </c>
      <c r="V51" s="19">
        <v>0</v>
      </c>
      <c r="W51">
        <f t="shared" si="0"/>
        <v>2.1000000238418579</v>
      </c>
      <c r="X51" s="19">
        <f t="shared" si="1"/>
        <v>1.0000000113532657</v>
      </c>
      <c r="Y51">
        <f t="shared" si="2"/>
        <v>0</v>
      </c>
      <c r="Z51" s="19">
        <f t="shared" si="3"/>
        <v>0</v>
      </c>
      <c r="AA51" s="19">
        <f t="shared" si="4"/>
        <v>0.14285714853377568</v>
      </c>
      <c r="AB51" t="str">
        <f t="shared" si="5"/>
        <v>Relatif Mantap</v>
      </c>
      <c r="AC51" s="19">
        <f>IF(Dashboard!$B$7="Mantap (%)",X51,IF(Dashboard!$B$7="Tidak Mantap (%)",Z51,IF(Dashboard!$B$7="Baik (%)",P51,IF(Dashboard!$B$7="Sedang (%)",R51,IF(Dashboard!$B$7="Rusak Ringan (%)",T51,IF(Dashboard!$B$7="Rusak Berat (%)",V51,AA51))))))</f>
        <v>0</v>
      </c>
      <c r="AD51" s="20">
        <f>IF(AND(AF51=1,E51&gt;=Dashboard!$B$10,IF(Dashboard!$B$9="≤ Maksimum",AC51&lt;=Dashboard!$B$8,AC51&gt;=Dashboard!$B$8)),1,0)</f>
        <v>0</v>
      </c>
      <c r="AE51" s="20" t="str">
        <f>IF(AD51=1,COUNTIFS($AD$2:$AD$351,1,$AC$2:$AC$351,"&gt;"&amp;AC51)+COUNTIFS($AD$2:AD51,1,$AC$2:AC51,AC51),"")</f>
        <v/>
      </c>
      <c r="AF51" s="20">
        <f>IF(OR(Dashboard!$B$6="Semua",ISNUMBER(SEARCH(Dashboard!$B$6,D51))),1,0)</f>
        <v>1</v>
      </c>
      <c r="AG51" s="18">
        <f t="shared" si="6"/>
        <v>2.1</v>
      </c>
      <c r="AH51" s="18">
        <f t="shared" si="7"/>
        <v>2.1000000238418579</v>
      </c>
      <c r="AI51" s="18">
        <f t="shared" si="8"/>
        <v>0</v>
      </c>
      <c r="AJ51" s="18">
        <f t="shared" si="9"/>
        <v>0</v>
      </c>
      <c r="AK51" s="20">
        <f>IF(OR(Ruas_Per_Kecamatan!$B$4="Semua",ISNUMBER(SEARCH(Ruas_Per_Kecamatan!$B$4,D51))),1,0)</f>
        <v>1</v>
      </c>
      <c r="AL51" s="20">
        <f>IF(AK51=1,COUNTIF($AK$2:AK51,1),"")</f>
        <v>50</v>
      </c>
      <c r="AM51" s="18">
        <f t="shared" si="10"/>
        <v>2.1</v>
      </c>
      <c r="AN51" s="18">
        <f t="shared" si="11"/>
        <v>2.1000000238418579</v>
      </c>
      <c r="AO51" s="18">
        <f t="shared" si="12"/>
        <v>0</v>
      </c>
      <c r="AP51" s="18">
        <f t="shared" si="13"/>
        <v>0</v>
      </c>
    </row>
    <row r="52" spans="1:42" x14ac:dyDescent="0.25">
      <c r="A52" s="17">
        <v>51</v>
      </c>
      <c r="B52" s="17" t="s">
        <v>495</v>
      </c>
      <c r="C52" s="21" t="s">
        <v>81</v>
      </c>
      <c r="D52" s="17" t="s">
        <v>29</v>
      </c>
      <c r="E52" s="18">
        <v>0.86</v>
      </c>
      <c r="F52" s="18">
        <v>3</v>
      </c>
      <c r="G52" s="18">
        <v>0</v>
      </c>
      <c r="H52" s="18"/>
      <c r="I52" s="18">
        <v>2025</v>
      </c>
      <c r="J52" s="18">
        <v>0.86000001430511475</v>
      </c>
      <c r="K52" s="18">
        <v>0</v>
      </c>
      <c r="L52" s="18">
        <v>0</v>
      </c>
      <c r="M52" s="18">
        <v>0</v>
      </c>
      <c r="N52" s="18">
        <v>0</v>
      </c>
      <c r="O52" s="18">
        <v>0.86000001430511475</v>
      </c>
      <c r="P52" s="19">
        <v>1.0000000166338543</v>
      </c>
      <c r="Q52" s="18">
        <v>0</v>
      </c>
      <c r="R52" s="19">
        <v>0</v>
      </c>
      <c r="S52" s="18">
        <v>0</v>
      </c>
      <c r="T52" s="19">
        <v>0</v>
      </c>
      <c r="U52" s="18">
        <v>0</v>
      </c>
      <c r="V52" s="19">
        <v>0</v>
      </c>
      <c r="W52">
        <f t="shared" si="0"/>
        <v>0.86000001430511475</v>
      </c>
      <c r="X52" s="19">
        <f t="shared" si="1"/>
        <v>1.0000000166338543</v>
      </c>
      <c r="Y52">
        <f t="shared" si="2"/>
        <v>0</v>
      </c>
      <c r="Z52" s="19">
        <f t="shared" si="3"/>
        <v>0</v>
      </c>
      <c r="AA52" s="19">
        <f t="shared" si="4"/>
        <v>0</v>
      </c>
      <c r="AB52" t="str">
        <f t="shared" si="5"/>
        <v>Relatif Mantap</v>
      </c>
      <c r="AC52" s="19">
        <f>IF(Dashboard!$B$7="Mantap (%)",X52,IF(Dashboard!$B$7="Tidak Mantap (%)",Z52,IF(Dashboard!$B$7="Baik (%)",P52,IF(Dashboard!$B$7="Sedang (%)",R52,IF(Dashboard!$B$7="Rusak Ringan (%)",T52,IF(Dashboard!$B$7="Rusak Berat (%)",V52,AA52))))))</f>
        <v>0</v>
      </c>
      <c r="AD52" s="20">
        <f>IF(AND(AF52=1,E52&gt;=Dashboard!$B$10,IF(Dashboard!$B$9="≤ Maksimum",AC52&lt;=Dashboard!$B$8,AC52&gt;=Dashboard!$B$8)),1,0)</f>
        <v>0</v>
      </c>
      <c r="AE52" s="20" t="str">
        <f>IF(AD52=1,COUNTIFS($AD$2:$AD$351,1,$AC$2:$AC$351,"&gt;"&amp;AC52)+COUNTIFS($AD$2:AD52,1,$AC$2:AC52,AC52),"")</f>
        <v/>
      </c>
      <c r="AF52" s="20">
        <f>IF(OR(Dashboard!$B$6="Semua",ISNUMBER(SEARCH(Dashboard!$B$6,D52))),1,0)</f>
        <v>1</v>
      </c>
      <c r="AG52" s="18">
        <f t="shared" si="6"/>
        <v>0.86</v>
      </c>
      <c r="AH52" s="18">
        <f t="shared" si="7"/>
        <v>0.86000001430511475</v>
      </c>
      <c r="AI52" s="18">
        <f t="shared" si="8"/>
        <v>0</v>
      </c>
      <c r="AJ52" s="18">
        <f t="shared" si="9"/>
        <v>0</v>
      </c>
      <c r="AK52" s="20">
        <f>IF(OR(Ruas_Per_Kecamatan!$B$4="Semua",ISNUMBER(SEARCH(Ruas_Per_Kecamatan!$B$4,D52))),1,0)</f>
        <v>1</v>
      </c>
      <c r="AL52" s="20">
        <f>IF(AK52=1,COUNTIF($AK$2:AK52,1),"")</f>
        <v>51</v>
      </c>
      <c r="AM52" s="18">
        <f t="shared" si="10"/>
        <v>0.86</v>
      </c>
      <c r="AN52" s="18">
        <f t="shared" si="11"/>
        <v>0.86000001430511475</v>
      </c>
      <c r="AO52" s="18">
        <f t="shared" si="12"/>
        <v>0</v>
      </c>
      <c r="AP52" s="18">
        <f t="shared" si="13"/>
        <v>0</v>
      </c>
    </row>
    <row r="53" spans="1:42" x14ac:dyDescent="0.25">
      <c r="A53" s="17">
        <v>52</v>
      </c>
      <c r="B53" s="17" t="s">
        <v>496</v>
      </c>
      <c r="C53" s="21" t="s">
        <v>82</v>
      </c>
      <c r="D53" s="17" t="s">
        <v>29</v>
      </c>
      <c r="E53" s="18">
        <v>1.52</v>
      </c>
      <c r="F53" s="18">
        <v>3</v>
      </c>
      <c r="G53" s="18">
        <v>0</v>
      </c>
      <c r="H53" s="18"/>
      <c r="I53" s="18">
        <v>2025</v>
      </c>
      <c r="J53" s="18">
        <v>1.5199999809265137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9">
        <v>0</v>
      </c>
      <c r="Q53" s="18">
        <v>1.0199999809265137</v>
      </c>
      <c r="R53" s="19">
        <v>0.67105261903060109</v>
      </c>
      <c r="S53" s="18">
        <v>0.5</v>
      </c>
      <c r="T53" s="19">
        <v>0.32894736842105265</v>
      </c>
      <c r="U53" s="18">
        <v>0</v>
      </c>
      <c r="V53" s="19">
        <v>0</v>
      </c>
      <c r="W53">
        <f t="shared" si="0"/>
        <v>1.0199999809265137</v>
      </c>
      <c r="X53" s="19">
        <f t="shared" si="1"/>
        <v>0.67105261903060109</v>
      </c>
      <c r="Y53">
        <f t="shared" si="2"/>
        <v>0.5</v>
      </c>
      <c r="Z53" s="19">
        <f t="shared" si="3"/>
        <v>0.32894736842105265</v>
      </c>
      <c r="AA53" s="19">
        <f t="shared" si="4"/>
        <v>0.36513157581028188</v>
      </c>
      <c r="AB53" t="str">
        <f t="shared" si="5"/>
        <v>Tidak Mantap Sedang</v>
      </c>
      <c r="AC53" s="19">
        <f>IF(Dashboard!$B$7="Mantap (%)",X53,IF(Dashboard!$B$7="Tidak Mantap (%)",Z53,IF(Dashboard!$B$7="Baik (%)",P53,IF(Dashboard!$B$7="Sedang (%)",R53,IF(Dashboard!$B$7="Rusak Ringan (%)",T53,IF(Dashboard!$B$7="Rusak Berat (%)",V53,AA53))))))</f>
        <v>0.32894736842105265</v>
      </c>
      <c r="AD53" s="20">
        <f>IF(AND(AF53=1,E53&gt;=Dashboard!$B$10,IF(Dashboard!$B$9="≤ Maksimum",AC53&lt;=Dashboard!$B$8,AC53&gt;=Dashboard!$B$8)),1,0)</f>
        <v>1</v>
      </c>
      <c r="AE53" s="20">
        <f>IF(AD53=1,COUNTIFS($AD$2:$AD$351,1,$AC$2:$AC$351,"&gt;"&amp;AC53)+COUNTIFS($AD$2:AD53,1,$AC$2:AC53,AC53),"")</f>
        <v>161</v>
      </c>
      <c r="AF53" s="20">
        <f>IF(OR(Dashboard!$B$6="Semua",ISNUMBER(SEARCH(Dashboard!$B$6,D53))),1,0)</f>
        <v>1</v>
      </c>
      <c r="AG53" s="18">
        <f t="shared" si="6"/>
        <v>1.52</v>
      </c>
      <c r="AH53" s="18">
        <f t="shared" si="7"/>
        <v>1.0199999809265137</v>
      </c>
      <c r="AI53" s="18">
        <f t="shared" si="8"/>
        <v>0.5</v>
      </c>
      <c r="AJ53" s="18">
        <f t="shared" si="9"/>
        <v>0</v>
      </c>
      <c r="AK53" s="20">
        <f>IF(OR(Ruas_Per_Kecamatan!$B$4="Semua",ISNUMBER(SEARCH(Ruas_Per_Kecamatan!$B$4,D53))),1,0)</f>
        <v>1</v>
      </c>
      <c r="AL53" s="20">
        <f>IF(AK53=1,COUNTIF($AK$2:AK53,1),"")</f>
        <v>52</v>
      </c>
      <c r="AM53" s="18">
        <f t="shared" si="10"/>
        <v>1.52</v>
      </c>
      <c r="AN53" s="18">
        <f t="shared" si="11"/>
        <v>1.0199999809265137</v>
      </c>
      <c r="AO53" s="18">
        <f t="shared" si="12"/>
        <v>0.5</v>
      </c>
      <c r="AP53" s="18">
        <f t="shared" si="13"/>
        <v>0</v>
      </c>
    </row>
    <row r="54" spans="1:42" x14ac:dyDescent="0.25">
      <c r="A54" s="17">
        <v>53</v>
      </c>
      <c r="B54" s="17" t="s">
        <v>497</v>
      </c>
      <c r="C54" s="21" t="s">
        <v>83</v>
      </c>
      <c r="D54" s="17" t="s">
        <v>29</v>
      </c>
      <c r="E54" s="18">
        <v>1.29</v>
      </c>
      <c r="F54" s="18">
        <v>3</v>
      </c>
      <c r="G54" s="18">
        <v>0</v>
      </c>
      <c r="H54" s="18"/>
      <c r="I54" s="18">
        <v>2025</v>
      </c>
      <c r="J54" s="18">
        <v>1.2899999618530273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9">
        <v>0</v>
      </c>
      <c r="Q54" s="18">
        <v>0.99000000953674316</v>
      </c>
      <c r="R54" s="19">
        <v>0.76744186785794044</v>
      </c>
      <c r="S54" s="18">
        <v>0.30000001192092896</v>
      </c>
      <c r="T54" s="19">
        <v>0.23255814877591391</v>
      </c>
      <c r="U54" s="18">
        <v>0</v>
      </c>
      <c r="V54" s="19">
        <v>0</v>
      </c>
      <c r="W54">
        <f t="shared" si="0"/>
        <v>0.99000000953674316</v>
      </c>
      <c r="X54" s="19">
        <f t="shared" si="1"/>
        <v>0.76744186785794044</v>
      </c>
      <c r="Y54">
        <f t="shared" si="2"/>
        <v>0.30000001192092896</v>
      </c>
      <c r="Z54" s="19">
        <f t="shared" si="3"/>
        <v>0.23255814877591391</v>
      </c>
      <c r="AA54" s="19">
        <f t="shared" si="4"/>
        <v>0.33139535623003347</v>
      </c>
      <c r="AB54" t="str">
        <f t="shared" si="5"/>
        <v>Tidak Mantap Sedang</v>
      </c>
      <c r="AC54" s="19">
        <f>IF(Dashboard!$B$7="Mantap (%)",X54,IF(Dashboard!$B$7="Tidak Mantap (%)",Z54,IF(Dashboard!$B$7="Baik (%)",P54,IF(Dashboard!$B$7="Sedang (%)",R54,IF(Dashboard!$B$7="Rusak Ringan (%)",T54,IF(Dashboard!$B$7="Rusak Berat (%)",V54,AA54))))))</f>
        <v>0.23255814877591391</v>
      </c>
      <c r="AD54" s="20">
        <f>IF(AND(AF54=1,E54&gt;=Dashboard!$B$10,IF(Dashboard!$B$9="≤ Maksimum",AC54&lt;=Dashboard!$B$8,AC54&gt;=Dashboard!$B$8)),1,0)</f>
        <v>1</v>
      </c>
      <c r="AE54" s="20">
        <f>IF(AD54=1,COUNTIFS($AD$2:$AD$351,1,$AC$2:$AC$351,"&gt;"&amp;AC54)+COUNTIFS($AD$2:AD54,1,$AC$2:AC54,AC54),"")</f>
        <v>181</v>
      </c>
      <c r="AF54" s="20">
        <f>IF(OR(Dashboard!$B$6="Semua",ISNUMBER(SEARCH(Dashboard!$B$6,D54))),1,0)</f>
        <v>1</v>
      </c>
      <c r="AG54" s="18">
        <f t="shared" si="6"/>
        <v>1.29</v>
      </c>
      <c r="AH54" s="18">
        <f t="shared" si="7"/>
        <v>0.99000000953674316</v>
      </c>
      <c r="AI54" s="18">
        <f t="shared" si="8"/>
        <v>0.30000001192092896</v>
      </c>
      <c r="AJ54" s="18">
        <f t="shared" si="9"/>
        <v>0</v>
      </c>
      <c r="AK54" s="20">
        <f>IF(OR(Ruas_Per_Kecamatan!$B$4="Semua",ISNUMBER(SEARCH(Ruas_Per_Kecamatan!$B$4,D54))),1,0)</f>
        <v>1</v>
      </c>
      <c r="AL54" s="20">
        <f>IF(AK54=1,COUNTIF($AK$2:AK54,1),"")</f>
        <v>53</v>
      </c>
      <c r="AM54" s="18">
        <f t="shared" si="10"/>
        <v>1.29</v>
      </c>
      <c r="AN54" s="18">
        <f t="shared" si="11"/>
        <v>0.99000000953674316</v>
      </c>
      <c r="AO54" s="18">
        <f t="shared" si="12"/>
        <v>0.30000001192092896</v>
      </c>
      <c r="AP54" s="18">
        <f t="shared" si="13"/>
        <v>0</v>
      </c>
    </row>
    <row r="55" spans="1:42" x14ac:dyDescent="0.25">
      <c r="A55" s="17">
        <v>54</v>
      </c>
      <c r="B55" s="17" t="s">
        <v>498</v>
      </c>
      <c r="C55" s="21" t="s">
        <v>84</v>
      </c>
      <c r="D55" s="17" t="s">
        <v>29</v>
      </c>
      <c r="E55" s="18">
        <v>1.05</v>
      </c>
      <c r="F55" s="18">
        <v>3</v>
      </c>
      <c r="G55" s="18">
        <v>0</v>
      </c>
      <c r="H55" s="18"/>
      <c r="I55" s="18">
        <v>2025</v>
      </c>
      <c r="J55" s="18">
        <v>1.0499999523162842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9">
        <v>0</v>
      </c>
      <c r="Q55" s="18">
        <v>0.75</v>
      </c>
      <c r="R55" s="19">
        <v>0.7142857142857143</v>
      </c>
      <c r="S55" s="18">
        <v>0.30000001192092896</v>
      </c>
      <c r="T55" s="19">
        <v>0.28571429706755136</v>
      </c>
      <c r="U55" s="18">
        <v>0</v>
      </c>
      <c r="V55" s="19">
        <v>0</v>
      </c>
      <c r="W55">
        <f t="shared" si="0"/>
        <v>0.75</v>
      </c>
      <c r="X55" s="19">
        <f t="shared" si="1"/>
        <v>0.7142857142857143</v>
      </c>
      <c r="Y55">
        <f t="shared" si="2"/>
        <v>0.30000001192092896</v>
      </c>
      <c r="Z55" s="19">
        <f t="shared" si="3"/>
        <v>0.28571429706755136</v>
      </c>
      <c r="AA55" s="19">
        <f t="shared" si="4"/>
        <v>0.35000000681195942</v>
      </c>
      <c r="AB55" t="str">
        <f t="shared" si="5"/>
        <v>Tidak Mantap Sedang</v>
      </c>
      <c r="AC55" s="19">
        <f>IF(Dashboard!$B$7="Mantap (%)",X55,IF(Dashboard!$B$7="Tidak Mantap (%)",Z55,IF(Dashboard!$B$7="Baik (%)",P55,IF(Dashboard!$B$7="Sedang (%)",R55,IF(Dashboard!$B$7="Rusak Ringan (%)",T55,IF(Dashboard!$B$7="Rusak Berat (%)",V55,AA55))))))</f>
        <v>0.28571429706755136</v>
      </c>
      <c r="AD55" s="20">
        <f>IF(AND(AF55=1,E55&gt;=Dashboard!$B$10,IF(Dashboard!$B$9="≤ Maksimum",AC55&lt;=Dashboard!$B$8,AC55&gt;=Dashboard!$B$8)),1,0)</f>
        <v>1</v>
      </c>
      <c r="AE55" s="20">
        <f>IF(AD55=1,COUNTIFS($AD$2:$AD$351,1,$AC$2:$AC$351,"&gt;"&amp;AC55)+COUNTIFS($AD$2:AD55,1,$AC$2:AC55,AC55),"")</f>
        <v>172</v>
      </c>
      <c r="AF55" s="20">
        <f>IF(OR(Dashboard!$B$6="Semua",ISNUMBER(SEARCH(Dashboard!$B$6,D55))),1,0)</f>
        <v>1</v>
      </c>
      <c r="AG55" s="18">
        <f t="shared" si="6"/>
        <v>1.05</v>
      </c>
      <c r="AH55" s="18">
        <f t="shared" si="7"/>
        <v>0.75</v>
      </c>
      <c r="AI55" s="18">
        <f t="shared" si="8"/>
        <v>0.30000001192092896</v>
      </c>
      <c r="AJ55" s="18">
        <f t="shared" si="9"/>
        <v>0</v>
      </c>
      <c r="AK55" s="20">
        <f>IF(OR(Ruas_Per_Kecamatan!$B$4="Semua",ISNUMBER(SEARCH(Ruas_Per_Kecamatan!$B$4,D55))),1,0)</f>
        <v>1</v>
      </c>
      <c r="AL55" s="20">
        <f>IF(AK55=1,COUNTIF($AK$2:AK55,1),"")</f>
        <v>54</v>
      </c>
      <c r="AM55" s="18">
        <f t="shared" si="10"/>
        <v>1.05</v>
      </c>
      <c r="AN55" s="18">
        <f t="shared" si="11"/>
        <v>0.75</v>
      </c>
      <c r="AO55" s="18">
        <f t="shared" si="12"/>
        <v>0.30000001192092896</v>
      </c>
      <c r="AP55" s="18">
        <f t="shared" si="13"/>
        <v>0</v>
      </c>
    </row>
    <row r="56" spans="1:42" x14ac:dyDescent="0.25">
      <c r="A56" s="17">
        <v>55</v>
      </c>
      <c r="B56" s="17" t="s">
        <v>499</v>
      </c>
      <c r="C56" s="21" t="s">
        <v>85</v>
      </c>
      <c r="D56" s="17" t="s">
        <v>29</v>
      </c>
      <c r="E56" s="18">
        <v>0.89</v>
      </c>
      <c r="F56" s="18">
        <v>3.5</v>
      </c>
      <c r="G56" s="18">
        <v>0</v>
      </c>
      <c r="H56" s="18"/>
      <c r="I56" s="18">
        <v>2025</v>
      </c>
      <c r="J56" s="18">
        <v>0.88999998569488525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9">
        <v>0</v>
      </c>
      <c r="Q56" s="18">
        <v>0.38999998569488525</v>
      </c>
      <c r="R56" s="19">
        <v>0.43820223111784862</v>
      </c>
      <c r="S56" s="18">
        <v>0.40000000596046448</v>
      </c>
      <c r="T56" s="19">
        <v>0.44943820894434211</v>
      </c>
      <c r="U56" s="18">
        <v>0.10000000149011612</v>
      </c>
      <c r="V56" s="19">
        <v>0.11235955223608553</v>
      </c>
      <c r="W56">
        <f t="shared" si="0"/>
        <v>0.38999998569488525</v>
      </c>
      <c r="X56" s="19">
        <f t="shared" si="1"/>
        <v>0.43820223111784862</v>
      </c>
      <c r="Y56">
        <f t="shared" si="2"/>
        <v>0.5000000074505806</v>
      </c>
      <c r="Z56" s="19">
        <f t="shared" si="3"/>
        <v>0.56179776118042768</v>
      </c>
      <c r="AA56" s="19">
        <f t="shared" si="4"/>
        <v>0.49157303538215291</v>
      </c>
      <c r="AB56" t="str">
        <f t="shared" si="5"/>
        <v>Tidak Mantap Tinggi</v>
      </c>
      <c r="AC56" s="19">
        <f>IF(Dashboard!$B$7="Mantap (%)",X56,IF(Dashboard!$B$7="Tidak Mantap (%)",Z56,IF(Dashboard!$B$7="Baik (%)",P56,IF(Dashboard!$B$7="Sedang (%)",R56,IF(Dashboard!$B$7="Rusak Ringan (%)",T56,IF(Dashboard!$B$7="Rusak Berat (%)",V56,AA56))))))</f>
        <v>0.56179776118042768</v>
      </c>
      <c r="AD56" s="20">
        <f>IF(AND(AF56=1,E56&gt;=Dashboard!$B$10,IF(Dashboard!$B$9="≤ Maksimum",AC56&lt;=Dashboard!$B$8,AC56&gt;=Dashboard!$B$8)),1,0)</f>
        <v>1</v>
      </c>
      <c r="AE56" s="20">
        <f>IF(AD56=1,COUNTIFS($AD$2:$AD$351,1,$AC$2:$AC$351,"&gt;"&amp;AC56)+COUNTIFS($AD$2:AD56,1,$AC$2:AC56,AC56),"")</f>
        <v>112</v>
      </c>
      <c r="AF56" s="20">
        <f>IF(OR(Dashboard!$B$6="Semua",ISNUMBER(SEARCH(Dashboard!$B$6,D56))),1,0)</f>
        <v>1</v>
      </c>
      <c r="AG56" s="18">
        <f t="shared" si="6"/>
        <v>0.89</v>
      </c>
      <c r="AH56" s="18">
        <f t="shared" si="7"/>
        <v>0.38999998569488525</v>
      </c>
      <c r="AI56" s="18">
        <f t="shared" si="8"/>
        <v>0.5000000074505806</v>
      </c>
      <c r="AJ56" s="18">
        <f t="shared" si="9"/>
        <v>0.10000000149011612</v>
      </c>
      <c r="AK56" s="20">
        <f>IF(OR(Ruas_Per_Kecamatan!$B$4="Semua",ISNUMBER(SEARCH(Ruas_Per_Kecamatan!$B$4,D56))),1,0)</f>
        <v>1</v>
      </c>
      <c r="AL56" s="20">
        <f>IF(AK56=1,COUNTIF($AK$2:AK56,1),"")</f>
        <v>55</v>
      </c>
      <c r="AM56" s="18">
        <f t="shared" si="10"/>
        <v>0.89</v>
      </c>
      <c r="AN56" s="18">
        <f t="shared" si="11"/>
        <v>0.38999998569488525</v>
      </c>
      <c r="AO56" s="18">
        <f t="shared" si="12"/>
        <v>0.5000000074505806</v>
      </c>
      <c r="AP56" s="18">
        <f t="shared" si="13"/>
        <v>0.10000000149011612</v>
      </c>
    </row>
    <row r="57" spans="1:42" x14ac:dyDescent="0.25">
      <c r="A57" s="17">
        <v>56</v>
      </c>
      <c r="B57" s="17" t="s">
        <v>500</v>
      </c>
      <c r="C57" s="21" t="s">
        <v>86</v>
      </c>
      <c r="D57" s="17" t="s">
        <v>69</v>
      </c>
      <c r="E57" s="18">
        <v>3.77</v>
      </c>
      <c r="F57" s="18">
        <v>3.5</v>
      </c>
      <c r="G57" s="18">
        <v>0</v>
      </c>
      <c r="H57" s="18"/>
      <c r="I57" s="18">
        <v>2025</v>
      </c>
      <c r="J57" s="18">
        <v>3.7699999809265137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9">
        <v>0</v>
      </c>
      <c r="Q57" s="18">
        <v>3.0699999332427979</v>
      </c>
      <c r="R57" s="19">
        <v>0.81432358971957497</v>
      </c>
      <c r="S57" s="18">
        <v>0.69999998807907104</v>
      </c>
      <c r="T57" s="19">
        <v>0.18567638941089418</v>
      </c>
      <c r="U57" s="18">
        <v>0</v>
      </c>
      <c r="V57" s="19">
        <v>0</v>
      </c>
      <c r="W57">
        <f t="shared" si="0"/>
        <v>3.0699999332427979</v>
      </c>
      <c r="X57" s="19">
        <f t="shared" si="1"/>
        <v>0.81432358971957497</v>
      </c>
      <c r="Y57">
        <f t="shared" si="2"/>
        <v>0.69999998807907104</v>
      </c>
      <c r="Z57" s="19">
        <f t="shared" si="3"/>
        <v>0.18567638941089418</v>
      </c>
      <c r="AA57" s="19">
        <f t="shared" si="4"/>
        <v>0.31498673107643027</v>
      </c>
      <c r="AB57" t="str">
        <f t="shared" si="5"/>
        <v>Relatif Mantap</v>
      </c>
      <c r="AC57" s="19">
        <f>IF(Dashboard!$B$7="Mantap (%)",X57,IF(Dashboard!$B$7="Tidak Mantap (%)",Z57,IF(Dashboard!$B$7="Baik (%)",P57,IF(Dashboard!$B$7="Sedang (%)",R57,IF(Dashboard!$B$7="Rusak Ringan (%)",T57,IF(Dashboard!$B$7="Rusak Berat (%)",V57,AA57))))))</f>
        <v>0.18567638941089418</v>
      </c>
      <c r="AD57" s="20">
        <f>IF(AND(AF57=1,E57&gt;=Dashboard!$B$10,IF(Dashboard!$B$9="≤ Maksimum",AC57&lt;=Dashboard!$B$8,AC57&gt;=Dashboard!$B$8)),1,0)</f>
        <v>0</v>
      </c>
      <c r="AE57" s="20" t="str">
        <f>IF(AD57=1,COUNTIFS($AD$2:$AD$351,1,$AC$2:$AC$351,"&gt;"&amp;AC57)+COUNTIFS($AD$2:AD57,1,$AC$2:AC57,AC57),"")</f>
        <v/>
      </c>
      <c r="AF57" s="20">
        <f>IF(OR(Dashboard!$B$6="Semua",ISNUMBER(SEARCH(Dashboard!$B$6,D57))),1,0)</f>
        <v>1</v>
      </c>
      <c r="AG57" s="18">
        <f t="shared" si="6"/>
        <v>3.77</v>
      </c>
      <c r="AH57" s="18">
        <f t="shared" si="7"/>
        <v>3.0699999332427979</v>
      </c>
      <c r="AI57" s="18">
        <f t="shared" si="8"/>
        <v>0.69999998807907104</v>
      </c>
      <c r="AJ57" s="18">
        <f t="shared" si="9"/>
        <v>0</v>
      </c>
      <c r="AK57" s="20">
        <f>IF(OR(Ruas_Per_Kecamatan!$B$4="Semua",ISNUMBER(SEARCH(Ruas_Per_Kecamatan!$B$4,D57))),1,0)</f>
        <v>1</v>
      </c>
      <c r="AL57" s="20">
        <f>IF(AK57=1,COUNTIF($AK$2:AK57,1),"")</f>
        <v>56</v>
      </c>
      <c r="AM57" s="18">
        <f t="shared" si="10"/>
        <v>3.77</v>
      </c>
      <c r="AN57" s="18">
        <f t="shared" si="11"/>
        <v>3.0699999332427979</v>
      </c>
      <c r="AO57" s="18">
        <f t="shared" si="12"/>
        <v>0.69999998807907104</v>
      </c>
      <c r="AP57" s="18">
        <f t="shared" si="13"/>
        <v>0</v>
      </c>
    </row>
    <row r="58" spans="1:42" x14ac:dyDescent="0.25">
      <c r="A58" s="17">
        <v>57</v>
      </c>
      <c r="B58" s="17" t="s">
        <v>501</v>
      </c>
      <c r="C58" s="21" t="s">
        <v>87</v>
      </c>
      <c r="D58" s="17" t="s">
        <v>78</v>
      </c>
      <c r="E58" s="18">
        <v>1</v>
      </c>
      <c r="F58" s="18">
        <v>3</v>
      </c>
      <c r="G58" s="18">
        <v>0</v>
      </c>
      <c r="H58" s="18"/>
      <c r="I58" s="18">
        <v>2025</v>
      </c>
      <c r="J58" s="18">
        <v>1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9">
        <v>0</v>
      </c>
      <c r="Q58" s="18">
        <v>0.30000001192092896</v>
      </c>
      <c r="R58" s="19">
        <v>0.30000001192092896</v>
      </c>
      <c r="S58" s="18">
        <v>0.69999998807907104</v>
      </c>
      <c r="T58" s="19">
        <v>0.69999998807907104</v>
      </c>
      <c r="U58" s="18">
        <v>0</v>
      </c>
      <c r="V58" s="19">
        <v>0</v>
      </c>
      <c r="W58">
        <f t="shared" si="0"/>
        <v>0.30000001192092896</v>
      </c>
      <c r="X58" s="19">
        <f t="shared" si="1"/>
        <v>0.30000001192092896</v>
      </c>
      <c r="Y58">
        <f t="shared" si="2"/>
        <v>0.69999998807907104</v>
      </c>
      <c r="Z58" s="19">
        <f t="shared" si="3"/>
        <v>0.69999998807907104</v>
      </c>
      <c r="AA58" s="19">
        <f t="shared" si="4"/>
        <v>0.49499999582767484</v>
      </c>
      <c r="AB58" t="str">
        <f t="shared" si="5"/>
        <v>Tidak Mantap Tinggi</v>
      </c>
      <c r="AC58" s="19">
        <f>IF(Dashboard!$B$7="Mantap (%)",X58,IF(Dashboard!$B$7="Tidak Mantap (%)",Z58,IF(Dashboard!$B$7="Baik (%)",P58,IF(Dashboard!$B$7="Sedang (%)",R58,IF(Dashboard!$B$7="Rusak Ringan (%)",T58,IF(Dashboard!$B$7="Rusak Berat (%)",V58,AA58))))))</f>
        <v>0.69999998807907104</v>
      </c>
      <c r="AD58" s="20">
        <f>IF(AND(AF58=1,E58&gt;=Dashboard!$B$10,IF(Dashboard!$B$9="≤ Maksimum",AC58&lt;=Dashboard!$B$8,AC58&gt;=Dashboard!$B$8)),1,0)</f>
        <v>1</v>
      </c>
      <c r="AE58" s="20">
        <f>IF(AD58=1,COUNTIFS($AD$2:$AD$351,1,$AC$2:$AC$351,"&gt;"&amp;AC58)+COUNTIFS($AD$2:AD58,1,$AC$2:AC58,AC58),"")</f>
        <v>86</v>
      </c>
      <c r="AF58" s="20">
        <f>IF(OR(Dashboard!$B$6="Semua",ISNUMBER(SEARCH(Dashboard!$B$6,D58))),1,0)</f>
        <v>1</v>
      </c>
      <c r="AG58" s="18">
        <f t="shared" si="6"/>
        <v>1</v>
      </c>
      <c r="AH58" s="18">
        <f t="shared" si="7"/>
        <v>0.30000001192092896</v>
      </c>
      <c r="AI58" s="18">
        <f t="shared" si="8"/>
        <v>0.69999998807907104</v>
      </c>
      <c r="AJ58" s="18">
        <f t="shared" si="9"/>
        <v>0</v>
      </c>
      <c r="AK58" s="20">
        <f>IF(OR(Ruas_Per_Kecamatan!$B$4="Semua",ISNUMBER(SEARCH(Ruas_Per_Kecamatan!$B$4,D58))),1,0)</f>
        <v>1</v>
      </c>
      <c r="AL58" s="20">
        <f>IF(AK58=1,COUNTIF($AK$2:AK58,1),"")</f>
        <v>57</v>
      </c>
      <c r="AM58" s="18">
        <f t="shared" si="10"/>
        <v>1</v>
      </c>
      <c r="AN58" s="18">
        <f t="shared" si="11"/>
        <v>0.30000001192092896</v>
      </c>
      <c r="AO58" s="18">
        <f t="shared" si="12"/>
        <v>0.69999998807907104</v>
      </c>
      <c r="AP58" s="18">
        <f t="shared" si="13"/>
        <v>0</v>
      </c>
    </row>
    <row r="59" spans="1:42" x14ac:dyDescent="0.25">
      <c r="A59" s="17">
        <v>58</v>
      </c>
      <c r="B59" s="17" t="s">
        <v>502</v>
      </c>
      <c r="C59" s="21" t="s">
        <v>88</v>
      </c>
      <c r="D59" s="17" t="s">
        <v>69</v>
      </c>
      <c r="E59" s="18">
        <v>0.37</v>
      </c>
      <c r="F59" s="18">
        <v>3</v>
      </c>
      <c r="G59" s="18">
        <v>0</v>
      </c>
      <c r="H59" s="18"/>
      <c r="I59" s="18">
        <v>2025</v>
      </c>
      <c r="J59" s="18">
        <v>0.37000000476837158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9">
        <v>0</v>
      </c>
      <c r="Q59" s="18">
        <v>0.30000001192092896</v>
      </c>
      <c r="R59" s="19">
        <v>0.81081084302953776</v>
      </c>
      <c r="S59" s="18">
        <v>7.0000000298023224E-2</v>
      </c>
      <c r="T59" s="19">
        <v>0.18918918999465736</v>
      </c>
      <c r="U59" s="18">
        <v>0</v>
      </c>
      <c r="V59" s="19">
        <v>0</v>
      </c>
      <c r="W59">
        <f t="shared" si="0"/>
        <v>0.30000001192092896</v>
      </c>
      <c r="X59" s="19">
        <f t="shared" si="1"/>
        <v>0.81081084302953776</v>
      </c>
      <c r="Y59">
        <f t="shared" si="2"/>
        <v>7.0000000298023224E-2</v>
      </c>
      <c r="Z59" s="19">
        <f t="shared" si="3"/>
        <v>0.18918918999465736</v>
      </c>
      <c r="AA59" s="19">
        <f t="shared" si="4"/>
        <v>0.31621622475417888</v>
      </c>
      <c r="AB59" t="str">
        <f t="shared" si="5"/>
        <v>Relatif Mantap</v>
      </c>
      <c r="AC59" s="19">
        <f>IF(Dashboard!$B$7="Mantap (%)",X59,IF(Dashboard!$B$7="Tidak Mantap (%)",Z59,IF(Dashboard!$B$7="Baik (%)",P59,IF(Dashboard!$B$7="Sedang (%)",R59,IF(Dashboard!$B$7="Rusak Ringan (%)",T59,IF(Dashboard!$B$7="Rusak Berat (%)",V59,AA59))))))</f>
        <v>0.18918918999465736</v>
      </c>
      <c r="AD59" s="20">
        <f>IF(AND(AF59=1,E59&gt;=Dashboard!$B$10,IF(Dashboard!$B$9="≤ Maksimum",AC59&lt;=Dashboard!$B$8,AC59&gt;=Dashboard!$B$8)),1,0)</f>
        <v>0</v>
      </c>
      <c r="AE59" s="20" t="str">
        <f>IF(AD59=1,COUNTIFS($AD$2:$AD$351,1,$AC$2:$AC$351,"&gt;"&amp;AC59)+COUNTIFS($AD$2:AD59,1,$AC$2:AC59,AC59),"")</f>
        <v/>
      </c>
      <c r="AF59" s="20">
        <f>IF(OR(Dashboard!$B$6="Semua",ISNUMBER(SEARCH(Dashboard!$B$6,D59))),1,0)</f>
        <v>1</v>
      </c>
      <c r="AG59" s="18">
        <f t="shared" si="6"/>
        <v>0.37</v>
      </c>
      <c r="AH59" s="18">
        <f t="shared" si="7"/>
        <v>0.30000001192092896</v>
      </c>
      <c r="AI59" s="18">
        <f t="shared" si="8"/>
        <v>7.0000000298023224E-2</v>
      </c>
      <c r="AJ59" s="18">
        <f t="shared" si="9"/>
        <v>0</v>
      </c>
      <c r="AK59" s="20">
        <f>IF(OR(Ruas_Per_Kecamatan!$B$4="Semua",ISNUMBER(SEARCH(Ruas_Per_Kecamatan!$B$4,D59))),1,0)</f>
        <v>1</v>
      </c>
      <c r="AL59" s="20">
        <f>IF(AK59=1,COUNTIF($AK$2:AK59,1),"")</f>
        <v>58</v>
      </c>
      <c r="AM59" s="18">
        <f t="shared" si="10"/>
        <v>0.37</v>
      </c>
      <c r="AN59" s="18">
        <f t="shared" si="11"/>
        <v>0.30000001192092896</v>
      </c>
      <c r="AO59" s="18">
        <f t="shared" si="12"/>
        <v>7.0000000298023224E-2</v>
      </c>
      <c r="AP59" s="18">
        <f t="shared" si="13"/>
        <v>0</v>
      </c>
    </row>
    <row r="60" spans="1:42" x14ac:dyDescent="0.25">
      <c r="A60" s="17">
        <v>59</v>
      </c>
      <c r="B60" s="17" t="s">
        <v>503</v>
      </c>
      <c r="C60" s="21" t="s">
        <v>89</v>
      </c>
      <c r="D60" s="17" t="s">
        <v>29</v>
      </c>
      <c r="E60" s="18">
        <v>0.21</v>
      </c>
      <c r="F60" s="18">
        <v>3.5</v>
      </c>
      <c r="G60" s="18">
        <v>0</v>
      </c>
      <c r="H60" s="18"/>
      <c r="I60" s="18">
        <v>2025</v>
      </c>
      <c r="J60" s="18">
        <v>0.20999999344348907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9">
        <v>0</v>
      </c>
      <c r="Q60" s="18">
        <v>0.20999999344348907</v>
      </c>
      <c r="R60" s="19">
        <v>0.99999996877851949</v>
      </c>
      <c r="S60" s="18">
        <v>0</v>
      </c>
      <c r="T60" s="19">
        <v>0</v>
      </c>
      <c r="U60" s="18">
        <v>0</v>
      </c>
      <c r="V60" s="19">
        <v>0</v>
      </c>
      <c r="W60">
        <f t="shared" si="0"/>
        <v>0.20999999344348907</v>
      </c>
      <c r="X60" s="19">
        <f t="shared" si="1"/>
        <v>0.99999996877851949</v>
      </c>
      <c r="Y60">
        <f t="shared" si="2"/>
        <v>0</v>
      </c>
      <c r="Z60" s="19">
        <f t="shared" si="3"/>
        <v>0</v>
      </c>
      <c r="AA60" s="19">
        <f t="shared" si="4"/>
        <v>0.24999999219462987</v>
      </c>
      <c r="AB60" t="str">
        <f t="shared" si="5"/>
        <v>Relatif Mantap</v>
      </c>
      <c r="AC60" s="19">
        <f>IF(Dashboard!$B$7="Mantap (%)",X60,IF(Dashboard!$B$7="Tidak Mantap (%)",Z60,IF(Dashboard!$B$7="Baik (%)",P60,IF(Dashboard!$B$7="Sedang (%)",R60,IF(Dashboard!$B$7="Rusak Ringan (%)",T60,IF(Dashboard!$B$7="Rusak Berat (%)",V60,AA60))))))</f>
        <v>0</v>
      </c>
      <c r="AD60" s="20">
        <f>IF(AND(AF60=1,E60&gt;=Dashboard!$B$10,IF(Dashboard!$B$9="≤ Maksimum",AC60&lt;=Dashboard!$B$8,AC60&gt;=Dashboard!$B$8)),1,0)</f>
        <v>0</v>
      </c>
      <c r="AE60" s="20" t="str">
        <f>IF(AD60=1,COUNTIFS($AD$2:$AD$351,1,$AC$2:$AC$351,"&gt;"&amp;AC60)+COUNTIFS($AD$2:AD60,1,$AC$2:AC60,AC60),"")</f>
        <v/>
      </c>
      <c r="AF60" s="20">
        <f>IF(OR(Dashboard!$B$6="Semua",ISNUMBER(SEARCH(Dashboard!$B$6,D60))),1,0)</f>
        <v>1</v>
      </c>
      <c r="AG60" s="18">
        <f t="shared" si="6"/>
        <v>0.21</v>
      </c>
      <c r="AH60" s="18">
        <f t="shared" si="7"/>
        <v>0.20999999344348907</v>
      </c>
      <c r="AI60" s="18">
        <f t="shared" si="8"/>
        <v>0</v>
      </c>
      <c r="AJ60" s="18">
        <f t="shared" si="9"/>
        <v>0</v>
      </c>
      <c r="AK60" s="20">
        <f>IF(OR(Ruas_Per_Kecamatan!$B$4="Semua",ISNUMBER(SEARCH(Ruas_Per_Kecamatan!$B$4,D60))),1,0)</f>
        <v>1</v>
      </c>
      <c r="AL60" s="20">
        <f>IF(AK60=1,COUNTIF($AK$2:AK60,1),"")</f>
        <v>59</v>
      </c>
      <c r="AM60" s="18">
        <f t="shared" si="10"/>
        <v>0.21</v>
      </c>
      <c r="AN60" s="18">
        <f t="shared" si="11"/>
        <v>0.20999999344348907</v>
      </c>
      <c r="AO60" s="18">
        <f t="shared" si="12"/>
        <v>0</v>
      </c>
      <c r="AP60" s="18">
        <f t="shared" si="13"/>
        <v>0</v>
      </c>
    </row>
    <row r="61" spans="1:42" x14ac:dyDescent="0.25">
      <c r="A61" s="17">
        <v>60</v>
      </c>
      <c r="B61" s="17" t="s">
        <v>504</v>
      </c>
      <c r="C61" s="21" t="s">
        <v>505</v>
      </c>
      <c r="D61" s="17" t="s">
        <v>29</v>
      </c>
      <c r="E61" s="18">
        <v>1.96</v>
      </c>
      <c r="F61" s="18">
        <v>3</v>
      </c>
      <c r="G61" s="18">
        <v>0</v>
      </c>
      <c r="H61" s="18"/>
      <c r="I61" s="18">
        <v>2025</v>
      </c>
      <c r="J61" s="18">
        <v>1.9600000381469727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9">
        <v>0</v>
      </c>
      <c r="Q61" s="18">
        <v>1.9600000381469727</v>
      </c>
      <c r="R61" s="19">
        <v>1.0000000194627412</v>
      </c>
      <c r="S61" s="18">
        <v>0</v>
      </c>
      <c r="T61" s="19">
        <v>0</v>
      </c>
      <c r="U61" s="18">
        <v>0</v>
      </c>
      <c r="V61" s="19">
        <v>0</v>
      </c>
      <c r="W61">
        <f t="shared" si="0"/>
        <v>1.9600000381469727</v>
      </c>
      <c r="X61" s="19">
        <f t="shared" si="1"/>
        <v>1.0000000194627412</v>
      </c>
      <c r="Y61">
        <f t="shared" si="2"/>
        <v>0</v>
      </c>
      <c r="Z61" s="19">
        <f t="shared" si="3"/>
        <v>0</v>
      </c>
      <c r="AA61" s="19">
        <f t="shared" si="4"/>
        <v>0.2500000048656853</v>
      </c>
      <c r="AB61" t="str">
        <f t="shared" si="5"/>
        <v>Relatif Mantap</v>
      </c>
      <c r="AC61" s="19">
        <f>IF(Dashboard!$B$7="Mantap (%)",X61,IF(Dashboard!$B$7="Tidak Mantap (%)",Z61,IF(Dashboard!$B$7="Baik (%)",P61,IF(Dashboard!$B$7="Sedang (%)",R61,IF(Dashboard!$B$7="Rusak Ringan (%)",T61,IF(Dashboard!$B$7="Rusak Berat (%)",V61,AA61))))))</f>
        <v>0</v>
      </c>
      <c r="AD61" s="20">
        <f>IF(AND(AF61=1,E61&gt;=Dashboard!$B$10,IF(Dashboard!$B$9="≤ Maksimum",AC61&lt;=Dashboard!$B$8,AC61&gt;=Dashboard!$B$8)),1,0)</f>
        <v>0</v>
      </c>
      <c r="AE61" s="20" t="str">
        <f>IF(AD61=1,COUNTIFS($AD$2:$AD$351,1,$AC$2:$AC$351,"&gt;"&amp;AC61)+COUNTIFS($AD$2:AD61,1,$AC$2:AC61,AC61),"")</f>
        <v/>
      </c>
      <c r="AF61" s="20">
        <f>IF(OR(Dashboard!$B$6="Semua",ISNUMBER(SEARCH(Dashboard!$B$6,D61))),1,0)</f>
        <v>1</v>
      </c>
      <c r="AG61" s="18">
        <f t="shared" si="6"/>
        <v>1.96</v>
      </c>
      <c r="AH61" s="18">
        <f t="shared" si="7"/>
        <v>1.9600000381469727</v>
      </c>
      <c r="AI61" s="18">
        <f t="shared" si="8"/>
        <v>0</v>
      </c>
      <c r="AJ61" s="18">
        <f t="shared" si="9"/>
        <v>0</v>
      </c>
      <c r="AK61" s="20">
        <f>IF(OR(Ruas_Per_Kecamatan!$B$4="Semua",ISNUMBER(SEARCH(Ruas_Per_Kecamatan!$B$4,D61))),1,0)</f>
        <v>1</v>
      </c>
      <c r="AL61" s="20">
        <f>IF(AK61=1,COUNTIF($AK$2:AK61,1),"")</f>
        <v>60</v>
      </c>
      <c r="AM61" s="18">
        <f t="shared" si="10"/>
        <v>1.96</v>
      </c>
      <c r="AN61" s="18">
        <f t="shared" si="11"/>
        <v>1.9600000381469727</v>
      </c>
      <c r="AO61" s="18">
        <f t="shared" si="12"/>
        <v>0</v>
      </c>
      <c r="AP61" s="18">
        <f t="shared" si="13"/>
        <v>0</v>
      </c>
    </row>
    <row r="62" spans="1:42" x14ac:dyDescent="0.25">
      <c r="A62" s="17">
        <v>61</v>
      </c>
      <c r="B62" s="17" t="s">
        <v>506</v>
      </c>
      <c r="C62" s="21" t="s">
        <v>91</v>
      </c>
      <c r="D62" s="17" t="s">
        <v>29</v>
      </c>
      <c r="E62" s="18">
        <v>1.21</v>
      </c>
      <c r="F62" s="18">
        <v>3</v>
      </c>
      <c r="G62" s="18">
        <v>0</v>
      </c>
      <c r="H62" s="18"/>
      <c r="I62" s="18">
        <v>2025</v>
      </c>
      <c r="J62" s="18">
        <v>1.2100000381469727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9">
        <v>0</v>
      </c>
      <c r="Q62" s="18">
        <v>0.60000002384185791</v>
      </c>
      <c r="R62" s="19">
        <v>0.49586778829905614</v>
      </c>
      <c r="S62" s="18">
        <v>0.20000000298023224</v>
      </c>
      <c r="T62" s="19">
        <v>0.16528925866134897</v>
      </c>
      <c r="U62" s="18">
        <v>0.40999999642372131</v>
      </c>
      <c r="V62" s="19">
        <v>0.33884297225100934</v>
      </c>
      <c r="W62">
        <f t="shared" si="0"/>
        <v>0.60000002384185791</v>
      </c>
      <c r="X62" s="19">
        <f t="shared" si="1"/>
        <v>0.49586778829905614</v>
      </c>
      <c r="Y62">
        <f t="shared" si="2"/>
        <v>0.60999999940395355</v>
      </c>
      <c r="Z62" s="19">
        <f t="shared" si="3"/>
        <v>0.50413223091235837</v>
      </c>
      <c r="AA62" s="19">
        <f t="shared" si="4"/>
        <v>0.56198347452258279</v>
      </c>
      <c r="AB62" t="str">
        <f t="shared" si="5"/>
        <v>Rusak Berat Dominan</v>
      </c>
      <c r="AC62" s="19">
        <f>IF(Dashboard!$B$7="Mantap (%)",X62,IF(Dashboard!$B$7="Tidak Mantap (%)",Z62,IF(Dashboard!$B$7="Baik (%)",P62,IF(Dashboard!$B$7="Sedang (%)",R62,IF(Dashboard!$B$7="Rusak Ringan (%)",T62,IF(Dashboard!$B$7="Rusak Berat (%)",V62,AA62))))))</f>
        <v>0.50413223091235837</v>
      </c>
      <c r="AD62" s="20">
        <f>IF(AND(AF62=1,E62&gt;=Dashboard!$B$10,IF(Dashboard!$B$9="≤ Maksimum",AC62&lt;=Dashboard!$B$8,AC62&gt;=Dashboard!$B$8)),1,0)</f>
        <v>1</v>
      </c>
      <c r="AE62" s="20">
        <f>IF(AD62=1,COUNTIFS($AD$2:$AD$351,1,$AC$2:$AC$351,"&gt;"&amp;AC62)+COUNTIFS($AD$2:AD62,1,$AC$2:AC62,AC62),"")</f>
        <v>123</v>
      </c>
      <c r="AF62" s="20">
        <f>IF(OR(Dashboard!$B$6="Semua",ISNUMBER(SEARCH(Dashboard!$B$6,D62))),1,0)</f>
        <v>1</v>
      </c>
      <c r="AG62" s="18">
        <f t="shared" si="6"/>
        <v>1.21</v>
      </c>
      <c r="AH62" s="18">
        <f t="shared" si="7"/>
        <v>0.60000002384185791</v>
      </c>
      <c r="AI62" s="18">
        <f t="shared" si="8"/>
        <v>0.60999999940395355</v>
      </c>
      <c r="AJ62" s="18">
        <f t="shared" si="9"/>
        <v>0.40999999642372131</v>
      </c>
      <c r="AK62" s="20">
        <f>IF(OR(Ruas_Per_Kecamatan!$B$4="Semua",ISNUMBER(SEARCH(Ruas_Per_Kecamatan!$B$4,D62))),1,0)</f>
        <v>1</v>
      </c>
      <c r="AL62" s="20">
        <f>IF(AK62=1,COUNTIF($AK$2:AK62,1),"")</f>
        <v>61</v>
      </c>
      <c r="AM62" s="18">
        <f t="shared" si="10"/>
        <v>1.21</v>
      </c>
      <c r="AN62" s="18">
        <f t="shared" si="11"/>
        <v>0.60000002384185791</v>
      </c>
      <c r="AO62" s="18">
        <f t="shared" si="12"/>
        <v>0.60999999940395355</v>
      </c>
      <c r="AP62" s="18">
        <f t="shared" si="13"/>
        <v>0.40999999642372131</v>
      </c>
    </row>
    <row r="63" spans="1:42" x14ac:dyDescent="0.25">
      <c r="A63" s="17">
        <v>62</v>
      </c>
      <c r="B63" s="17" t="s">
        <v>507</v>
      </c>
      <c r="C63" s="21" t="s">
        <v>92</v>
      </c>
      <c r="D63" s="17" t="s">
        <v>29</v>
      </c>
      <c r="E63" s="18">
        <v>1.69</v>
      </c>
      <c r="F63" s="18">
        <v>3</v>
      </c>
      <c r="G63" s="18">
        <v>0</v>
      </c>
      <c r="H63" s="18"/>
      <c r="I63" s="18">
        <v>2025</v>
      </c>
      <c r="J63" s="18">
        <v>1.1000000238418579</v>
      </c>
      <c r="K63" s="18">
        <v>0</v>
      </c>
      <c r="L63" s="18">
        <v>0</v>
      </c>
      <c r="M63" s="18">
        <v>0.5899999737739563</v>
      </c>
      <c r="N63" s="18">
        <v>0</v>
      </c>
      <c r="O63" s="18">
        <v>1</v>
      </c>
      <c r="P63" s="19">
        <v>0.59171597633136097</v>
      </c>
      <c r="Q63" s="18">
        <v>0</v>
      </c>
      <c r="R63" s="19">
        <v>0</v>
      </c>
      <c r="S63" s="18">
        <v>0.10000000149011612</v>
      </c>
      <c r="T63" s="19">
        <v>5.9171598514861611E-2</v>
      </c>
      <c r="U63" s="18">
        <v>0.5899999737739563</v>
      </c>
      <c r="V63" s="19">
        <v>0.34911241051713393</v>
      </c>
      <c r="W63">
        <f t="shared" si="0"/>
        <v>1</v>
      </c>
      <c r="X63" s="19">
        <f t="shared" si="1"/>
        <v>0.59171597633136097</v>
      </c>
      <c r="Y63">
        <f t="shared" si="2"/>
        <v>0.68999997526407242</v>
      </c>
      <c r="Z63" s="19">
        <f t="shared" si="3"/>
        <v>0.40828400903199552</v>
      </c>
      <c r="AA63" s="19">
        <f t="shared" si="4"/>
        <v>0.38461536962605092</v>
      </c>
      <c r="AB63" t="str">
        <f t="shared" si="5"/>
        <v>Rusak Berat Dominan</v>
      </c>
      <c r="AC63" s="19">
        <f>IF(Dashboard!$B$7="Mantap (%)",X63,IF(Dashboard!$B$7="Tidak Mantap (%)",Z63,IF(Dashboard!$B$7="Baik (%)",P63,IF(Dashboard!$B$7="Sedang (%)",R63,IF(Dashboard!$B$7="Rusak Ringan (%)",T63,IF(Dashboard!$B$7="Rusak Berat (%)",V63,AA63))))))</f>
        <v>0.40828400903199552</v>
      </c>
      <c r="AD63" s="20">
        <f>IF(AND(AF63=1,E63&gt;=Dashboard!$B$10,IF(Dashboard!$B$9="≤ Maksimum",AC63&lt;=Dashboard!$B$8,AC63&gt;=Dashboard!$B$8)),1,0)</f>
        <v>1</v>
      </c>
      <c r="AE63" s="20">
        <f>IF(AD63=1,COUNTIFS($AD$2:$AD$351,1,$AC$2:$AC$351,"&gt;"&amp;AC63)+COUNTIFS($AD$2:AD63,1,$AC$2:AC63,AC63),"")</f>
        <v>147</v>
      </c>
      <c r="AF63" s="20">
        <f>IF(OR(Dashboard!$B$6="Semua",ISNUMBER(SEARCH(Dashboard!$B$6,D63))),1,0)</f>
        <v>1</v>
      </c>
      <c r="AG63" s="18">
        <f t="shared" si="6"/>
        <v>1.69</v>
      </c>
      <c r="AH63" s="18">
        <f t="shared" si="7"/>
        <v>1</v>
      </c>
      <c r="AI63" s="18">
        <f t="shared" si="8"/>
        <v>0.68999997526407242</v>
      </c>
      <c r="AJ63" s="18">
        <f t="shared" si="9"/>
        <v>0.5899999737739563</v>
      </c>
      <c r="AK63" s="20">
        <f>IF(OR(Ruas_Per_Kecamatan!$B$4="Semua",ISNUMBER(SEARCH(Ruas_Per_Kecamatan!$B$4,D63))),1,0)</f>
        <v>1</v>
      </c>
      <c r="AL63" s="20">
        <f>IF(AK63=1,COUNTIF($AK$2:AK63,1),"")</f>
        <v>62</v>
      </c>
      <c r="AM63" s="18">
        <f t="shared" si="10"/>
        <v>1.69</v>
      </c>
      <c r="AN63" s="18">
        <f t="shared" si="11"/>
        <v>1</v>
      </c>
      <c r="AO63" s="18">
        <f t="shared" si="12"/>
        <v>0.68999997526407242</v>
      </c>
      <c r="AP63" s="18">
        <f t="shared" si="13"/>
        <v>0.5899999737739563</v>
      </c>
    </row>
    <row r="64" spans="1:42" x14ac:dyDescent="0.25">
      <c r="A64" s="17">
        <v>63</v>
      </c>
      <c r="B64" s="17" t="s">
        <v>508</v>
      </c>
      <c r="C64" s="21" t="s">
        <v>93</v>
      </c>
      <c r="D64" s="17" t="s">
        <v>29</v>
      </c>
      <c r="E64" s="18">
        <v>0.68</v>
      </c>
      <c r="F64" s="18">
        <v>3</v>
      </c>
      <c r="G64" s="18">
        <v>0</v>
      </c>
      <c r="H64" s="18"/>
      <c r="I64" s="18">
        <v>2025</v>
      </c>
      <c r="J64" s="18">
        <v>0.68000000715255737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9">
        <v>0</v>
      </c>
      <c r="Q64" s="18">
        <v>0.47999998927116394</v>
      </c>
      <c r="R64" s="19">
        <v>0.70588233716347637</v>
      </c>
      <c r="S64" s="18">
        <v>0.20000000298023224</v>
      </c>
      <c r="T64" s="19">
        <v>0.29411765144151797</v>
      </c>
      <c r="U64" s="18">
        <v>0</v>
      </c>
      <c r="V64" s="19">
        <v>0</v>
      </c>
      <c r="W64">
        <f t="shared" si="0"/>
        <v>0.47999998927116394</v>
      </c>
      <c r="X64" s="19">
        <f t="shared" si="1"/>
        <v>0.70588233716347637</v>
      </c>
      <c r="Y64">
        <f t="shared" si="2"/>
        <v>0.20000000298023224</v>
      </c>
      <c r="Z64" s="19">
        <f t="shared" si="3"/>
        <v>0.29411765144151797</v>
      </c>
      <c r="AA64" s="19">
        <f t="shared" si="4"/>
        <v>0.35294117515577983</v>
      </c>
      <c r="AB64" t="str">
        <f t="shared" si="5"/>
        <v>Tidak Mantap Sedang</v>
      </c>
      <c r="AC64" s="19">
        <f>IF(Dashboard!$B$7="Mantap (%)",X64,IF(Dashboard!$B$7="Tidak Mantap (%)",Z64,IF(Dashboard!$B$7="Baik (%)",P64,IF(Dashboard!$B$7="Sedang (%)",R64,IF(Dashboard!$B$7="Rusak Ringan (%)",T64,IF(Dashboard!$B$7="Rusak Berat (%)",V64,AA64))))))</f>
        <v>0.29411765144151797</v>
      </c>
      <c r="AD64" s="20">
        <f>IF(AND(AF64=1,E64&gt;=Dashboard!$B$10,IF(Dashboard!$B$9="≤ Maksimum",AC64&lt;=Dashboard!$B$8,AC64&gt;=Dashboard!$B$8)),1,0)</f>
        <v>1</v>
      </c>
      <c r="AE64" s="20">
        <f>IF(AD64=1,COUNTIFS($AD$2:$AD$351,1,$AC$2:$AC$351,"&gt;"&amp;AC64)+COUNTIFS($AD$2:AD64,1,$AC$2:AC64,AC64),"")</f>
        <v>170</v>
      </c>
      <c r="AF64" s="20">
        <f>IF(OR(Dashboard!$B$6="Semua",ISNUMBER(SEARCH(Dashboard!$B$6,D64))),1,0)</f>
        <v>1</v>
      </c>
      <c r="AG64" s="18">
        <f t="shared" si="6"/>
        <v>0.68</v>
      </c>
      <c r="AH64" s="18">
        <f t="shared" si="7"/>
        <v>0.47999998927116394</v>
      </c>
      <c r="AI64" s="18">
        <f t="shared" si="8"/>
        <v>0.20000000298023224</v>
      </c>
      <c r="AJ64" s="18">
        <f t="shared" si="9"/>
        <v>0</v>
      </c>
      <c r="AK64" s="20">
        <f>IF(OR(Ruas_Per_Kecamatan!$B$4="Semua",ISNUMBER(SEARCH(Ruas_Per_Kecamatan!$B$4,D64))),1,0)</f>
        <v>1</v>
      </c>
      <c r="AL64" s="20">
        <f>IF(AK64=1,COUNTIF($AK$2:AK64,1),"")</f>
        <v>63</v>
      </c>
      <c r="AM64" s="18">
        <f t="shared" si="10"/>
        <v>0.68</v>
      </c>
      <c r="AN64" s="18">
        <f t="shared" si="11"/>
        <v>0.47999998927116394</v>
      </c>
      <c r="AO64" s="18">
        <f t="shared" si="12"/>
        <v>0.20000000298023224</v>
      </c>
      <c r="AP64" s="18">
        <f t="shared" si="13"/>
        <v>0</v>
      </c>
    </row>
    <row r="65" spans="1:42" x14ac:dyDescent="0.25">
      <c r="A65" s="17">
        <v>64</v>
      </c>
      <c r="B65" s="17" t="s">
        <v>509</v>
      </c>
      <c r="C65" s="21" t="s">
        <v>94</v>
      </c>
      <c r="D65" s="17" t="s">
        <v>95</v>
      </c>
      <c r="E65" s="18">
        <v>0.52</v>
      </c>
      <c r="F65" s="18">
        <v>3</v>
      </c>
      <c r="G65" s="18">
        <v>0</v>
      </c>
      <c r="H65" s="18"/>
      <c r="I65" s="18">
        <v>2025</v>
      </c>
      <c r="J65" s="18">
        <v>0.51999998092651367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9">
        <v>0</v>
      </c>
      <c r="Q65" s="18">
        <v>0.41999998688697815</v>
      </c>
      <c r="R65" s="19">
        <v>0.80769228247495795</v>
      </c>
      <c r="S65" s="18">
        <v>0.10000000149011612</v>
      </c>
      <c r="T65" s="19">
        <v>0.19230769517330024</v>
      </c>
      <c r="U65" s="18">
        <v>0</v>
      </c>
      <c r="V65" s="19">
        <v>0</v>
      </c>
      <c r="W65">
        <f t="shared" si="0"/>
        <v>0.41999998688697815</v>
      </c>
      <c r="X65" s="19">
        <f t="shared" si="1"/>
        <v>0.80769228247495795</v>
      </c>
      <c r="Y65">
        <f t="shared" si="2"/>
        <v>0.10000000149011612</v>
      </c>
      <c r="Z65" s="19">
        <f t="shared" si="3"/>
        <v>0.19230769517330024</v>
      </c>
      <c r="AA65" s="19">
        <f t="shared" si="4"/>
        <v>0.31730768772271961</v>
      </c>
      <c r="AB65" t="str">
        <f t="shared" si="5"/>
        <v>Relatif Mantap</v>
      </c>
      <c r="AC65" s="19">
        <f>IF(Dashboard!$B$7="Mantap (%)",X65,IF(Dashboard!$B$7="Tidak Mantap (%)",Z65,IF(Dashboard!$B$7="Baik (%)",P65,IF(Dashboard!$B$7="Sedang (%)",R65,IF(Dashboard!$B$7="Rusak Ringan (%)",T65,IF(Dashboard!$B$7="Rusak Berat (%)",V65,AA65))))))</f>
        <v>0.19230769517330024</v>
      </c>
      <c r="AD65" s="20">
        <f>IF(AND(AF65=1,E65&gt;=Dashboard!$B$10,IF(Dashboard!$B$9="≤ Maksimum",AC65&lt;=Dashboard!$B$8,AC65&gt;=Dashboard!$B$8)),1,0)</f>
        <v>0</v>
      </c>
      <c r="AE65" s="20" t="str">
        <f>IF(AD65=1,COUNTIFS($AD$2:$AD$351,1,$AC$2:$AC$351,"&gt;"&amp;AC65)+COUNTIFS($AD$2:AD65,1,$AC$2:AC65,AC65),"")</f>
        <v/>
      </c>
      <c r="AF65" s="20">
        <f>IF(OR(Dashboard!$B$6="Semua",ISNUMBER(SEARCH(Dashboard!$B$6,D65))),1,0)</f>
        <v>1</v>
      </c>
      <c r="AG65" s="18">
        <f t="shared" si="6"/>
        <v>0.52</v>
      </c>
      <c r="AH65" s="18">
        <f t="shared" si="7"/>
        <v>0.41999998688697815</v>
      </c>
      <c r="AI65" s="18">
        <f t="shared" si="8"/>
        <v>0.10000000149011612</v>
      </c>
      <c r="AJ65" s="18">
        <f t="shared" si="9"/>
        <v>0</v>
      </c>
      <c r="AK65" s="20">
        <f>IF(OR(Ruas_Per_Kecamatan!$B$4="Semua",ISNUMBER(SEARCH(Ruas_Per_Kecamatan!$B$4,D65))),1,0)</f>
        <v>1</v>
      </c>
      <c r="AL65" s="20">
        <f>IF(AK65=1,COUNTIF($AK$2:AK65,1),"")</f>
        <v>64</v>
      </c>
      <c r="AM65" s="18">
        <f t="shared" si="10"/>
        <v>0.52</v>
      </c>
      <c r="AN65" s="18">
        <f t="shared" si="11"/>
        <v>0.41999998688697815</v>
      </c>
      <c r="AO65" s="18">
        <f t="shared" si="12"/>
        <v>0.10000000149011612</v>
      </c>
      <c r="AP65" s="18">
        <f t="shared" si="13"/>
        <v>0</v>
      </c>
    </row>
    <row r="66" spans="1:42" x14ac:dyDescent="0.25">
      <c r="A66" s="17">
        <v>65</v>
      </c>
      <c r="B66" s="17" t="s">
        <v>510</v>
      </c>
      <c r="C66" s="21" t="s">
        <v>96</v>
      </c>
      <c r="D66" s="17" t="s">
        <v>29</v>
      </c>
      <c r="E66" s="18">
        <v>0.41</v>
      </c>
      <c r="F66" s="18">
        <v>3.5</v>
      </c>
      <c r="G66" s="18">
        <v>0</v>
      </c>
      <c r="H66" s="18"/>
      <c r="I66" s="18">
        <v>2025</v>
      </c>
      <c r="J66" s="18">
        <v>0.40999999642372131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9">
        <v>0</v>
      </c>
      <c r="Q66" s="18">
        <v>0.40999999642372131</v>
      </c>
      <c r="R66" s="19">
        <v>0.99999999127736916</v>
      </c>
      <c r="S66" s="18">
        <v>0</v>
      </c>
      <c r="T66" s="19">
        <v>0</v>
      </c>
      <c r="U66" s="18">
        <v>0</v>
      </c>
      <c r="V66" s="19">
        <v>0</v>
      </c>
      <c r="W66">
        <f t="shared" ref="W66:W129" si="14">O66+Q66</f>
        <v>0.40999999642372131</v>
      </c>
      <c r="X66" s="19">
        <f t="shared" ref="X66:X129" si="15">IFERROR(W66/E66,0)</f>
        <v>0.99999999127736916</v>
      </c>
      <c r="Y66">
        <f t="shared" ref="Y66:Y129" si="16">S66+U66</f>
        <v>0</v>
      </c>
      <c r="Z66" s="19">
        <f t="shared" ref="Z66:Z129" si="17">IFERROR(Y66/E66,0)</f>
        <v>0</v>
      </c>
      <c r="AA66" s="19">
        <f t="shared" ref="AA66:AA129" si="18">0.25*R66+0.6*T66+V66</f>
        <v>0.24999999781934229</v>
      </c>
      <c r="AB66" t="str">
        <f t="shared" ref="AB66:AB129" si="19">IF(V66&gt;=0.2,"Rusak Berat Dominan",IF(Z66&gt;=0.5,"Tidak Mantap Tinggi",IF(Z66&gt;=0.2,"Tidak Mantap Sedang","Relatif Mantap")))</f>
        <v>Relatif Mantap</v>
      </c>
      <c r="AC66" s="19">
        <f>IF(Dashboard!$B$7="Mantap (%)",X66,IF(Dashboard!$B$7="Tidak Mantap (%)",Z66,IF(Dashboard!$B$7="Baik (%)",P66,IF(Dashboard!$B$7="Sedang (%)",R66,IF(Dashboard!$B$7="Rusak Ringan (%)",T66,IF(Dashboard!$B$7="Rusak Berat (%)",V66,AA66))))))</f>
        <v>0</v>
      </c>
      <c r="AD66" s="20">
        <f>IF(AND(AF66=1,E66&gt;=Dashboard!$B$10,IF(Dashboard!$B$9="≤ Maksimum",AC66&lt;=Dashboard!$B$8,AC66&gt;=Dashboard!$B$8)),1,0)</f>
        <v>0</v>
      </c>
      <c r="AE66" s="20" t="str">
        <f>IF(AD66=1,COUNTIFS($AD$2:$AD$351,1,$AC$2:$AC$351,"&gt;"&amp;AC66)+COUNTIFS($AD$2:AD66,1,$AC$2:AC66,AC66),"")</f>
        <v/>
      </c>
      <c r="AF66" s="20">
        <f>IF(OR(Dashboard!$B$6="Semua",ISNUMBER(SEARCH(Dashboard!$B$6,D66))),1,0)</f>
        <v>1</v>
      </c>
      <c r="AG66" s="18">
        <f t="shared" ref="AG66:AG129" si="20">AF66*E66</f>
        <v>0.41</v>
      </c>
      <c r="AH66" s="18">
        <f t="shared" ref="AH66:AH129" si="21">AF66*W66</f>
        <v>0.40999999642372131</v>
      </c>
      <c r="AI66" s="18">
        <f t="shared" ref="AI66:AI129" si="22">AF66*Y66</f>
        <v>0</v>
      </c>
      <c r="AJ66" s="18">
        <f t="shared" ref="AJ66:AJ129" si="23">AF66*U66</f>
        <v>0</v>
      </c>
      <c r="AK66" s="20">
        <f>IF(OR(Ruas_Per_Kecamatan!$B$4="Semua",ISNUMBER(SEARCH(Ruas_Per_Kecamatan!$B$4,D66))),1,0)</f>
        <v>1</v>
      </c>
      <c r="AL66" s="20">
        <f>IF(AK66=1,COUNTIF($AK$2:AK66,1),"")</f>
        <v>65</v>
      </c>
      <c r="AM66" s="18">
        <f t="shared" ref="AM66:AM129" si="24">AK66*E66</f>
        <v>0.41</v>
      </c>
      <c r="AN66" s="18">
        <f t="shared" ref="AN66:AN129" si="25">AK66*W66</f>
        <v>0.40999999642372131</v>
      </c>
      <c r="AO66" s="18">
        <f t="shared" ref="AO66:AO129" si="26">AK66*Y66</f>
        <v>0</v>
      </c>
      <c r="AP66" s="18">
        <f t="shared" ref="AP66:AP129" si="27">AK66*U66</f>
        <v>0</v>
      </c>
    </row>
    <row r="67" spans="1:42" ht="30" x14ac:dyDescent="0.25">
      <c r="A67" s="17">
        <v>66</v>
      </c>
      <c r="B67" s="17" t="s">
        <v>511</v>
      </c>
      <c r="C67" s="21" t="s">
        <v>97</v>
      </c>
      <c r="D67" s="17" t="s">
        <v>95</v>
      </c>
      <c r="E67" s="18">
        <v>0.41</v>
      </c>
      <c r="F67" s="18">
        <v>3</v>
      </c>
      <c r="G67" s="18">
        <v>0</v>
      </c>
      <c r="H67" s="18"/>
      <c r="I67" s="18">
        <v>2025</v>
      </c>
      <c r="J67" s="18">
        <v>0.40999999642372131</v>
      </c>
      <c r="K67" s="18">
        <v>0</v>
      </c>
      <c r="L67" s="18">
        <v>0</v>
      </c>
      <c r="M67" s="18">
        <v>0</v>
      </c>
      <c r="N67" s="18">
        <v>0</v>
      </c>
      <c r="O67" s="18">
        <v>0.10000000149011612</v>
      </c>
      <c r="P67" s="19">
        <v>0.24390244265881983</v>
      </c>
      <c r="Q67" s="18">
        <v>0.31000000238418579</v>
      </c>
      <c r="R67" s="19">
        <v>0.75609756679069706</v>
      </c>
      <c r="S67" s="18">
        <v>0</v>
      </c>
      <c r="T67" s="19">
        <v>0</v>
      </c>
      <c r="U67" s="18">
        <v>0</v>
      </c>
      <c r="V67" s="19">
        <v>0</v>
      </c>
      <c r="W67">
        <f t="shared" si="14"/>
        <v>0.41000000387430191</v>
      </c>
      <c r="X67" s="19">
        <f t="shared" si="15"/>
        <v>1.0000000094495169</v>
      </c>
      <c r="Y67">
        <f t="shared" si="16"/>
        <v>0</v>
      </c>
      <c r="Z67" s="19">
        <f t="shared" si="17"/>
        <v>0</v>
      </c>
      <c r="AA67" s="19">
        <f t="shared" si="18"/>
        <v>0.18902439169767427</v>
      </c>
      <c r="AB67" t="str">
        <f t="shared" si="19"/>
        <v>Relatif Mantap</v>
      </c>
      <c r="AC67" s="19">
        <f>IF(Dashboard!$B$7="Mantap (%)",X67,IF(Dashboard!$B$7="Tidak Mantap (%)",Z67,IF(Dashboard!$B$7="Baik (%)",P67,IF(Dashboard!$B$7="Sedang (%)",R67,IF(Dashboard!$B$7="Rusak Ringan (%)",T67,IF(Dashboard!$B$7="Rusak Berat (%)",V67,AA67))))))</f>
        <v>0</v>
      </c>
      <c r="AD67" s="20">
        <f>IF(AND(AF67=1,E67&gt;=Dashboard!$B$10,IF(Dashboard!$B$9="≤ Maksimum",AC67&lt;=Dashboard!$B$8,AC67&gt;=Dashboard!$B$8)),1,0)</f>
        <v>0</v>
      </c>
      <c r="AE67" s="20" t="str">
        <f>IF(AD67=1,COUNTIFS($AD$2:$AD$351,1,$AC$2:$AC$351,"&gt;"&amp;AC67)+COUNTIFS($AD$2:AD67,1,$AC$2:AC67,AC67),"")</f>
        <v/>
      </c>
      <c r="AF67" s="20">
        <f>IF(OR(Dashboard!$B$6="Semua",ISNUMBER(SEARCH(Dashboard!$B$6,D67))),1,0)</f>
        <v>1</v>
      </c>
      <c r="AG67" s="18">
        <f t="shared" si="20"/>
        <v>0.41</v>
      </c>
      <c r="AH67" s="18">
        <f t="shared" si="21"/>
        <v>0.41000000387430191</v>
      </c>
      <c r="AI67" s="18">
        <f t="shared" si="22"/>
        <v>0</v>
      </c>
      <c r="AJ67" s="18">
        <f t="shared" si="23"/>
        <v>0</v>
      </c>
      <c r="AK67" s="20">
        <f>IF(OR(Ruas_Per_Kecamatan!$B$4="Semua",ISNUMBER(SEARCH(Ruas_Per_Kecamatan!$B$4,D67))),1,0)</f>
        <v>1</v>
      </c>
      <c r="AL67" s="20">
        <f>IF(AK67=1,COUNTIF($AK$2:AK67,1),"")</f>
        <v>66</v>
      </c>
      <c r="AM67" s="18">
        <f t="shared" si="24"/>
        <v>0.41</v>
      </c>
      <c r="AN67" s="18">
        <f t="shared" si="25"/>
        <v>0.41000000387430191</v>
      </c>
      <c r="AO67" s="18">
        <f t="shared" si="26"/>
        <v>0</v>
      </c>
      <c r="AP67" s="18">
        <f t="shared" si="27"/>
        <v>0</v>
      </c>
    </row>
    <row r="68" spans="1:42" x14ac:dyDescent="0.25">
      <c r="A68" s="17">
        <v>67</v>
      </c>
      <c r="B68" s="17" t="s">
        <v>512</v>
      </c>
      <c r="C68" s="21" t="s">
        <v>98</v>
      </c>
      <c r="D68" s="17" t="s">
        <v>29</v>
      </c>
      <c r="E68" s="18">
        <v>1.64</v>
      </c>
      <c r="F68" s="18">
        <v>3.5</v>
      </c>
      <c r="G68" s="18">
        <v>0</v>
      </c>
      <c r="H68" s="18"/>
      <c r="I68" s="18">
        <v>2025</v>
      </c>
      <c r="J68" s="18">
        <v>1.6399999856948853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>
        <v>0</v>
      </c>
      <c r="Q68" s="18">
        <v>1.6399999856948853</v>
      </c>
      <c r="R68" s="19">
        <v>0.99999999127736916</v>
      </c>
      <c r="S68" s="18">
        <v>0</v>
      </c>
      <c r="T68" s="19">
        <v>0</v>
      </c>
      <c r="U68" s="18">
        <v>0</v>
      </c>
      <c r="V68" s="19">
        <v>0</v>
      </c>
      <c r="W68">
        <f t="shared" si="14"/>
        <v>1.6399999856948853</v>
      </c>
      <c r="X68" s="19">
        <f t="shared" si="15"/>
        <v>0.99999999127736916</v>
      </c>
      <c r="Y68">
        <f t="shared" si="16"/>
        <v>0</v>
      </c>
      <c r="Z68" s="19">
        <f t="shared" si="17"/>
        <v>0</v>
      </c>
      <c r="AA68" s="19">
        <f t="shared" si="18"/>
        <v>0.24999999781934229</v>
      </c>
      <c r="AB68" t="str">
        <f t="shared" si="19"/>
        <v>Relatif Mantap</v>
      </c>
      <c r="AC68" s="19">
        <f>IF(Dashboard!$B$7="Mantap (%)",X68,IF(Dashboard!$B$7="Tidak Mantap (%)",Z68,IF(Dashboard!$B$7="Baik (%)",P68,IF(Dashboard!$B$7="Sedang (%)",R68,IF(Dashboard!$B$7="Rusak Ringan (%)",T68,IF(Dashboard!$B$7="Rusak Berat (%)",V68,AA68))))))</f>
        <v>0</v>
      </c>
      <c r="AD68" s="20">
        <f>IF(AND(AF68=1,E68&gt;=Dashboard!$B$10,IF(Dashboard!$B$9="≤ Maksimum",AC68&lt;=Dashboard!$B$8,AC68&gt;=Dashboard!$B$8)),1,0)</f>
        <v>0</v>
      </c>
      <c r="AE68" s="20" t="str">
        <f>IF(AD68=1,COUNTIFS($AD$2:$AD$351,1,$AC$2:$AC$351,"&gt;"&amp;AC68)+COUNTIFS($AD$2:AD68,1,$AC$2:AC68,AC68),"")</f>
        <v/>
      </c>
      <c r="AF68" s="20">
        <f>IF(OR(Dashboard!$B$6="Semua",ISNUMBER(SEARCH(Dashboard!$B$6,D68))),1,0)</f>
        <v>1</v>
      </c>
      <c r="AG68" s="18">
        <f t="shared" si="20"/>
        <v>1.64</v>
      </c>
      <c r="AH68" s="18">
        <f t="shared" si="21"/>
        <v>1.6399999856948853</v>
      </c>
      <c r="AI68" s="18">
        <f t="shared" si="22"/>
        <v>0</v>
      </c>
      <c r="AJ68" s="18">
        <f t="shared" si="23"/>
        <v>0</v>
      </c>
      <c r="AK68" s="20">
        <f>IF(OR(Ruas_Per_Kecamatan!$B$4="Semua",ISNUMBER(SEARCH(Ruas_Per_Kecamatan!$B$4,D68))),1,0)</f>
        <v>1</v>
      </c>
      <c r="AL68" s="20">
        <f>IF(AK68=1,COUNTIF($AK$2:AK68,1),"")</f>
        <v>67</v>
      </c>
      <c r="AM68" s="18">
        <f t="shared" si="24"/>
        <v>1.64</v>
      </c>
      <c r="AN68" s="18">
        <f t="shared" si="25"/>
        <v>1.6399999856948853</v>
      </c>
      <c r="AO68" s="18">
        <f t="shared" si="26"/>
        <v>0</v>
      </c>
      <c r="AP68" s="18">
        <f t="shared" si="27"/>
        <v>0</v>
      </c>
    </row>
    <row r="69" spans="1:42" x14ac:dyDescent="0.25">
      <c r="A69" s="17">
        <v>68</v>
      </c>
      <c r="B69" s="17" t="s">
        <v>513</v>
      </c>
      <c r="C69" s="21" t="s">
        <v>99</v>
      </c>
      <c r="D69" s="17" t="s">
        <v>29</v>
      </c>
      <c r="E69" s="18">
        <v>0.91</v>
      </c>
      <c r="F69" s="18">
        <v>3.5</v>
      </c>
      <c r="G69" s="18">
        <v>0</v>
      </c>
      <c r="H69" s="18"/>
      <c r="I69" s="18">
        <v>2025</v>
      </c>
      <c r="J69" s="18">
        <v>0.9100000262260437</v>
      </c>
      <c r="K69" s="18">
        <v>0</v>
      </c>
      <c r="L69" s="18">
        <v>0</v>
      </c>
      <c r="M69" s="18">
        <v>0</v>
      </c>
      <c r="N69" s="18">
        <v>0</v>
      </c>
      <c r="O69" s="18">
        <v>0.20000000298023224</v>
      </c>
      <c r="P69" s="19">
        <v>0.21978022305520026</v>
      </c>
      <c r="Q69" s="18">
        <v>0.60000002384185791</v>
      </c>
      <c r="R69" s="19">
        <v>0.65934068554050318</v>
      </c>
      <c r="S69" s="18">
        <v>0.10999999940395355</v>
      </c>
      <c r="T69" s="19">
        <v>0.12087912022412478</v>
      </c>
      <c r="U69" s="18">
        <v>0</v>
      </c>
      <c r="V69" s="19">
        <v>0</v>
      </c>
      <c r="W69">
        <f t="shared" si="14"/>
        <v>0.80000002682209015</v>
      </c>
      <c r="X69" s="19">
        <f t="shared" si="15"/>
        <v>0.87912090859570347</v>
      </c>
      <c r="Y69">
        <f t="shared" si="16"/>
        <v>0.10999999940395355</v>
      </c>
      <c r="Z69" s="19">
        <f t="shared" si="17"/>
        <v>0.12087912022412478</v>
      </c>
      <c r="AA69" s="19">
        <f t="shared" si="18"/>
        <v>0.23736264351960068</v>
      </c>
      <c r="AB69" t="str">
        <f t="shared" si="19"/>
        <v>Relatif Mantap</v>
      </c>
      <c r="AC69" s="19">
        <f>IF(Dashboard!$B$7="Mantap (%)",X69,IF(Dashboard!$B$7="Tidak Mantap (%)",Z69,IF(Dashboard!$B$7="Baik (%)",P69,IF(Dashboard!$B$7="Sedang (%)",R69,IF(Dashboard!$B$7="Rusak Ringan (%)",T69,IF(Dashboard!$B$7="Rusak Berat (%)",V69,AA69))))))</f>
        <v>0.12087912022412478</v>
      </c>
      <c r="AD69" s="20">
        <f>IF(AND(AF69=1,E69&gt;=Dashboard!$B$10,IF(Dashboard!$B$9="≤ Maksimum",AC69&lt;=Dashboard!$B$8,AC69&gt;=Dashboard!$B$8)),1,0)</f>
        <v>0</v>
      </c>
      <c r="AE69" s="20" t="str">
        <f>IF(AD69=1,COUNTIFS($AD$2:$AD$351,1,$AC$2:$AC$351,"&gt;"&amp;AC69)+COUNTIFS($AD$2:AD69,1,$AC$2:AC69,AC69),"")</f>
        <v/>
      </c>
      <c r="AF69" s="20">
        <f>IF(OR(Dashboard!$B$6="Semua",ISNUMBER(SEARCH(Dashboard!$B$6,D69))),1,0)</f>
        <v>1</v>
      </c>
      <c r="AG69" s="18">
        <f t="shared" si="20"/>
        <v>0.91</v>
      </c>
      <c r="AH69" s="18">
        <f t="shared" si="21"/>
        <v>0.80000002682209015</v>
      </c>
      <c r="AI69" s="18">
        <f t="shared" si="22"/>
        <v>0.10999999940395355</v>
      </c>
      <c r="AJ69" s="18">
        <f t="shared" si="23"/>
        <v>0</v>
      </c>
      <c r="AK69" s="20">
        <f>IF(OR(Ruas_Per_Kecamatan!$B$4="Semua",ISNUMBER(SEARCH(Ruas_Per_Kecamatan!$B$4,D69))),1,0)</f>
        <v>1</v>
      </c>
      <c r="AL69" s="20">
        <f>IF(AK69=1,COUNTIF($AK$2:AK69,1),"")</f>
        <v>68</v>
      </c>
      <c r="AM69" s="18">
        <f t="shared" si="24"/>
        <v>0.91</v>
      </c>
      <c r="AN69" s="18">
        <f t="shared" si="25"/>
        <v>0.80000002682209015</v>
      </c>
      <c r="AO69" s="18">
        <f t="shared" si="26"/>
        <v>0.10999999940395355</v>
      </c>
      <c r="AP69" s="18">
        <f t="shared" si="27"/>
        <v>0</v>
      </c>
    </row>
    <row r="70" spans="1:42" x14ac:dyDescent="0.25">
      <c r="A70" s="17">
        <v>69</v>
      </c>
      <c r="B70" s="17" t="s">
        <v>514</v>
      </c>
      <c r="C70" s="21" t="s">
        <v>100</v>
      </c>
      <c r="D70" s="17" t="s">
        <v>29</v>
      </c>
      <c r="E70" s="18">
        <v>1.42</v>
      </c>
      <c r="F70" s="18">
        <v>3</v>
      </c>
      <c r="G70" s="18">
        <v>0</v>
      </c>
      <c r="H70" s="18"/>
      <c r="I70" s="18">
        <v>2025</v>
      </c>
      <c r="J70" s="18">
        <v>1.2000000476837158</v>
      </c>
      <c r="K70" s="18">
        <v>0</v>
      </c>
      <c r="L70" s="18">
        <v>0</v>
      </c>
      <c r="M70" s="18">
        <v>0.2199999988079071</v>
      </c>
      <c r="N70" s="18">
        <v>0</v>
      </c>
      <c r="O70" s="18">
        <v>0</v>
      </c>
      <c r="P70" s="19">
        <v>0</v>
      </c>
      <c r="Q70" s="18">
        <v>0.30000001192092896</v>
      </c>
      <c r="R70" s="19">
        <v>0.21126761402882321</v>
      </c>
      <c r="S70" s="18">
        <v>0.30000001192092896</v>
      </c>
      <c r="T70" s="19">
        <v>0.21126761402882321</v>
      </c>
      <c r="U70" s="18">
        <v>0.82000002264976501</v>
      </c>
      <c r="V70" s="19">
        <v>0.57746480468293315</v>
      </c>
      <c r="W70">
        <f t="shared" si="14"/>
        <v>0.30000001192092896</v>
      </c>
      <c r="X70" s="19">
        <f t="shared" si="15"/>
        <v>0.21126761402882321</v>
      </c>
      <c r="Y70">
        <f t="shared" si="16"/>
        <v>1.120000034570694</v>
      </c>
      <c r="Z70" s="19">
        <f t="shared" si="17"/>
        <v>0.78873241871175637</v>
      </c>
      <c r="AA70" s="19">
        <f t="shared" si="18"/>
        <v>0.75704227660743284</v>
      </c>
      <c r="AB70" t="str">
        <f t="shared" si="19"/>
        <v>Rusak Berat Dominan</v>
      </c>
      <c r="AC70" s="19">
        <f>IF(Dashboard!$B$7="Mantap (%)",X70,IF(Dashboard!$B$7="Tidak Mantap (%)",Z70,IF(Dashboard!$B$7="Baik (%)",P70,IF(Dashboard!$B$7="Sedang (%)",R70,IF(Dashboard!$B$7="Rusak Ringan (%)",T70,IF(Dashboard!$B$7="Rusak Berat (%)",V70,AA70))))))</f>
        <v>0.78873241871175637</v>
      </c>
      <c r="AD70" s="20">
        <f>IF(AND(AF70=1,E70&gt;=Dashboard!$B$10,IF(Dashboard!$B$9="≤ Maksimum",AC70&lt;=Dashboard!$B$8,AC70&gt;=Dashboard!$B$8)),1,0)</f>
        <v>1</v>
      </c>
      <c r="AE70" s="20">
        <f>IF(AD70=1,COUNTIFS($AD$2:$AD$351,1,$AC$2:$AC$351,"&gt;"&amp;AC70)+COUNTIFS($AD$2:AD70,1,$AC$2:AC70,AC70),"")</f>
        <v>71</v>
      </c>
      <c r="AF70" s="20">
        <f>IF(OR(Dashboard!$B$6="Semua",ISNUMBER(SEARCH(Dashboard!$B$6,D70))),1,0)</f>
        <v>1</v>
      </c>
      <c r="AG70" s="18">
        <f t="shared" si="20"/>
        <v>1.42</v>
      </c>
      <c r="AH70" s="18">
        <f t="shared" si="21"/>
        <v>0.30000001192092896</v>
      </c>
      <c r="AI70" s="18">
        <f t="shared" si="22"/>
        <v>1.120000034570694</v>
      </c>
      <c r="AJ70" s="18">
        <f t="shared" si="23"/>
        <v>0.82000002264976501</v>
      </c>
      <c r="AK70" s="20">
        <f>IF(OR(Ruas_Per_Kecamatan!$B$4="Semua",ISNUMBER(SEARCH(Ruas_Per_Kecamatan!$B$4,D70))),1,0)</f>
        <v>1</v>
      </c>
      <c r="AL70" s="20">
        <f>IF(AK70=1,COUNTIF($AK$2:AK70,1),"")</f>
        <v>69</v>
      </c>
      <c r="AM70" s="18">
        <f t="shared" si="24"/>
        <v>1.42</v>
      </c>
      <c r="AN70" s="18">
        <f t="shared" si="25"/>
        <v>0.30000001192092896</v>
      </c>
      <c r="AO70" s="18">
        <f t="shared" si="26"/>
        <v>1.120000034570694</v>
      </c>
      <c r="AP70" s="18">
        <f t="shared" si="27"/>
        <v>0.82000002264976501</v>
      </c>
    </row>
    <row r="71" spans="1:42" ht="30" x14ac:dyDescent="0.25">
      <c r="A71" s="17">
        <v>70</v>
      </c>
      <c r="B71" s="17" t="s">
        <v>515</v>
      </c>
      <c r="C71" s="21" t="s">
        <v>101</v>
      </c>
      <c r="D71" s="17" t="s">
        <v>29</v>
      </c>
      <c r="E71" s="18">
        <v>0.28999999999999998</v>
      </c>
      <c r="F71" s="18">
        <v>3</v>
      </c>
      <c r="G71" s="18">
        <v>0</v>
      </c>
      <c r="H71" s="18"/>
      <c r="I71" s="18">
        <v>2025</v>
      </c>
      <c r="J71" s="18">
        <v>0.28999999165534973</v>
      </c>
      <c r="K71" s="18">
        <v>0</v>
      </c>
      <c r="L71" s="18">
        <v>0</v>
      </c>
      <c r="M71" s="18">
        <v>0</v>
      </c>
      <c r="N71" s="18">
        <v>0</v>
      </c>
      <c r="O71" s="18">
        <v>0.28999999165534973</v>
      </c>
      <c r="P71" s="19">
        <v>0.99999997122534401</v>
      </c>
      <c r="Q71" s="18">
        <v>0</v>
      </c>
      <c r="R71" s="19">
        <v>0</v>
      </c>
      <c r="S71" s="18">
        <v>0</v>
      </c>
      <c r="T71" s="19">
        <v>0</v>
      </c>
      <c r="U71" s="18">
        <v>0</v>
      </c>
      <c r="V71" s="19">
        <v>0</v>
      </c>
      <c r="W71">
        <f t="shared" si="14"/>
        <v>0.28999999165534973</v>
      </c>
      <c r="X71" s="19">
        <f t="shared" si="15"/>
        <v>0.99999997122534401</v>
      </c>
      <c r="Y71">
        <f t="shared" si="16"/>
        <v>0</v>
      </c>
      <c r="Z71" s="19">
        <f t="shared" si="17"/>
        <v>0</v>
      </c>
      <c r="AA71" s="19">
        <f t="shared" si="18"/>
        <v>0</v>
      </c>
      <c r="AB71" t="str">
        <f t="shared" si="19"/>
        <v>Relatif Mantap</v>
      </c>
      <c r="AC71" s="19">
        <f>IF(Dashboard!$B$7="Mantap (%)",X71,IF(Dashboard!$B$7="Tidak Mantap (%)",Z71,IF(Dashboard!$B$7="Baik (%)",P71,IF(Dashboard!$B$7="Sedang (%)",R71,IF(Dashboard!$B$7="Rusak Ringan (%)",T71,IF(Dashboard!$B$7="Rusak Berat (%)",V71,AA71))))))</f>
        <v>0</v>
      </c>
      <c r="AD71" s="20">
        <f>IF(AND(AF71=1,E71&gt;=Dashboard!$B$10,IF(Dashboard!$B$9="≤ Maksimum",AC71&lt;=Dashboard!$B$8,AC71&gt;=Dashboard!$B$8)),1,0)</f>
        <v>0</v>
      </c>
      <c r="AE71" s="20" t="str">
        <f>IF(AD71=1,COUNTIFS($AD$2:$AD$351,1,$AC$2:$AC$351,"&gt;"&amp;AC71)+COUNTIFS($AD$2:AD71,1,$AC$2:AC71,AC71),"")</f>
        <v/>
      </c>
      <c r="AF71" s="20">
        <f>IF(OR(Dashboard!$B$6="Semua",ISNUMBER(SEARCH(Dashboard!$B$6,D71))),1,0)</f>
        <v>1</v>
      </c>
      <c r="AG71" s="18">
        <f t="shared" si="20"/>
        <v>0.28999999999999998</v>
      </c>
      <c r="AH71" s="18">
        <f t="shared" si="21"/>
        <v>0.28999999165534973</v>
      </c>
      <c r="AI71" s="18">
        <f t="shared" si="22"/>
        <v>0</v>
      </c>
      <c r="AJ71" s="18">
        <f t="shared" si="23"/>
        <v>0</v>
      </c>
      <c r="AK71" s="20">
        <f>IF(OR(Ruas_Per_Kecamatan!$B$4="Semua",ISNUMBER(SEARCH(Ruas_Per_Kecamatan!$B$4,D71))),1,0)</f>
        <v>1</v>
      </c>
      <c r="AL71" s="20">
        <f>IF(AK71=1,COUNTIF($AK$2:AK71,1),"")</f>
        <v>70</v>
      </c>
      <c r="AM71" s="18">
        <f t="shared" si="24"/>
        <v>0.28999999999999998</v>
      </c>
      <c r="AN71" s="18">
        <f t="shared" si="25"/>
        <v>0.28999999165534973</v>
      </c>
      <c r="AO71" s="18">
        <f t="shared" si="26"/>
        <v>0</v>
      </c>
      <c r="AP71" s="18">
        <f t="shared" si="27"/>
        <v>0</v>
      </c>
    </row>
    <row r="72" spans="1:42" x14ac:dyDescent="0.25">
      <c r="A72" s="17">
        <v>71</v>
      </c>
      <c r="B72" s="17" t="s">
        <v>516</v>
      </c>
      <c r="C72" s="21" t="s">
        <v>102</v>
      </c>
      <c r="D72" s="17" t="s">
        <v>29</v>
      </c>
      <c r="E72" s="18">
        <v>0.5</v>
      </c>
      <c r="F72" s="18">
        <v>3</v>
      </c>
      <c r="G72" s="18">
        <v>0</v>
      </c>
      <c r="H72" s="18"/>
      <c r="I72" s="18">
        <v>2025</v>
      </c>
      <c r="J72" s="18">
        <v>0.5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9">
        <v>0</v>
      </c>
      <c r="Q72" s="18">
        <v>0.40000000596046448</v>
      </c>
      <c r="R72" s="19">
        <v>0.80000001192092896</v>
      </c>
      <c r="S72" s="18">
        <v>0.10000000149011612</v>
      </c>
      <c r="T72" s="19">
        <v>0.20000000298023224</v>
      </c>
      <c r="U72" s="18">
        <v>0</v>
      </c>
      <c r="V72" s="19">
        <v>0</v>
      </c>
      <c r="W72">
        <f t="shared" si="14"/>
        <v>0.40000000596046448</v>
      </c>
      <c r="X72" s="19">
        <f t="shared" si="15"/>
        <v>0.80000001192092896</v>
      </c>
      <c r="Y72">
        <f t="shared" si="16"/>
        <v>0.10000000149011612</v>
      </c>
      <c r="Z72" s="19">
        <f t="shared" si="17"/>
        <v>0.20000000298023224</v>
      </c>
      <c r="AA72" s="19">
        <f t="shared" si="18"/>
        <v>0.32000000476837159</v>
      </c>
      <c r="AB72" t="str">
        <f t="shared" si="19"/>
        <v>Tidak Mantap Sedang</v>
      </c>
      <c r="AC72" s="19">
        <f>IF(Dashboard!$B$7="Mantap (%)",X72,IF(Dashboard!$B$7="Tidak Mantap (%)",Z72,IF(Dashboard!$B$7="Baik (%)",P72,IF(Dashboard!$B$7="Sedang (%)",R72,IF(Dashboard!$B$7="Rusak Ringan (%)",T72,IF(Dashboard!$B$7="Rusak Berat (%)",V72,AA72))))))</f>
        <v>0.20000000298023224</v>
      </c>
      <c r="AD72" s="20">
        <f>IF(AND(AF72=1,E72&gt;=Dashboard!$B$10,IF(Dashboard!$B$9="≤ Maksimum",AC72&lt;=Dashboard!$B$8,AC72&gt;=Dashboard!$B$8)),1,0)</f>
        <v>1</v>
      </c>
      <c r="AE72" s="20">
        <f>IF(AD72=1,COUNTIFS($AD$2:$AD$351,1,$AC$2:$AC$351,"&gt;"&amp;AC72)+COUNTIFS($AD$2:AD72,1,$AC$2:AC72,AC72),"")</f>
        <v>191</v>
      </c>
      <c r="AF72" s="20">
        <f>IF(OR(Dashboard!$B$6="Semua",ISNUMBER(SEARCH(Dashboard!$B$6,D72))),1,0)</f>
        <v>1</v>
      </c>
      <c r="AG72" s="18">
        <f t="shared" si="20"/>
        <v>0.5</v>
      </c>
      <c r="AH72" s="18">
        <f t="shared" si="21"/>
        <v>0.40000000596046448</v>
      </c>
      <c r="AI72" s="18">
        <f t="shared" si="22"/>
        <v>0.10000000149011612</v>
      </c>
      <c r="AJ72" s="18">
        <f t="shared" si="23"/>
        <v>0</v>
      </c>
      <c r="AK72" s="20">
        <f>IF(OR(Ruas_Per_Kecamatan!$B$4="Semua",ISNUMBER(SEARCH(Ruas_Per_Kecamatan!$B$4,D72))),1,0)</f>
        <v>1</v>
      </c>
      <c r="AL72" s="20">
        <f>IF(AK72=1,COUNTIF($AK$2:AK72,1),"")</f>
        <v>71</v>
      </c>
      <c r="AM72" s="18">
        <f t="shared" si="24"/>
        <v>0.5</v>
      </c>
      <c r="AN72" s="18">
        <f t="shared" si="25"/>
        <v>0.40000000596046448</v>
      </c>
      <c r="AO72" s="18">
        <f t="shared" si="26"/>
        <v>0.10000000149011612</v>
      </c>
      <c r="AP72" s="18">
        <f t="shared" si="27"/>
        <v>0</v>
      </c>
    </row>
    <row r="73" spans="1:42" x14ac:dyDescent="0.25">
      <c r="A73" s="17">
        <v>72</v>
      </c>
      <c r="B73" s="17" t="s">
        <v>517</v>
      </c>
      <c r="C73" s="21" t="s">
        <v>103</v>
      </c>
      <c r="D73" s="17" t="s">
        <v>78</v>
      </c>
      <c r="E73" s="18">
        <v>0.84</v>
      </c>
      <c r="F73" s="18">
        <v>3</v>
      </c>
      <c r="G73" s="18">
        <v>0</v>
      </c>
      <c r="H73" s="18"/>
      <c r="I73" s="18">
        <v>2025</v>
      </c>
      <c r="J73" s="18">
        <v>0.8399999737739563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9">
        <v>0</v>
      </c>
      <c r="Q73" s="18">
        <v>0.30000001192092896</v>
      </c>
      <c r="R73" s="19">
        <v>0.35714287133443923</v>
      </c>
      <c r="S73" s="18">
        <v>0.54000002145767212</v>
      </c>
      <c r="T73" s="19">
        <v>0.64285716840199059</v>
      </c>
      <c r="U73" s="18">
        <v>0</v>
      </c>
      <c r="V73" s="19">
        <v>0</v>
      </c>
      <c r="W73">
        <f t="shared" si="14"/>
        <v>0.30000001192092896</v>
      </c>
      <c r="X73" s="19">
        <f t="shared" si="15"/>
        <v>0.35714287133443923</v>
      </c>
      <c r="Y73">
        <f t="shared" si="16"/>
        <v>0.54000002145767212</v>
      </c>
      <c r="Z73" s="19">
        <f t="shared" si="17"/>
        <v>0.64285716840199059</v>
      </c>
      <c r="AA73" s="19">
        <f t="shared" si="18"/>
        <v>0.47500001887480414</v>
      </c>
      <c r="AB73" t="str">
        <f t="shared" si="19"/>
        <v>Tidak Mantap Tinggi</v>
      </c>
      <c r="AC73" s="19">
        <f>IF(Dashboard!$B$7="Mantap (%)",X73,IF(Dashboard!$B$7="Tidak Mantap (%)",Z73,IF(Dashboard!$B$7="Baik (%)",P73,IF(Dashboard!$B$7="Sedang (%)",R73,IF(Dashboard!$B$7="Rusak Ringan (%)",T73,IF(Dashboard!$B$7="Rusak Berat (%)",V73,AA73))))))</f>
        <v>0.64285716840199059</v>
      </c>
      <c r="AD73" s="20">
        <f>IF(AND(AF73=1,E73&gt;=Dashboard!$B$10,IF(Dashboard!$B$9="≤ Maksimum",AC73&lt;=Dashboard!$B$8,AC73&gt;=Dashboard!$B$8)),1,0)</f>
        <v>1</v>
      </c>
      <c r="AE73" s="20">
        <f>IF(AD73=1,COUNTIFS($AD$2:$AD$351,1,$AC$2:$AC$351,"&gt;"&amp;AC73)+COUNTIFS($AD$2:AD73,1,$AC$2:AC73,AC73),"")</f>
        <v>100</v>
      </c>
      <c r="AF73" s="20">
        <f>IF(OR(Dashboard!$B$6="Semua",ISNUMBER(SEARCH(Dashboard!$B$6,D73))),1,0)</f>
        <v>1</v>
      </c>
      <c r="AG73" s="18">
        <f t="shared" si="20"/>
        <v>0.84</v>
      </c>
      <c r="AH73" s="18">
        <f t="shared" si="21"/>
        <v>0.30000001192092896</v>
      </c>
      <c r="AI73" s="18">
        <f t="shared" si="22"/>
        <v>0.54000002145767212</v>
      </c>
      <c r="AJ73" s="18">
        <f t="shared" si="23"/>
        <v>0</v>
      </c>
      <c r="AK73" s="20">
        <f>IF(OR(Ruas_Per_Kecamatan!$B$4="Semua",ISNUMBER(SEARCH(Ruas_Per_Kecamatan!$B$4,D73))),1,0)</f>
        <v>1</v>
      </c>
      <c r="AL73" s="20">
        <f>IF(AK73=1,COUNTIF($AK$2:AK73,1),"")</f>
        <v>72</v>
      </c>
      <c r="AM73" s="18">
        <f t="shared" si="24"/>
        <v>0.84</v>
      </c>
      <c r="AN73" s="18">
        <f t="shared" si="25"/>
        <v>0.30000001192092896</v>
      </c>
      <c r="AO73" s="18">
        <f t="shared" si="26"/>
        <v>0.54000002145767212</v>
      </c>
      <c r="AP73" s="18">
        <f t="shared" si="27"/>
        <v>0</v>
      </c>
    </row>
    <row r="74" spans="1:42" x14ac:dyDescent="0.25">
      <c r="A74" s="17">
        <v>73</v>
      </c>
      <c r="B74" s="17" t="s">
        <v>518</v>
      </c>
      <c r="C74" s="21" t="s">
        <v>104</v>
      </c>
      <c r="D74" s="17" t="s">
        <v>29</v>
      </c>
      <c r="E74" s="18">
        <v>0.14000000000000001</v>
      </c>
      <c r="F74" s="18">
        <v>3</v>
      </c>
      <c r="G74" s="18">
        <v>0</v>
      </c>
      <c r="H74" s="18"/>
      <c r="I74" s="18">
        <v>2025</v>
      </c>
      <c r="J74" s="18">
        <v>0.14000000059604645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9">
        <v>0</v>
      </c>
      <c r="Q74" s="18">
        <v>3.9999999105930328E-2</v>
      </c>
      <c r="R74" s="19">
        <v>0.28571427932807375</v>
      </c>
      <c r="S74" s="18">
        <v>0.10000000149011612</v>
      </c>
      <c r="T74" s="19">
        <v>0.71428572492940079</v>
      </c>
      <c r="U74" s="18">
        <v>0</v>
      </c>
      <c r="V74" s="19">
        <v>0</v>
      </c>
      <c r="W74">
        <f t="shared" si="14"/>
        <v>3.9999999105930328E-2</v>
      </c>
      <c r="X74" s="19">
        <f t="shared" si="15"/>
        <v>0.28571427932807375</v>
      </c>
      <c r="Y74">
        <f t="shared" si="16"/>
        <v>0.10000000149011612</v>
      </c>
      <c r="Z74" s="19">
        <f t="shared" si="17"/>
        <v>0.71428572492940079</v>
      </c>
      <c r="AA74" s="19">
        <f t="shared" si="18"/>
        <v>0.50000000478965889</v>
      </c>
      <c r="AB74" t="str">
        <f t="shared" si="19"/>
        <v>Tidak Mantap Tinggi</v>
      </c>
      <c r="AC74" s="19">
        <f>IF(Dashboard!$B$7="Mantap (%)",X74,IF(Dashboard!$B$7="Tidak Mantap (%)",Z74,IF(Dashboard!$B$7="Baik (%)",P74,IF(Dashboard!$B$7="Sedang (%)",R74,IF(Dashboard!$B$7="Rusak Ringan (%)",T74,IF(Dashboard!$B$7="Rusak Berat (%)",V74,AA74))))))</f>
        <v>0.71428572492940079</v>
      </c>
      <c r="AD74" s="20">
        <f>IF(AND(AF74=1,E74&gt;=Dashboard!$B$10,IF(Dashboard!$B$9="≤ Maksimum",AC74&lt;=Dashboard!$B$8,AC74&gt;=Dashboard!$B$8)),1,0)</f>
        <v>1</v>
      </c>
      <c r="AE74" s="20">
        <f>IF(AD74=1,COUNTIFS($AD$2:$AD$351,1,$AC$2:$AC$351,"&gt;"&amp;AC74)+COUNTIFS($AD$2:AD74,1,$AC$2:AC74,AC74),"")</f>
        <v>85</v>
      </c>
      <c r="AF74" s="20">
        <f>IF(OR(Dashboard!$B$6="Semua",ISNUMBER(SEARCH(Dashboard!$B$6,D74))),1,0)</f>
        <v>1</v>
      </c>
      <c r="AG74" s="18">
        <f t="shared" si="20"/>
        <v>0.14000000000000001</v>
      </c>
      <c r="AH74" s="18">
        <f t="shared" si="21"/>
        <v>3.9999999105930328E-2</v>
      </c>
      <c r="AI74" s="18">
        <f t="shared" si="22"/>
        <v>0.10000000149011612</v>
      </c>
      <c r="AJ74" s="18">
        <f t="shared" si="23"/>
        <v>0</v>
      </c>
      <c r="AK74" s="20">
        <f>IF(OR(Ruas_Per_Kecamatan!$B$4="Semua",ISNUMBER(SEARCH(Ruas_Per_Kecamatan!$B$4,D74))),1,0)</f>
        <v>1</v>
      </c>
      <c r="AL74" s="20">
        <f>IF(AK74=1,COUNTIF($AK$2:AK74,1),"")</f>
        <v>73</v>
      </c>
      <c r="AM74" s="18">
        <f t="shared" si="24"/>
        <v>0.14000000000000001</v>
      </c>
      <c r="AN74" s="18">
        <f t="shared" si="25"/>
        <v>3.9999999105930328E-2</v>
      </c>
      <c r="AO74" s="18">
        <f t="shared" si="26"/>
        <v>0.10000000149011612</v>
      </c>
      <c r="AP74" s="18">
        <f t="shared" si="27"/>
        <v>0</v>
      </c>
    </row>
    <row r="75" spans="1:42" x14ac:dyDescent="0.25">
      <c r="A75" s="17">
        <v>74</v>
      </c>
      <c r="B75" s="17" t="s">
        <v>519</v>
      </c>
      <c r="C75" s="21" t="s">
        <v>105</v>
      </c>
      <c r="D75" s="17" t="s">
        <v>29</v>
      </c>
      <c r="E75" s="18">
        <v>0.12</v>
      </c>
      <c r="F75" s="18">
        <v>3</v>
      </c>
      <c r="G75" s="18">
        <v>0</v>
      </c>
      <c r="H75" s="18"/>
      <c r="I75" s="18">
        <v>2025</v>
      </c>
      <c r="J75" s="18">
        <v>0.11999999731779099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9">
        <v>0</v>
      </c>
      <c r="Q75" s="18">
        <v>0.10000000149011612</v>
      </c>
      <c r="R75" s="19">
        <v>0.83333334575096774</v>
      </c>
      <c r="S75" s="18">
        <v>1.9999999552965164E-2</v>
      </c>
      <c r="T75" s="19">
        <v>0.16666666294137639</v>
      </c>
      <c r="U75" s="18">
        <v>0</v>
      </c>
      <c r="V75" s="19">
        <v>0</v>
      </c>
      <c r="W75">
        <f t="shared" si="14"/>
        <v>0.10000000149011612</v>
      </c>
      <c r="X75" s="19">
        <f t="shared" si="15"/>
        <v>0.83333334575096774</v>
      </c>
      <c r="Y75">
        <f t="shared" si="16"/>
        <v>1.9999999552965164E-2</v>
      </c>
      <c r="Z75" s="19">
        <f t="shared" si="17"/>
        <v>0.16666666294137639</v>
      </c>
      <c r="AA75" s="19">
        <f t="shared" si="18"/>
        <v>0.30833333420256775</v>
      </c>
      <c r="AB75" t="str">
        <f t="shared" si="19"/>
        <v>Relatif Mantap</v>
      </c>
      <c r="AC75" s="19">
        <f>IF(Dashboard!$B$7="Mantap (%)",X75,IF(Dashboard!$B$7="Tidak Mantap (%)",Z75,IF(Dashboard!$B$7="Baik (%)",P75,IF(Dashboard!$B$7="Sedang (%)",R75,IF(Dashboard!$B$7="Rusak Ringan (%)",T75,IF(Dashboard!$B$7="Rusak Berat (%)",V75,AA75))))))</f>
        <v>0.16666666294137639</v>
      </c>
      <c r="AD75" s="20">
        <f>IF(AND(AF75=1,E75&gt;=Dashboard!$B$10,IF(Dashboard!$B$9="≤ Maksimum",AC75&lt;=Dashboard!$B$8,AC75&gt;=Dashboard!$B$8)),1,0)</f>
        <v>0</v>
      </c>
      <c r="AE75" s="20" t="str">
        <f>IF(AD75=1,COUNTIFS($AD$2:$AD$351,1,$AC$2:$AC$351,"&gt;"&amp;AC75)+COUNTIFS($AD$2:AD75,1,$AC$2:AC75,AC75),"")</f>
        <v/>
      </c>
      <c r="AF75" s="20">
        <f>IF(OR(Dashboard!$B$6="Semua",ISNUMBER(SEARCH(Dashboard!$B$6,D75))),1,0)</f>
        <v>1</v>
      </c>
      <c r="AG75" s="18">
        <f t="shared" si="20"/>
        <v>0.12</v>
      </c>
      <c r="AH75" s="18">
        <f t="shared" si="21"/>
        <v>0.10000000149011612</v>
      </c>
      <c r="AI75" s="18">
        <f t="shared" si="22"/>
        <v>1.9999999552965164E-2</v>
      </c>
      <c r="AJ75" s="18">
        <f t="shared" si="23"/>
        <v>0</v>
      </c>
      <c r="AK75" s="20">
        <f>IF(OR(Ruas_Per_Kecamatan!$B$4="Semua",ISNUMBER(SEARCH(Ruas_Per_Kecamatan!$B$4,D75))),1,0)</f>
        <v>1</v>
      </c>
      <c r="AL75" s="20">
        <f>IF(AK75=1,COUNTIF($AK$2:AK75,1),"")</f>
        <v>74</v>
      </c>
      <c r="AM75" s="18">
        <f t="shared" si="24"/>
        <v>0.12</v>
      </c>
      <c r="AN75" s="18">
        <f t="shared" si="25"/>
        <v>0.10000000149011612</v>
      </c>
      <c r="AO75" s="18">
        <f t="shared" si="26"/>
        <v>1.9999999552965164E-2</v>
      </c>
      <c r="AP75" s="18">
        <f t="shared" si="27"/>
        <v>0</v>
      </c>
    </row>
    <row r="76" spans="1:42" x14ac:dyDescent="0.25">
      <c r="A76" s="17">
        <v>75</v>
      </c>
      <c r="B76" s="17" t="s">
        <v>520</v>
      </c>
      <c r="C76" s="21" t="s">
        <v>106</v>
      </c>
      <c r="D76" s="17" t="s">
        <v>29</v>
      </c>
      <c r="E76" s="18">
        <v>1.63</v>
      </c>
      <c r="F76" s="18">
        <v>3</v>
      </c>
      <c r="G76" s="18">
        <v>0</v>
      </c>
      <c r="H76" s="18"/>
      <c r="I76" s="18">
        <v>2025</v>
      </c>
      <c r="J76" s="18">
        <v>1.6299999952316284</v>
      </c>
      <c r="K76" s="18">
        <v>0</v>
      </c>
      <c r="L76" s="18">
        <v>0</v>
      </c>
      <c r="M76" s="18">
        <v>0</v>
      </c>
      <c r="N76" s="18">
        <v>0</v>
      </c>
      <c r="O76" s="18">
        <v>0.60000002384185791</v>
      </c>
      <c r="P76" s="19">
        <v>0.36809817413610918</v>
      </c>
      <c r="Q76" s="18">
        <v>1.0299999713897705</v>
      </c>
      <c r="R76" s="19">
        <v>0.63190182293850961</v>
      </c>
      <c r="S76" s="18">
        <v>0</v>
      </c>
      <c r="T76" s="19">
        <v>0</v>
      </c>
      <c r="U76" s="18">
        <v>0</v>
      </c>
      <c r="V76" s="19">
        <v>0</v>
      </c>
      <c r="W76">
        <f t="shared" si="14"/>
        <v>1.6299999952316284</v>
      </c>
      <c r="X76" s="19">
        <f t="shared" si="15"/>
        <v>0.99999999707461873</v>
      </c>
      <c r="Y76">
        <f t="shared" si="16"/>
        <v>0</v>
      </c>
      <c r="Z76" s="19">
        <f t="shared" si="17"/>
        <v>0</v>
      </c>
      <c r="AA76" s="19">
        <f t="shared" si="18"/>
        <v>0.1579754557346274</v>
      </c>
      <c r="AB76" t="str">
        <f t="shared" si="19"/>
        <v>Relatif Mantap</v>
      </c>
      <c r="AC76" s="19">
        <f>IF(Dashboard!$B$7="Mantap (%)",X76,IF(Dashboard!$B$7="Tidak Mantap (%)",Z76,IF(Dashboard!$B$7="Baik (%)",P76,IF(Dashboard!$B$7="Sedang (%)",R76,IF(Dashboard!$B$7="Rusak Ringan (%)",T76,IF(Dashboard!$B$7="Rusak Berat (%)",V76,AA76))))))</f>
        <v>0</v>
      </c>
      <c r="AD76" s="20">
        <f>IF(AND(AF76=1,E76&gt;=Dashboard!$B$10,IF(Dashboard!$B$9="≤ Maksimum",AC76&lt;=Dashboard!$B$8,AC76&gt;=Dashboard!$B$8)),1,0)</f>
        <v>0</v>
      </c>
      <c r="AE76" s="20" t="str">
        <f>IF(AD76=1,COUNTIFS($AD$2:$AD$351,1,$AC$2:$AC$351,"&gt;"&amp;AC76)+COUNTIFS($AD$2:AD76,1,$AC$2:AC76,AC76),"")</f>
        <v/>
      </c>
      <c r="AF76" s="20">
        <f>IF(OR(Dashboard!$B$6="Semua",ISNUMBER(SEARCH(Dashboard!$B$6,D76))),1,0)</f>
        <v>1</v>
      </c>
      <c r="AG76" s="18">
        <f t="shared" si="20"/>
        <v>1.63</v>
      </c>
      <c r="AH76" s="18">
        <f t="shared" si="21"/>
        <v>1.6299999952316284</v>
      </c>
      <c r="AI76" s="18">
        <f t="shared" si="22"/>
        <v>0</v>
      </c>
      <c r="AJ76" s="18">
        <f t="shared" si="23"/>
        <v>0</v>
      </c>
      <c r="AK76" s="20">
        <f>IF(OR(Ruas_Per_Kecamatan!$B$4="Semua",ISNUMBER(SEARCH(Ruas_Per_Kecamatan!$B$4,D76))),1,0)</f>
        <v>1</v>
      </c>
      <c r="AL76" s="20">
        <f>IF(AK76=1,COUNTIF($AK$2:AK76,1),"")</f>
        <v>75</v>
      </c>
      <c r="AM76" s="18">
        <f t="shared" si="24"/>
        <v>1.63</v>
      </c>
      <c r="AN76" s="18">
        <f t="shared" si="25"/>
        <v>1.6299999952316284</v>
      </c>
      <c r="AO76" s="18">
        <f t="shared" si="26"/>
        <v>0</v>
      </c>
      <c r="AP76" s="18">
        <f t="shared" si="27"/>
        <v>0</v>
      </c>
    </row>
    <row r="77" spans="1:42" x14ac:dyDescent="0.25">
      <c r="A77" s="17">
        <v>76</v>
      </c>
      <c r="B77" s="17" t="s">
        <v>521</v>
      </c>
      <c r="C77" s="21" t="s">
        <v>107</v>
      </c>
      <c r="D77" s="17" t="s">
        <v>108</v>
      </c>
      <c r="E77" s="18">
        <v>1.92</v>
      </c>
      <c r="F77" s="18">
        <v>3</v>
      </c>
      <c r="G77" s="18">
        <v>0</v>
      </c>
      <c r="H77" s="18"/>
      <c r="I77" s="18">
        <v>2025</v>
      </c>
      <c r="J77" s="18">
        <v>1.9199999570846558</v>
      </c>
      <c r="K77" s="18">
        <v>0</v>
      </c>
      <c r="L77" s="18">
        <v>0</v>
      </c>
      <c r="M77" s="18">
        <v>0</v>
      </c>
      <c r="N77" s="18">
        <v>0</v>
      </c>
      <c r="O77" s="18">
        <v>0.11999999731779099</v>
      </c>
      <c r="P77" s="19">
        <v>6.2499998603016138E-2</v>
      </c>
      <c r="Q77" s="18">
        <v>1.7999999523162842</v>
      </c>
      <c r="R77" s="19">
        <v>0.93749997516473138</v>
      </c>
      <c r="S77" s="18">
        <v>0</v>
      </c>
      <c r="T77" s="19">
        <v>0</v>
      </c>
      <c r="U77" s="18">
        <v>0</v>
      </c>
      <c r="V77" s="19">
        <v>0</v>
      </c>
      <c r="W77">
        <f t="shared" si="14"/>
        <v>1.9199999496340752</v>
      </c>
      <c r="X77" s="19">
        <f t="shared" si="15"/>
        <v>0.99999997376774752</v>
      </c>
      <c r="Y77">
        <f t="shared" si="16"/>
        <v>0</v>
      </c>
      <c r="Z77" s="19">
        <f t="shared" si="17"/>
        <v>0</v>
      </c>
      <c r="AA77" s="19">
        <f t="shared" si="18"/>
        <v>0.23437499379118285</v>
      </c>
      <c r="AB77" t="str">
        <f t="shared" si="19"/>
        <v>Relatif Mantap</v>
      </c>
      <c r="AC77" s="19">
        <f>IF(Dashboard!$B$7="Mantap (%)",X77,IF(Dashboard!$B$7="Tidak Mantap (%)",Z77,IF(Dashboard!$B$7="Baik (%)",P77,IF(Dashboard!$B$7="Sedang (%)",R77,IF(Dashboard!$B$7="Rusak Ringan (%)",T77,IF(Dashboard!$B$7="Rusak Berat (%)",V77,AA77))))))</f>
        <v>0</v>
      </c>
      <c r="AD77" s="20">
        <f>IF(AND(AF77=1,E77&gt;=Dashboard!$B$10,IF(Dashboard!$B$9="≤ Maksimum",AC77&lt;=Dashboard!$B$8,AC77&gt;=Dashboard!$B$8)),1,0)</f>
        <v>0</v>
      </c>
      <c r="AE77" s="20" t="str">
        <f>IF(AD77=1,COUNTIFS($AD$2:$AD$351,1,$AC$2:$AC$351,"&gt;"&amp;AC77)+COUNTIFS($AD$2:AD77,1,$AC$2:AC77,AC77),"")</f>
        <v/>
      </c>
      <c r="AF77" s="20">
        <f>IF(OR(Dashboard!$B$6="Semua",ISNUMBER(SEARCH(Dashboard!$B$6,D77))),1,0)</f>
        <v>1</v>
      </c>
      <c r="AG77" s="18">
        <f t="shared" si="20"/>
        <v>1.92</v>
      </c>
      <c r="AH77" s="18">
        <f t="shared" si="21"/>
        <v>1.9199999496340752</v>
      </c>
      <c r="AI77" s="18">
        <f t="shared" si="22"/>
        <v>0</v>
      </c>
      <c r="AJ77" s="18">
        <f t="shared" si="23"/>
        <v>0</v>
      </c>
      <c r="AK77" s="20">
        <f>IF(OR(Ruas_Per_Kecamatan!$B$4="Semua",ISNUMBER(SEARCH(Ruas_Per_Kecamatan!$B$4,D77))),1,0)</f>
        <v>1</v>
      </c>
      <c r="AL77" s="20">
        <f>IF(AK77=1,COUNTIF($AK$2:AK77,1),"")</f>
        <v>76</v>
      </c>
      <c r="AM77" s="18">
        <f t="shared" si="24"/>
        <v>1.92</v>
      </c>
      <c r="AN77" s="18">
        <f t="shared" si="25"/>
        <v>1.9199999496340752</v>
      </c>
      <c r="AO77" s="18">
        <f t="shared" si="26"/>
        <v>0</v>
      </c>
      <c r="AP77" s="18">
        <f t="shared" si="27"/>
        <v>0</v>
      </c>
    </row>
    <row r="78" spans="1:42" x14ac:dyDescent="0.25">
      <c r="A78" s="17">
        <v>77</v>
      </c>
      <c r="B78" s="17" t="s">
        <v>522</v>
      </c>
      <c r="C78" s="21" t="s">
        <v>109</v>
      </c>
      <c r="D78" s="17" t="s">
        <v>29</v>
      </c>
      <c r="E78" s="18">
        <v>2.82</v>
      </c>
      <c r="F78" s="18">
        <v>3</v>
      </c>
      <c r="G78" s="18">
        <v>0</v>
      </c>
      <c r="H78" s="18"/>
      <c r="I78" s="18">
        <v>2025</v>
      </c>
      <c r="J78" s="18">
        <v>0.80000001192092896</v>
      </c>
      <c r="K78" s="18">
        <v>0</v>
      </c>
      <c r="L78" s="18">
        <v>0</v>
      </c>
      <c r="M78" s="18">
        <v>2.0199999809265137</v>
      </c>
      <c r="N78" s="18">
        <v>0</v>
      </c>
      <c r="O78" s="18">
        <v>0.10000000149011612</v>
      </c>
      <c r="P78" s="19">
        <v>3.546099343621139E-2</v>
      </c>
      <c r="Q78" s="18">
        <v>0.10000000149011612</v>
      </c>
      <c r="R78" s="19">
        <v>3.546099343621139E-2</v>
      </c>
      <c r="S78" s="18">
        <v>0.5</v>
      </c>
      <c r="T78" s="19">
        <v>0.1773049645390071</v>
      </c>
      <c r="U78" s="18">
        <v>2.1199999824166298</v>
      </c>
      <c r="V78" s="19">
        <v>0.7517730434101525</v>
      </c>
      <c r="W78">
        <f t="shared" si="14"/>
        <v>0.20000000298023224</v>
      </c>
      <c r="X78" s="19">
        <f t="shared" si="15"/>
        <v>7.0921986872422779E-2</v>
      </c>
      <c r="Y78">
        <f t="shared" si="16"/>
        <v>2.6199999824166298</v>
      </c>
      <c r="Z78" s="19">
        <f t="shared" si="17"/>
        <v>0.92907800794915951</v>
      </c>
      <c r="AA78" s="19">
        <f t="shared" si="18"/>
        <v>0.86702127049260957</v>
      </c>
      <c r="AB78" t="str">
        <f t="shared" si="19"/>
        <v>Rusak Berat Dominan</v>
      </c>
      <c r="AC78" s="19">
        <f>IF(Dashboard!$B$7="Mantap (%)",X78,IF(Dashboard!$B$7="Tidak Mantap (%)",Z78,IF(Dashboard!$B$7="Baik (%)",P78,IF(Dashboard!$B$7="Sedang (%)",R78,IF(Dashboard!$B$7="Rusak Ringan (%)",T78,IF(Dashboard!$B$7="Rusak Berat (%)",V78,AA78))))))</f>
        <v>0.92907800794915951</v>
      </c>
      <c r="AD78" s="20">
        <f>IF(AND(AF78=1,E78&gt;=Dashboard!$B$10,IF(Dashboard!$B$9="≤ Maksimum",AC78&lt;=Dashboard!$B$8,AC78&gt;=Dashboard!$B$8)),1,0)</f>
        <v>1</v>
      </c>
      <c r="AE78" s="20">
        <f>IF(AD78=1,COUNTIFS($AD$2:$AD$351,1,$AC$2:$AC$351,"&gt;"&amp;AC78)+COUNTIFS($AD$2:AD78,1,$AC$2:AC78,AC78),"")</f>
        <v>56</v>
      </c>
      <c r="AF78" s="20">
        <f>IF(OR(Dashboard!$B$6="Semua",ISNUMBER(SEARCH(Dashboard!$B$6,D78))),1,0)</f>
        <v>1</v>
      </c>
      <c r="AG78" s="18">
        <f t="shared" si="20"/>
        <v>2.82</v>
      </c>
      <c r="AH78" s="18">
        <f t="shared" si="21"/>
        <v>0.20000000298023224</v>
      </c>
      <c r="AI78" s="18">
        <f t="shared" si="22"/>
        <v>2.6199999824166298</v>
      </c>
      <c r="AJ78" s="18">
        <f t="shared" si="23"/>
        <v>2.1199999824166298</v>
      </c>
      <c r="AK78" s="20">
        <f>IF(OR(Ruas_Per_Kecamatan!$B$4="Semua",ISNUMBER(SEARCH(Ruas_Per_Kecamatan!$B$4,D78))),1,0)</f>
        <v>1</v>
      </c>
      <c r="AL78" s="20">
        <f>IF(AK78=1,COUNTIF($AK$2:AK78,1),"")</f>
        <v>77</v>
      </c>
      <c r="AM78" s="18">
        <f t="shared" si="24"/>
        <v>2.82</v>
      </c>
      <c r="AN78" s="18">
        <f t="shared" si="25"/>
        <v>0.20000000298023224</v>
      </c>
      <c r="AO78" s="18">
        <f t="shared" si="26"/>
        <v>2.6199999824166298</v>
      </c>
      <c r="AP78" s="18">
        <f t="shared" si="27"/>
        <v>2.1199999824166298</v>
      </c>
    </row>
    <row r="79" spans="1:42" ht="30" x14ac:dyDescent="0.25">
      <c r="A79" s="17">
        <v>78</v>
      </c>
      <c r="B79" s="17" t="s">
        <v>523</v>
      </c>
      <c r="C79" s="21" t="s">
        <v>110</v>
      </c>
      <c r="D79" s="17" t="s">
        <v>29</v>
      </c>
      <c r="E79" s="18">
        <v>1</v>
      </c>
      <c r="F79" s="18">
        <v>3</v>
      </c>
      <c r="G79" s="18">
        <v>0</v>
      </c>
      <c r="H79" s="18"/>
      <c r="I79" s="18">
        <v>2025</v>
      </c>
      <c r="J79" s="18">
        <v>1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9">
        <v>0</v>
      </c>
      <c r="Q79" s="18">
        <v>0.40000000596046448</v>
      </c>
      <c r="R79" s="19">
        <v>0.40000000596046448</v>
      </c>
      <c r="S79" s="18">
        <v>0.60000002384185791</v>
      </c>
      <c r="T79" s="19">
        <v>0.60000002384185791</v>
      </c>
      <c r="U79" s="18">
        <v>0</v>
      </c>
      <c r="V79" s="19">
        <v>0</v>
      </c>
      <c r="W79">
        <f t="shared" si="14"/>
        <v>0.40000000596046448</v>
      </c>
      <c r="X79" s="19">
        <f t="shared" si="15"/>
        <v>0.40000000596046448</v>
      </c>
      <c r="Y79">
        <f t="shared" si="16"/>
        <v>0.60000002384185791</v>
      </c>
      <c r="Z79" s="19">
        <f t="shared" si="17"/>
        <v>0.60000002384185791</v>
      </c>
      <c r="AA79" s="19">
        <f t="shared" si="18"/>
        <v>0.46000001579523087</v>
      </c>
      <c r="AB79" t="str">
        <f t="shared" si="19"/>
        <v>Tidak Mantap Tinggi</v>
      </c>
      <c r="AC79" s="19">
        <f>IF(Dashboard!$B$7="Mantap (%)",X79,IF(Dashboard!$B$7="Tidak Mantap (%)",Z79,IF(Dashboard!$B$7="Baik (%)",P79,IF(Dashboard!$B$7="Sedang (%)",R79,IF(Dashboard!$B$7="Rusak Ringan (%)",T79,IF(Dashboard!$B$7="Rusak Berat (%)",V79,AA79))))))</f>
        <v>0.60000002384185791</v>
      </c>
      <c r="AD79" s="20">
        <f>IF(AND(AF79=1,E79&gt;=Dashboard!$B$10,IF(Dashboard!$B$9="≤ Maksimum",AC79&lt;=Dashboard!$B$8,AC79&gt;=Dashboard!$B$8)),1,0)</f>
        <v>1</v>
      </c>
      <c r="AE79" s="20">
        <f>IF(AD79=1,COUNTIFS($AD$2:$AD$351,1,$AC$2:$AC$351,"&gt;"&amp;AC79)+COUNTIFS($AD$2:AD79,1,$AC$2:AC79,AC79),"")</f>
        <v>107</v>
      </c>
      <c r="AF79" s="20">
        <f>IF(OR(Dashboard!$B$6="Semua",ISNUMBER(SEARCH(Dashboard!$B$6,D79))),1,0)</f>
        <v>1</v>
      </c>
      <c r="AG79" s="18">
        <f t="shared" si="20"/>
        <v>1</v>
      </c>
      <c r="AH79" s="18">
        <f t="shared" si="21"/>
        <v>0.40000000596046448</v>
      </c>
      <c r="AI79" s="18">
        <f t="shared" si="22"/>
        <v>0.60000002384185791</v>
      </c>
      <c r="AJ79" s="18">
        <f t="shared" si="23"/>
        <v>0</v>
      </c>
      <c r="AK79" s="20">
        <f>IF(OR(Ruas_Per_Kecamatan!$B$4="Semua",ISNUMBER(SEARCH(Ruas_Per_Kecamatan!$B$4,D79))),1,0)</f>
        <v>1</v>
      </c>
      <c r="AL79" s="20">
        <f>IF(AK79=1,COUNTIF($AK$2:AK79,1),"")</f>
        <v>78</v>
      </c>
      <c r="AM79" s="18">
        <f t="shared" si="24"/>
        <v>1</v>
      </c>
      <c r="AN79" s="18">
        <f t="shared" si="25"/>
        <v>0.40000000596046448</v>
      </c>
      <c r="AO79" s="18">
        <f t="shared" si="26"/>
        <v>0.60000002384185791</v>
      </c>
      <c r="AP79" s="18">
        <f t="shared" si="27"/>
        <v>0</v>
      </c>
    </row>
    <row r="80" spans="1:42" x14ac:dyDescent="0.25">
      <c r="A80" s="17">
        <v>79</v>
      </c>
      <c r="B80" s="17" t="s">
        <v>524</v>
      </c>
      <c r="C80" s="21" t="s">
        <v>111</v>
      </c>
      <c r="D80" s="17" t="s">
        <v>29</v>
      </c>
      <c r="E80" s="18">
        <v>0.64</v>
      </c>
      <c r="F80" s="18">
        <v>3</v>
      </c>
      <c r="G80" s="18">
        <v>0</v>
      </c>
      <c r="H80" s="18"/>
      <c r="I80" s="18">
        <v>2025</v>
      </c>
      <c r="J80" s="18">
        <v>0.63999998569488525</v>
      </c>
      <c r="K80" s="18">
        <v>0</v>
      </c>
      <c r="L80" s="18">
        <v>0</v>
      </c>
      <c r="M80" s="18">
        <v>0</v>
      </c>
      <c r="N80" s="18">
        <v>0</v>
      </c>
      <c r="O80" s="18">
        <v>0.63999998569488525</v>
      </c>
      <c r="P80" s="19">
        <v>0.99999997764825821</v>
      </c>
      <c r="Q80" s="18">
        <v>0</v>
      </c>
      <c r="R80" s="19">
        <v>0</v>
      </c>
      <c r="S80" s="18">
        <v>0</v>
      </c>
      <c r="T80" s="19">
        <v>0</v>
      </c>
      <c r="U80" s="18">
        <v>0</v>
      </c>
      <c r="V80" s="19">
        <v>0</v>
      </c>
      <c r="W80">
        <f t="shared" si="14"/>
        <v>0.63999998569488525</v>
      </c>
      <c r="X80" s="19">
        <f t="shared" si="15"/>
        <v>0.99999997764825821</v>
      </c>
      <c r="Y80">
        <f t="shared" si="16"/>
        <v>0</v>
      </c>
      <c r="Z80" s="19">
        <f t="shared" si="17"/>
        <v>0</v>
      </c>
      <c r="AA80" s="19">
        <f t="shared" si="18"/>
        <v>0</v>
      </c>
      <c r="AB80" t="str">
        <f t="shared" si="19"/>
        <v>Relatif Mantap</v>
      </c>
      <c r="AC80" s="19">
        <f>IF(Dashboard!$B$7="Mantap (%)",X80,IF(Dashboard!$B$7="Tidak Mantap (%)",Z80,IF(Dashboard!$B$7="Baik (%)",P80,IF(Dashboard!$B$7="Sedang (%)",R80,IF(Dashboard!$B$7="Rusak Ringan (%)",T80,IF(Dashboard!$B$7="Rusak Berat (%)",V80,AA80))))))</f>
        <v>0</v>
      </c>
      <c r="AD80" s="20">
        <f>IF(AND(AF80=1,E80&gt;=Dashboard!$B$10,IF(Dashboard!$B$9="≤ Maksimum",AC80&lt;=Dashboard!$B$8,AC80&gt;=Dashboard!$B$8)),1,0)</f>
        <v>0</v>
      </c>
      <c r="AE80" s="20" t="str">
        <f>IF(AD80=1,COUNTIFS($AD$2:$AD$351,1,$AC$2:$AC$351,"&gt;"&amp;AC80)+COUNTIFS($AD$2:AD80,1,$AC$2:AC80,AC80),"")</f>
        <v/>
      </c>
      <c r="AF80" s="20">
        <f>IF(OR(Dashboard!$B$6="Semua",ISNUMBER(SEARCH(Dashboard!$B$6,D80))),1,0)</f>
        <v>1</v>
      </c>
      <c r="AG80" s="18">
        <f t="shared" si="20"/>
        <v>0.64</v>
      </c>
      <c r="AH80" s="18">
        <f t="shared" si="21"/>
        <v>0.63999998569488525</v>
      </c>
      <c r="AI80" s="18">
        <f t="shared" si="22"/>
        <v>0</v>
      </c>
      <c r="AJ80" s="18">
        <f t="shared" si="23"/>
        <v>0</v>
      </c>
      <c r="AK80" s="20">
        <f>IF(OR(Ruas_Per_Kecamatan!$B$4="Semua",ISNUMBER(SEARCH(Ruas_Per_Kecamatan!$B$4,D80))),1,0)</f>
        <v>1</v>
      </c>
      <c r="AL80" s="20">
        <f>IF(AK80=1,COUNTIF($AK$2:AK80,1),"")</f>
        <v>79</v>
      </c>
      <c r="AM80" s="18">
        <f t="shared" si="24"/>
        <v>0.64</v>
      </c>
      <c r="AN80" s="18">
        <f t="shared" si="25"/>
        <v>0.63999998569488525</v>
      </c>
      <c r="AO80" s="18">
        <f t="shared" si="26"/>
        <v>0</v>
      </c>
      <c r="AP80" s="18">
        <f t="shared" si="27"/>
        <v>0</v>
      </c>
    </row>
    <row r="81" spans="1:42" x14ac:dyDescent="0.25">
      <c r="A81" s="17">
        <v>80</v>
      </c>
      <c r="B81" s="17" t="s">
        <v>525</v>
      </c>
      <c r="C81" s="21" t="s">
        <v>526</v>
      </c>
      <c r="D81" s="17" t="s">
        <v>29</v>
      </c>
      <c r="E81" s="18">
        <v>0.41</v>
      </c>
      <c r="F81" s="18">
        <v>3</v>
      </c>
      <c r="G81" s="18">
        <v>0</v>
      </c>
      <c r="H81" s="18"/>
      <c r="I81" s="18">
        <v>2025</v>
      </c>
      <c r="J81" s="18">
        <v>0.40999999642372131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9">
        <v>0</v>
      </c>
      <c r="Q81" s="18">
        <v>0.40999999642372131</v>
      </c>
      <c r="R81" s="19">
        <v>0.99999999127736916</v>
      </c>
      <c r="S81" s="18">
        <v>0</v>
      </c>
      <c r="T81" s="19">
        <v>0</v>
      </c>
      <c r="U81" s="18">
        <v>0</v>
      </c>
      <c r="V81" s="19">
        <v>0</v>
      </c>
      <c r="W81">
        <f t="shared" si="14"/>
        <v>0.40999999642372131</v>
      </c>
      <c r="X81" s="19">
        <f t="shared" si="15"/>
        <v>0.99999999127736916</v>
      </c>
      <c r="Y81">
        <f t="shared" si="16"/>
        <v>0</v>
      </c>
      <c r="Z81" s="19">
        <f t="shared" si="17"/>
        <v>0</v>
      </c>
      <c r="AA81" s="19">
        <f t="shared" si="18"/>
        <v>0.24999999781934229</v>
      </c>
      <c r="AB81" t="str">
        <f t="shared" si="19"/>
        <v>Relatif Mantap</v>
      </c>
      <c r="AC81" s="19">
        <f>IF(Dashboard!$B$7="Mantap (%)",X81,IF(Dashboard!$B$7="Tidak Mantap (%)",Z81,IF(Dashboard!$B$7="Baik (%)",P81,IF(Dashboard!$B$7="Sedang (%)",R81,IF(Dashboard!$B$7="Rusak Ringan (%)",T81,IF(Dashboard!$B$7="Rusak Berat (%)",V81,AA81))))))</f>
        <v>0</v>
      </c>
      <c r="AD81" s="20">
        <f>IF(AND(AF81=1,E81&gt;=Dashboard!$B$10,IF(Dashboard!$B$9="≤ Maksimum",AC81&lt;=Dashboard!$B$8,AC81&gt;=Dashboard!$B$8)),1,0)</f>
        <v>0</v>
      </c>
      <c r="AE81" s="20" t="str">
        <f>IF(AD81=1,COUNTIFS($AD$2:$AD$351,1,$AC$2:$AC$351,"&gt;"&amp;AC81)+COUNTIFS($AD$2:AD81,1,$AC$2:AC81,AC81),"")</f>
        <v/>
      </c>
      <c r="AF81" s="20">
        <f>IF(OR(Dashboard!$B$6="Semua",ISNUMBER(SEARCH(Dashboard!$B$6,D81))),1,0)</f>
        <v>1</v>
      </c>
      <c r="AG81" s="18">
        <f t="shared" si="20"/>
        <v>0.41</v>
      </c>
      <c r="AH81" s="18">
        <f t="shared" si="21"/>
        <v>0.40999999642372131</v>
      </c>
      <c r="AI81" s="18">
        <f t="shared" si="22"/>
        <v>0</v>
      </c>
      <c r="AJ81" s="18">
        <f t="shared" si="23"/>
        <v>0</v>
      </c>
      <c r="AK81" s="20">
        <f>IF(OR(Ruas_Per_Kecamatan!$B$4="Semua",ISNUMBER(SEARCH(Ruas_Per_Kecamatan!$B$4,D81))),1,0)</f>
        <v>1</v>
      </c>
      <c r="AL81" s="20">
        <f>IF(AK81=1,COUNTIF($AK$2:AK81,1),"")</f>
        <v>80</v>
      </c>
      <c r="AM81" s="18">
        <f t="shared" si="24"/>
        <v>0.41</v>
      </c>
      <c r="AN81" s="18">
        <f t="shared" si="25"/>
        <v>0.40999999642372131</v>
      </c>
      <c r="AO81" s="18">
        <f t="shared" si="26"/>
        <v>0</v>
      </c>
      <c r="AP81" s="18">
        <f t="shared" si="27"/>
        <v>0</v>
      </c>
    </row>
    <row r="82" spans="1:42" x14ac:dyDescent="0.25">
      <c r="A82" s="17">
        <v>81</v>
      </c>
      <c r="B82" s="17" t="s">
        <v>527</v>
      </c>
      <c r="C82" s="21" t="s">
        <v>113</v>
      </c>
      <c r="D82" s="17" t="s">
        <v>29</v>
      </c>
      <c r="E82" s="18">
        <v>0.39</v>
      </c>
      <c r="F82" s="18">
        <v>3</v>
      </c>
      <c r="G82" s="18">
        <v>0</v>
      </c>
      <c r="H82" s="18"/>
      <c r="I82" s="18">
        <v>2025</v>
      </c>
      <c r="J82" s="18">
        <v>0.38999998569488525</v>
      </c>
      <c r="K82" s="18">
        <v>0</v>
      </c>
      <c r="L82" s="18">
        <v>0</v>
      </c>
      <c r="M82" s="18">
        <v>0</v>
      </c>
      <c r="N82" s="18">
        <v>0</v>
      </c>
      <c r="O82" s="18">
        <v>0.10000000149011612</v>
      </c>
      <c r="P82" s="19">
        <v>0.25641026023106694</v>
      </c>
      <c r="Q82" s="18">
        <v>0.28999999165534973</v>
      </c>
      <c r="R82" s="19">
        <v>0.74358972219320441</v>
      </c>
      <c r="S82" s="18">
        <v>0</v>
      </c>
      <c r="T82" s="19">
        <v>0</v>
      </c>
      <c r="U82" s="18">
        <v>0</v>
      </c>
      <c r="V82" s="19">
        <v>0</v>
      </c>
      <c r="W82">
        <f t="shared" si="14"/>
        <v>0.38999999314546585</v>
      </c>
      <c r="X82" s="19">
        <f t="shared" si="15"/>
        <v>0.99999998242427135</v>
      </c>
      <c r="Y82">
        <f t="shared" si="16"/>
        <v>0</v>
      </c>
      <c r="Z82" s="19">
        <f t="shared" si="17"/>
        <v>0</v>
      </c>
      <c r="AA82" s="19">
        <f t="shared" si="18"/>
        <v>0.1858974305483011</v>
      </c>
      <c r="AB82" t="str">
        <f t="shared" si="19"/>
        <v>Relatif Mantap</v>
      </c>
      <c r="AC82" s="19">
        <f>IF(Dashboard!$B$7="Mantap (%)",X82,IF(Dashboard!$B$7="Tidak Mantap (%)",Z82,IF(Dashboard!$B$7="Baik (%)",P82,IF(Dashboard!$B$7="Sedang (%)",R82,IF(Dashboard!$B$7="Rusak Ringan (%)",T82,IF(Dashboard!$B$7="Rusak Berat (%)",V82,AA82))))))</f>
        <v>0</v>
      </c>
      <c r="AD82" s="20">
        <f>IF(AND(AF82=1,E82&gt;=Dashboard!$B$10,IF(Dashboard!$B$9="≤ Maksimum",AC82&lt;=Dashboard!$B$8,AC82&gt;=Dashboard!$B$8)),1,0)</f>
        <v>0</v>
      </c>
      <c r="AE82" s="20" t="str">
        <f>IF(AD82=1,COUNTIFS($AD$2:$AD$351,1,$AC$2:$AC$351,"&gt;"&amp;AC82)+COUNTIFS($AD$2:AD82,1,$AC$2:AC82,AC82),"")</f>
        <v/>
      </c>
      <c r="AF82" s="20">
        <f>IF(OR(Dashboard!$B$6="Semua",ISNUMBER(SEARCH(Dashboard!$B$6,D82))),1,0)</f>
        <v>1</v>
      </c>
      <c r="AG82" s="18">
        <f t="shared" si="20"/>
        <v>0.39</v>
      </c>
      <c r="AH82" s="18">
        <f t="shared" si="21"/>
        <v>0.38999999314546585</v>
      </c>
      <c r="AI82" s="18">
        <f t="shared" si="22"/>
        <v>0</v>
      </c>
      <c r="AJ82" s="18">
        <f t="shared" si="23"/>
        <v>0</v>
      </c>
      <c r="AK82" s="20">
        <f>IF(OR(Ruas_Per_Kecamatan!$B$4="Semua",ISNUMBER(SEARCH(Ruas_Per_Kecamatan!$B$4,D82))),1,0)</f>
        <v>1</v>
      </c>
      <c r="AL82" s="20">
        <f>IF(AK82=1,COUNTIF($AK$2:AK82,1),"")</f>
        <v>81</v>
      </c>
      <c r="AM82" s="18">
        <f t="shared" si="24"/>
        <v>0.39</v>
      </c>
      <c r="AN82" s="18">
        <f t="shared" si="25"/>
        <v>0.38999999314546585</v>
      </c>
      <c r="AO82" s="18">
        <f t="shared" si="26"/>
        <v>0</v>
      </c>
      <c r="AP82" s="18">
        <f t="shared" si="27"/>
        <v>0</v>
      </c>
    </row>
    <row r="83" spans="1:42" ht="30" x14ac:dyDescent="0.25">
      <c r="A83" s="17">
        <v>82</v>
      </c>
      <c r="B83" s="17" t="s">
        <v>528</v>
      </c>
      <c r="C83" s="21" t="s">
        <v>529</v>
      </c>
      <c r="D83" s="17" t="s">
        <v>29</v>
      </c>
      <c r="E83" s="18">
        <v>1.82</v>
      </c>
      <c r="F83" s="18">
        <v>3</v>
      </c>
      <c r="G83" s="18">
        <v>0</v>
      </c>
      <c r="H83" s="18"/>
      <c r="I83" s="18">
        <v>2025</v>
      </c>
      <c r="J83" s="18">
        <v>1.8200000524520874</v>
      </c>
      <c r="K83" s="18">
        <v>0</v>
      </c>
      <c r="L83" s="18">
        <v>0</v>
      </c>
      <c r="M83" s="18">
        <v>0</v>
      </c>
      <c r="N83" s="18">
        <v>0</v>
      </c>
      <c r="O83" s="18">
        <v>0.5</v>
      </c>
      <c r="P83" s="19">
        <v>0.27472527472527469</v>
      </c>
      <c r="Q83" s="18">
        <v>0.30000001192092896</v>
      </c>
      <c r="R83" s="19">
        <v>0.16483517138512579</v>
      </c>
      <c r="S83" s="18">
        <v>0.62000000476837158</v>
      </c>
      <c r="T83" s="19">
        <v>0.34065934327932501</v>
      </c>
      <c r="U83" s="18">
        <v>0.40000000596046448</v>
      </c>
      <c r="V83" s="19">
        <v>0.21978022305520026</v>
      </c>
      <c r="W83">
        <f t="shared" si="14"/>
        <v>0.80000001192092896</v>
      </c>
      <c r="X83" s="19">
        <f t="shared" si="15"/>
        <v>0.43956044611040052</v>
      </c>
      <c r="Y83">
        <f t="shared" si="16"/>
        <v>1.0200000107288361</v>
      </c>
      <c r="Z83" s="19">
        <f t="shared" si="17"/>
        <v>0.5604395663345253</v>
      </c>
      <c r="AA83" s="19">
        <f t="shared" si="18"/>
        <v>0.4653846218690767</v>
      </c>
      <c r="AB83" t="str">
        <f t="shared" si="19"/>
        <v>Rusak Berat Dominan</v>
      </c>
      <c r="AC83" s="19">
        <f>IF(Dashboard!$B$7="Mantap (%)",X83,IF(Dashboard!$B$7="Tidak Mantap (%)",Z83,IF(Dashboard!$B$7="Baik (%)",P83,IF(Dashboard!$B$7="Sedang (%)",R83,IF(Dashboard!$B$7="Rusak Ringan (%)",T83,IF(Dashboard!$B$7="Rusak Berat (%)",V83,AA83))))))</f>
        <v>0.5604395663345253</v>
      </c>
      <c r="AD83" s="20">
        <f>IF(AND(AF83=1,E83&gt;=Dashboard!$B$10,IF(Dashboard!$B$9="≤ Maksimum",AC83&lt;=Dashboard!$B$8,AC83&gt;=Dashboard!$B$8)),1,0)</f>
        <v>1</v>
      </c>
      <c r="AE83" s="20">
        <f>IF(AD83=1,COUNTIFS($AD$2:$AD$351,1,$AC$2:$AC$351,"&gt;"&amp;AC83)+COUNTIFS($AD$2:AD83,1,$AC$2:AC83,AC83),"")</f>
        <v>113</v>
      </c>
      <c r="AF83" s="20">
        <f>IF(OR(Dashboard!$B$6="Semua",ISNUMBER(SEARCH(Dashboard!$B$6,D83))),1,0)</f>
        <v>1</v>
      </c>
      <c r="AG83" s="18">
        <f t="shared" si="20"/>
        <v>1.82</v>
      </c>
      <c r="AH83" s="18">
        <f t="shared" si="21"/>
        <v>0.80000001192092896</v>
      </c>
      <c r="AI83" s="18">
        <f t="shared" si="22"/>
        <v>1.0200000107288361</v>
      </c>
      <c r="AJ83" s="18">
        <f t="shared" si="23"/>
        <v>0.40000000596046448</v>
      </c>
      <c r="AK83" s="20">
        <f>IF(OR(Ruas_Per_Kecamatan!$B$4="Semua",ISNUMBER(SEARCH(Ruas_Per_Kecamatan!$B$4,D83))),1,0)</f>
        <v>1</v>
      </c>
      <c r="AL83" s="20">
        <f>IF(AK83=1,COUNTIF($AK$2:AK83,1),"")</f>
        <v>82</v>
      </c>
      <c r="AM83" s="18">
        <f t="shared" si="24"/>
        <v>1.82</v>
      </c>
      <c r="AN83" s="18">
        <f t="shared" si="25"/>
        <v>0.80000001192092896</v>
      </c>
      <c r="AO83" s="18">
        <f t="shared" si="26"/>
        <v>1.0200000107288361</v>
      </c>
      <c r="AP83" s="18">
        <f t="shared" si="27"/>
        <v>0.40000000596046448</v>
      </c>
    </row>
    <row r="84" spans="1:42" x14ac:dyDescent="0.25">
      <c r="A84" s="17">
        <v>83</v>
      </c>
      <c r="B84" s="17" t="s">
        <v>530</v>
      </c>
      <c r="C84" s="21" t="s">
        <v>115</v>
      </c>
      <c r="D84" s="17" t="s">
        <v>29</v>
      </c>
      <c r="E84" s="18">
        <v>1.28</v>
      </c>
      <c r="F84" s="18">
        <v>3</v>
      </c>
      <c r="G84" s="18">
        <v>0</v>
      </c>
      <c r="H84" s="18"/>
      <c r="I84" s="18">
        <v>2025</v>
      </c>
      <c r="J84" s="18">
        <v>0</v>
      </c>
      <c r="K84" s="18">
        <v>0</v>
      </c>
      <c r="L84" s="18">
        <v>0.87999999523162842</v>
      </c>
      <c r="M84" s="18">
        <v>0.40000000596046448</v>
      </c>
      <c r="N84" s="18">
        <v>0</v>
      </c>
      <c r="O84" s="18">
        <v>0.40000000596046448</v>
      </c>
      <c r="P84" s="19">
        <v>0.31250000465661287</v>
      </c>
      <c r="Q84" s="18">
        <v>0</v>
      </c>
      <c r="R84" s="19">
        <v>0</v>
      </c>
      <c r="S84" s="18">
        <v>0</v>
      </c>
      <c r="T84" s="19">
        <v>0</v>
      </c>
      <c r="U84" s="18">
        <v>0.87999999523162842</v>
      </c>
      <c r="V84" s="19">
        <v>0.6874999962747097</v>
      </c>
      <c r="W84">
        <f t="shared" si="14"/>
        <v>0.40000000596046448</v>
      </c>
      <c r="X84" s="19">
        <f t="shared" si="15"/>
        <v>0.31250000465661287</v>
      </c>
      <c r="Y84">
        <f t="shared" si="16"/>
        <v>0.87999999523162842</v>
      </c>
      <c r="Z84" s="19">
        <f t="shared" si="17"/>
        <v>0.6874999962747097</v>
      </c>
      <c r="AA84" s="19">
        <f t="shared" si="18"/>
        <v>0.6874999962747097</v>
      </c>
      <c r="AB84" t="str">
        <f t="shared" si="19"/>
        <v>Rusak Berat Dominan</v>
      </c>
      <c r="AC84" s="19">
        <f>IF(Dashboard!$B$7="Mantap (%)",X84,IF(Dashboard!$B$7="Tidak Mantap (%)",Z84,IF(Dashboard!$B$7="Baik (%)",P84,IF(Dashboard!$B$7="Sedang (%)",R84,IF(Dashboard!$B$7="Rusak Ringan (%)",T84,IF(Dashboard!$B$7="Rusak Berat (%)",V84,AA84))))))</f>
        <v>0.6874999962747097</v>
      </c>
      <c r="AD84" s="20">
        <f>IF(AND(AF84=1,E84&gt;=Dashboard!$B$10,IF(Dashboard!$B$9="≤ Maksimum",AC84&lt;=Dashboard!$B$8,AC84&gt;=Dashboard!$B$8)),1,0)</f>
        <v>1</v>
      </c>
      <c r="AE84" s="20">
        <f>IF(AD84=1,COUNTIFS($AD$2:$AD$351,1,$AC$2:$AC$351,"&gt;"&amp;AC84)+COUNTIFS($AD$2:AD84,1,$AC$2:AC84,AC84),"")</f>
        <v>91</v>
      </c>
      <c r="AF84" s="20">
        <f>IF(OR(Dashboard!$B$6="Semua",ISNUMBER(SEARCH(Dashboard!$B$6,D84))),1,0)</f>
        <v>1</v>
      </c>
      <c r="AG84" s="18">
        <f t="shared" si="20"/>
        <v>1.28</v>
      </c>
      <c r="AH84" s="18">
        <f t="shared" si="21"/>
        <v>0.40000000596046448</v>
      </c>
      <c r="AI84" s="18">
        <f t="shared" si="22"/>
        <v>0.87999999523162842</v>
      </c>
      <c r="AJ84" s="18">
        <f t="shared" si="23"/>
        <v>0.87999999523162842</v>
      </c>
      <c r="AK84" s="20">
        <f>IF(OR(Ruas_Per_Kecamatan!$B$4="Semua",ISNUMBER(SEARCH(Ruas_Per_Kecamatan!$B$4,D84))),1,0)</f>
        <v>1</v>
      </c>
      <c r="AL84" s="20">
        <f>IF(AK84=1,COUNTIF($AK$2:AK84,1),"")</f>
        <v>83</v>
      </c>
      <c r="AM84" s="18">
        <f t="shared" si="24"/>
        <v>1.28</v>
      </c>
      <c r="AN84" s="18">
        <f t="shared" si="25"/>
        <v>0.40000000596046448</v>
      </c>
      <c r="AO84" s="18">
        <f t="shared" si="26"/>
        <v>0.87999999523162842</v>
      </c>
      <c r="AP84" s="18">
        <f t="shared" si="27"/>
        <v>0.87999999523162842</v>
      </c>
    </row>
    <row r="85" spans="1:42" x14ac:dyDescent="0.25">
      <c r="A85" s="17">
        <v>84</v>
      </c>
      <c r="B85" s="17" t="s">
        <v>531</v>
      </c>
      <c r="C85" s="21" t="s">
        <v>116</v>
      </c>
      <c r="D85" s="17" t="s">
        <v>532</v>
      </c>
      <c r="E85" s="18">
        <v>0.1</v>
      </c>
      <c r="F85" s="18">
        <v>10</v>
      </c>
      <c r="G85" s="18">
        <v>0</v>
      </c>
      <c r="H85" s="18"/>
      <c r="I85" s="18">
        <v>2025</v>
      </c>
      <c r="J85" s="18">
        <v>0.10000000149011612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9">
        <v>0</v>
      </c>
      <c r="Q85" s="18">
        <v>0.10000000149011612</v>
      </c>
      <c r="R85" s="19">
        <v>1.0000000149011612</v>
      </c>
      <c r="S85" s="18">
        <v>0</v>
      </c>
      <c r="T85" s="19">
        <v>0</v>
      </c>
      <c r="U85" s="18">
        <v>0</v>
      </c>
      <c r="V85" s="19">
        <v>0</v>
      </c>
      <c r="W85">
        <f t="shared" si="14"/>
        <v>0.10000000149011612</v>
      </c>
      <c r="X85" s="19">
        <f t="shared" si="15"/>
        <v>1.0000000149011612</v>
      </c>
      <c r="Y85">
        <f t="shared" si="16"/>
        <v>0</v>
      </c>
      <c r="Z85" s="19">
        <f t="shared" si="17"/>
        <v>0</v>
      </c>
      <c r="AA85" s="19">
        <f t="shared" si="18"/>
        <v>0.2500000037252903</v>
      </c>
      <c r="AB85" t="str">
        <f t="shared" si="19"/>
        <v>Relatif Mantap</v>
      </c>
      <c r="AC85" s="19">
        <f>IF(Dashboard!$B$7="Mantap (%)",X85,IF(Dashboard!$B$7="Tidak Mantap (%)",Z85,IF(Dashboard!$B$7="Baik (%)",P85,IF(Dashboard!$B$7="Sedang (%)",R85,IF(Dashboard!$B$7="Rusak Ringan (%)",T85,IF(Dashboard!$B$7="Rusak Berat (%)",V85,AA85))))))</f>
        <v>0</v>
      </c>
      <c r="AD85" s="20">
        <f>IF(AND(AF85=1,E85&gt;=Dashboard!$B$10,IF(Dashboard!$B$9="≤ Maksimum",AC85&lt;=Dashboard!$B$8,AC85&gt;=Dashboard!$B$8)),1,0)</f>
        <v>0</v>
      </c>
      <c r="AE85" s="20" t="str">
        <f>IF(AD85=1,COUNTIFS($AD$2:$AD$351,1,$AC$2:$AC$351,"&gt;"&amp;AC85)+COUNTIFS($AD$2:AD85,1,$AC$2:AC85,AC85),"")</f>
        <v/>
      </c>
      <c r="AF85" s="20">
        <f>IF(OR(Dashboard!$B$6="Semua",ISNUMBER(SEARCH(Dashboard!$B$6,D85))),1,0)</f>
        <v>1</v>
      </c>
      <c r="AG85" s="18">
        <f t="shared" si="20"/>
        <v>0.1</v>
      </c>
      <c r="AH85" s="18">
        <f t="shared" si="21"/>
        <v>0.10000000149011612</v>
      </c>
      <c r="AI85" s="18">
        <f t="shared" si="22"/>
        <v>0</v>
      </c>
      <c r="AJ85" s="18">
        <f t="shared" si="23"/>
        <v>0</v>
      </c>
      <c r="AK85" s="20">
        <f>IF(OR(Ruas_Per_Kecamatan!$B$4="Semua",ISNUMBER(SEARCH(Ruas_Per_Kecamatan!$B$4,D85))),1,0)</f>
        <v>1</v>
      </c>
      <c r="AL85" s="20">
        <f>IF(AK85=1,COUNTIF($AK$2:AK85,1),"")</f>
        <v>84</v>
      </c>
      <c r="AM85" s="18">
        <f t="shared" si="24"/>
        <v>0.1</v>
      </c>
      <c r="AN85" s="18">
        <f t="shared" si="25"/>
        <v>0.10000000149011612</v>
      </c>
      <c r="AO85" s="18">
        <f t="shared" si="26"/>
        <v>0</v>
      </c>
      <c r="AP85" s="18">
        <f t="shared" si="27"/>
        <v>0</v>
      </c>
    </row>
    <row r="86" spans="1:42" x14ac:dyDescent="0.25">
      <c r="A86" s="17">
        <v>85</v>
      </c>
      <c r="B86" s="17" t="s">
        <v>533</v>
      </c>
      <c r="C86" s="21" t="s">
        <v>118</v>
      </c>
      <c r="D86" s="17" t="s">
        <v>532</v>
      </c>
      <c r="E86" s="18">
        <v>4.97</v>
      </c>
      <c r="F86" s="18">
        <v>3.5</v>
      </c>
      <c r="G86" s="18">
        <v>0</v>
      </c>
      <c r="H86" s="18"/>
      <c r="I86" s="18">
        <v>2025</v>
      </c>
      <c r="J86" s="18">
        <v>4.9699997901916504</v>
      </c>
      <c r="K86" s="18">
        <v>0</v>
      </c>
      <c r="L86" s="18">
        <v>0</v>
      </c>
      <c r="M86" s="18">
        <v>0</v>
      </c>
      <c r="N86" s="18">
        <v>0</v>
      </c>
      <c r="O86" s="18">
        <v>4.4699997901916504</v>
      </c>
      <c r="P86" s="19">
        <v>0.89939633605465807</v>
      </c>
      <c r="Q86" s="18">
        <v>0.5</v>
      </c>
      <c r="R86" s="19">
        <v>0.1006036217303823</v>
      </c>
      <c r="S86" s="18">
        <v>0</v>
      </c>
      <c r="T86" s="19">
        <v>0</v>
      </c>
      <c r="U86" s="18">
        <v>0</v>
      </c>
      <c r="V86" s="19">
        <v>0</v>
      </c>
      <c r="W86">
        <f t="shared" si="14"/>
        <v>4.9699997901916504</v>
      </c>
      <c r="X86" s="19">
        <f t="shared" si="15"/>
        <v>0.99999995778504036</v>
      </c>
      <c r="Y86">
        <f t="shared" si="16"/>
        <v>0</v>
      </c>
      <c r="Z86" s="19">
        <f t="shared" si="17"/>
        <v>0</v>
      </c>
      <c r="AA86" s="19">
        <f t="shared" si="18"/>
        <v>2.5150905432595575E-2</v>
      </c>
      <c r="AB86" t="str">
        <f t="shared" si="19"/>
        <v>Relatif Mantap</v>
      </c>
      <c r="AC86" s="19">
        <f>IF(Dashboard!$B$7="Mantap (%)",X86,IF(Dashboard!$B$7="Tidak Mantap (%)",Z86,IF(Dashboard!$B$7="Baik (%)",P86,IF(Dashboard!$B$7="Sedang (%)",R86,IF(Dashboard!$B$7="Rusak Ringan (%)",T86,IF(Dashboard!$B$7="Rusak Berat (%)",V86,AA86))))))</f>
        <v>0</v>
      </c>
      <c r="AD86" s="20">
        <f>IF(AND(AF86=1,E86&gt;=Dashboard!$B$10,IF(Dashboard!$B$9="≤ Maksimum",AC86&lt;=Dashboard!$B$8,AC86&gt;=Dashboard!$B$8)),1,0)</f>
        <v>0</v>
      </c>
      <c r="AE86" s="20" t="str">
        <f>IF(AD86=1,COUNTIFS($AD$2:$AD$351,1,$AC$2:$AC$351,"&gt;"&amp;AC86)+COUNTIFS($AD$2:AD86,1,$AC$2:AC86,AC86),"")</f>
        <v/>
      </c>
      <c r="AF86" s="20">
        <f>IF(OR(Dashboard!$B$6="Semua",ISNUMBER(SEARCH(Dashboard!$B$6,D86))),1,0)</f>
        <v>1</v>
      </c>
      <c r="AG86" s="18">
        <f t="shared" si="20"/>
        <v>4.97</v>
      </c>
      <c r="AH86" s="18">
        <f t="shared" si="21"/>
        <v>4.9699997901916504</v>
      </c>
      <c r="AI86" s="18">
        <f t="shared" si="22"/>
        <v>0</v>
      </c>
      <c r="AJ86" s="18">
        <f t="shared" si="23"/>
        <v>0</v>
      </c>
      <c r="AK86" s="20">
        <f>IF(OR(Ruas_Per_Kecamatan!$B$4="Semua",ISNUMBER(SEARCH(Ruas_Per_Kecamatan!$B$4,D86))),1,0)</f>
        <v>1</v>
      </c>
      <c r="AL86" s="20">
        <f>IF(AK86=1,COUNTIF($AK$2:AK86,1),"")</f>
        <v>85</v>
      </c>
      <c r="AM86" s="18">
        <f t="shared" si="24"/>
        <v>4.97</v>
      </c>
      <c r="AN86" s="18">
        <f t="shared" si="25"/>
        <v>4.9699997901916504</v>
      </c>
      <c r="AO86" s="18">
        <f t="shared" si="26"/>
        <v>0</v>
      </c>
      <c r="AP86" s="18">
        <f t="shared" si="27"/>
        <v>0</v>
      </c>
    </row>
    <row r="87" spans="1:42" x14ac:dyDescent="0.25">
      <c r="A87" s="17">
        <v>86</v>
      </c>
      <c r="B87" s="17" t="s">
        <v>534</v>
      </c>
      <c r="C87" s="21" t="s">
        <v>119</v>
      </c>
      <c r="D87" s="17" t="s">
        <v>532</v>
      </c>
      <c r="E87" s="18">
        <v>0.9</v>
      </c>
      <c r="F87" s="18">
        <v>3</v>
      </c>
      <c r="G87" s="18">
        <v>0</v>
      </c>
      <c r="H87" s="18"/>
      <c r="I87" s="18">
        <v>2025</v>
      </c>
      <c r="J87" s="18">
        <v>0.89999997615814209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9">
        <v>0</v>
      </c>
      <c r="Q87" s="18">
        <v>0.80000001192092896</v>
      </c>
      <c r="R87" s="19">
        <v>0.88888890213436544</v>
      </c>
      <c r="S87" s="18">
        <v>0.10000000149011612</v>
      </c>
      <c r="T87" s="19">
        <v>0.11111111276679568</v>
      </c>
      <c r="U87" s="18">
        <v>0</v>
      </c>
      <c r="V87" s="19">
        <v>0</v>
      </c>
      <c r="W87">
        <f t="shared" si="14"/>
        <v>0.80000001192092896</v>
      </c>
      <c r="X87" s="19">
        <f t="shared" si="15"/>
        <v>0.88888890213436544</v>
      </c>
      <c r="Y87">
        <f t="shared" si="16"/>
        <v>0.10000000149011612</v>
      </c>
      <c r="Z87" s="19">
        <f t="shared" si="17"/>
        <v>0.11111111276679568</v>
      </c>
      <c r="AA87" s="19">
        <f t="shared" si="18"/>
        <v>0.28888889319366878</v>
      </c>
      <c r="AB87" t="str">
        <f t="shared" si="19"/>
        <v>Relatif Mantap</v>
      </c>
      <c r="AC87" s="19">
        <f>IF(Dashboard!$B$7="Mantap (%)",X87,IF(Dashboard!$B$7="Tidak Mantap (%)",Z87,IF(Dashboard!$B$7="Baik (%)",P87,IF(Dashboard!$B$7="Sedang (%)",R87,IF(Dashboard!$B$7="Rusak Ringan (%)",T87,IF(Dashboard!$B$7="Rusak Berat (%)",V87,AA87))))))</f>
        <v>0.11111111276679568</v>
      </c>
      <c r="AD87" s="20">
        <f>IF(AND(AF87=1,E87&gt;=Dashboard!$B$10,IF(Dashboard!$B$9="≤ Maksimum",AC87&lt;=Dashboard!$B$8,AC87&gt;=Dashboard!$B$8)),1,0)</f>
        <v>0</v>
      </c>
      <c r="AE87" s="20" t="str">
        <f>IF(AD87=1,COUNTIFS($AD$2:$AD$351,1,$AC$2:$AC$351,"&gt;"&amp;AC87)+COUNTIFS($AD$2:AD87,1,$AC$2:AC87,AC87),"")</f>
        <v/>
      </c>
      <c r="AF87" s="20">
        <f>IF(OR(Dashboard!$B$6="Semua",ISNUMBER(SEARCH(Dashboard!$B$6,D87))),1,0)</f>
        <v>1</v>
      </c>
      <c r="AG87" s="18">
        <f t="shared" si="20"/>
        <v>0.9</v>
      </c>
      <c r="AH87" s="18">
        <f t="shared" si="21"/>
        <v>0.80000001192092896</v>
      </c>
      <c r="AI87" s="18">
        <f t="shared" si="22"/>
        <v>0.10000000149011612</v>
      </c>
      <c r="AJ87" s="18">
        <f t="shared" si="23"/>
        <v>0</v>
      </c>
      <c r="AK87" s="20">
        <f>IF(OR(Ruas_Per_Kecamatan!$B$4="Semua",ISNUMBER(SEARCH(Ruas_Per_Kecamatan!$B$4,D87))),1,0)</f>
        <v>1</v>
      </c>
      <c r="AL87" s="20">
        <f>IF(AK87=1,COUNTIF($AK$2:AK87,1),"")</f>
        <v>86</v>
      </c>
      <c r="AM87" s="18">
        <f t="shared" si="24"/>
        <v>0.9</v>
      </c>
      <c r="AN87" s="18">
        <f t="shared" si="25"/>
        <v>0.80000001192092896</v>
      </c>
      <c r="AO87" s="18">
        <f t="shared" si="26"/>
        <v>0.10000000149011612</v>
      </c>
      <c r="AP87" s="18">
        <f t="shared" si="27"/>
        <v>0</v>
      </c>
    </row>
    <row r="88" spans="1:42" ht="30" x14ac:dyDescent="0.25">
      <c r="A88" s="17">
        <v>87</v>
      </c>
      <c r="B88" s="17" t="s">
        <v>535</v>
      </c>
      <c r="C88" s="21" t="s">
        <v>120</v>
      </c>
      <c r="D88" s="17" t="s">
        <v>532</v>
      </c>
      <c r="E88" s="18">
        <v>7.3</v>
      </c>
      <c r="F88" s="18">
        <v>3</v>
      </c>
      <c r="G88" s="18">
        <v>0</v>
      </c>
      <c r="H88" s="18"/>
      <c r="I88" s="18">
        <v>2025</v>
      </c>
      <c r="J88" s="18">
        <v>7.3000001907348633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9">
        <v>0</v>
      </c>
      <c r="Q88" s="18">
        <v>7</v>
      </c>
      <c r="R88" s="19">
        <v>0.95890410958904115</v>
      </c>
      <c r="S88" s="18">
        <v>0.30000001192092896</v>
      </c>
      <c r="T88" s="19">
        <v>4.109589204396287E-2</v>
      </c>
      <c r="U88" s="18">
        <v>0</v>
      </c>
      <c r="V88" s="19">
        <v>0</v>
      </c>
      <c r="W88">
        <f t="shared" si="14"/>
        <v>7</v>
      </c>
      <c r="X88" s="19">
        <f t="shared" si="15"/>
        <v>0.95890410958904115</v>
      </c>
      <c r="Y88">
        <f t="shared" si="16"/>
        <v>0.30000001192092896</v>
      </c>
      <c r="Z88" s="19">
        <f t="shared" si="17"/>
        <v>4.109589204396287E-2</v>
      </c>
      <c r="AA88" s="19">
        <f t="shared" si="18"/>
        <v>0.26438356262363799</v>
      </c>
      <c r="AB88" t="str">
        <f t="shared" si="19"/>
        <v>Relatif Mantap</v>
      </c>
      <c r="AC88" s="19">
        <f>IF(Dashboard!$B$7="Mantap (%)",X88,IF(Dashboard!$B$7="Tidak Mantap (%)",Z88,IF(Dashboard!$B$7="Baik (%)",P88,IF(Dashboard!$B$7="Sedang (%)",R88,IF(Dashboard!$B$7="Rusak Ringan (%)",T88,IF(Dashboard!$B$7="Rusak Berat (%)",V88,AA88))))))</f>
        <v>4.109589204396287E-2</v>
      </c>
      <c r="AD88" s="20">
        <f>IF(AND(AF88=1,E88&gt;=Dashboard!$B$10,IF(Dashboard!$B$9="≤ Maksimum",AC88&lt;=Dashboard!$B$8,AC88&gt;=Dashboard!$B$8)),1,0)</f>
        <v>0</v>
      </c>
      <c r="AE88" s="20" t="str">
        <f>IF(AD88=1,COUNTIFS($AD$2:$AD$351,1,$AC$2:$AC$351,"&gt;"&amp;AC88)+COUNTIFS($AD$2:AD88,1,$AC$2:AC88,AC88),"")</f>
        <v/>
      </c>
      <c r="AF88" s="20">
        <f>IF(OR(Dashboard!$B$6="Semua",ISNUMBER(SEARCH(Dashboard!$B$6,D88))),1,0)</f>
        <v>1</v>
      </c>
      <c r="AG88" s="18">
        <f t="shared" si="20"/>
        <v>7.3</v>
      </c>
      <c r="AH88" s="18">
        <f t="shared" si="21"/>
        <v>7</v>
      </c>
      <c r="AI88" s="18">
        <f t="shared" si="22"/>
        <v>0.30000001192092896</v>
      </c>
      <c r="AJ88" s="18">
        <f t="shared" si="23"/>
        <v>0</v>
      </c>
      <c r="AK88" s="20">
        <f>IF(OR(Ruas_Per_Kecamatan!$B$4="Semua",ISNUMBER(SEARCH(Ruas_Per_Kecamatan!$B$4,D88))),1,0)</f>
        <v>1</v>
      </c>
      <c r="AL88" s="20">
        <f>IF(AK88=1,COUNTIF($AK$2:AK88,1),"")</f>
        <v>87</v>
      </c>
      <c r="AM88" s="18">
        <f t="shared" si="24"/>
        <v>7.3</v>
      </c>
      <c r="AN88" s="18">
        <f t="shared" si="25"/>
        <v>7</v>
      </c>
      <c r="AO88" s="18">
        <f t="shared" si="26"/>
        <v>0.30000001192092896</v>
      </c>
      <c r="AP88" s="18">
        <f t="shared" si="27"/>
        <v>0</v>
      </c>
    </row>
    <row r="89" spans="1:42" x14ac:dyDescent="0.25">
      <c r="A89" s="17">
        <v>88</v>
      </c>
      <c r="B89" s="17" t="s">
        <v>536</v>
      </c>
      <c r="C89" s="21" t="s">
        <v>121</v>
      </c>
      <c r="D89" s="17" t="s">
        <v>532</v>
      </c>
      <c r="E89" s="18">
        <v>2.62</v>
      </c>
      <c r="F89" s="18">
        <v>3</v>
      </c>
      <c r="G89" s="18">
        <v>0</v>
      </c>
      <c r="H89" s="18"/>
      <c r="I89" s="18">
        <v>2025</v>
      </c>
      <c r="J89" s="18">
        <v>2.619999885559082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9">
        <v>0</v>
      </c>
      <c r="Q89" s="18">
        <v>0.31999999284744263</v>
      </c>
      <c r="R89" s="19">
        <v>0.12213740185016894</v>
      </c>
      <c r="S89" s="18">
        <v>0.69999998807907104</v>
      </c>
      <c r="T89" s="19">
        <v>0.26717556796911107</v>
      </c>
      <c r="U89" s="18">
        <v>1.6000000238418579</v>
      </c>
      <c r="V89" s="19">
        <v>0.61068703200070906</v>
      </c>
      <c r="W89">
        <f t="shared" si="14"/>
        <v>0.31999999284744263</v>
      </c>
      <c r="X89" s="19">
        <f t="shared" si="15"/>
        <v>0.12213740185016894</v>
      </c>
      <c r="Y89">
        <f t="shared" si="16"/>
        <v>2.300000011920929</v>
      </c>
      <c r="Z89" s="19">
        <f t="shared" si="17"/>
        <v>0.87786259996982019</v>
      </c>
      <c r="AA89" s="19">
        <f t="shared" si="18"/>
        <v>0.80152672324471796</v>
      </c>
      <c r="AB89" t="str">
        <f t="shared" si="19"/>
        <v>Rusak Berat Dominan</v>
      </c>
      <c r="AC89" s="19">
        <f>IF(Dashboard!$B$7="Mantap (%)",X89,IF(Dashboard!$B$7="Tidak Mantap (%)",Z89,IF(Dashboard!$B$7="Baik (%)",P89,IF(Dashboard!$B$7="Sedang (%)",R89,IF(Dashboard!$B$7="Rusak Ringan (%)",T89,IF(Dashboard!$B$7="Rusak Berat (%)",V89,AA89))))))</f>
        <v>0.87786259996982019</v>
      </c>
      <c r="AD89" s="20">
        <f>IF(AND(AF89=1,E89&gt;=Dashboard!$B$10,IF(Dashboard!$B$9="≤ Maksimum",AC89&lt;=Dashboard!$B$8,AC89&gt;=Dashboard!$B$8)),1,0)</f>
        <v>1</v>
      </c>
      <c r="AE89" s="20">
        <f>IF(AD89=1,COUNTIFS($AD$2:$AD$351,1,$AC$2:$AC$351,"&gt;"&amp;AC89)+COUNTIFS($AD$2:AD89,1,$AC$2:AC89,AC89),"")</f>
        <v>60</v>
      </c>
      <c r="AF89" s="20">
        <f>IF(OR(Dashboard!$B$6="Semua",ISNUMBER(SEARCH(Dashboard!$B$6,D89))),1,0)</f>
        <v>1</v>
      </c>
      <c r="AG89" s="18">
        <f t="shared" si="20"/>
        <v>2.62</v>
      </c>
      <c r="AH89" s="18">
        <f t="shared" si="21"/>
        <v>0.31999999284744263</v>
      </c>
      <c r="AI89" s="18">
        <f t="shared" si="22"/>
        <v>2.300000011920929</v>
      </c>
      <c r="AJ89" s="18">
        <f t="shared" si="23"/>
        <v>1.6000000238418579</v>
      </c>
      <c r="AK89" s="20">
        <f>IF(OR(Ruas_Per_Kecamatan!$B$4="Semua",ISNUMBER(SEARCH(Ruas_Per_Kecamatan!$B$4,D89))),1,0)</f>
        <v>1</v>
      </c>
      <c r="AL89" s="20">
        <f>IF(AK89=1,COUNTIF($AK$2:AK89,1),"")</f>
        <v>88</v>
      </c>
      <c r="AM89" s="18">
        <f t="shared" si="24"/>
        <v>2.62</v>
      </c>
      <c r="AN89" s="18">
        <f t="shared" si="25"/>
        <v>0.31999999284744263</v>
      </c>
      <c r="AO89" s="18">
        <f t="shared" si="26"/>
        <v>2.300000011920929</v>
      </c>
      <c r="AP89" s="18">
        <f t="shared" si="27"/>
        <v>1.6000000238418579</v>
      </c>
    </row>
    <row r="90" spans="1:42" x14ac:dyDescent="0.25">
      <c r="A90" s="17">
        <v>89</v>
      </c>
      <c r="B90" s="17" t="s">
        <v>537</v>
      </c>
      <c r="C90" s="21" t="s">
        <v>122</v>
      </c>
      <c r="D90" s="17" t="s">
        <v>532</v>
      </c>
      <c r="E90" s="18">
        <v>2.37</v>
      </c>
      <c r="F90" s="18">
        <v>3</v>
      </c>
      <c r="G90" s="18">
        <v>0</v>
      </c>
      <c r="H90" s="18"/>
      <c r="I90" s="18">
        <v>2025</v>
      </c>
      <c r="J90" s="18">
        <v>2.369999885559082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9">
        <v>0</v>
      </c>
      <c r="Q90" s="18">
        <v>0.56999999284744263</v>
      </c>
      <c r="R90" s="19">
        <v>0.24050632609596734</v>
      </c>
      <c r="S90" s="18">
        <v>1.7999999523162842</v>
      </c>
      <c r="T90" s="19">
        <v>0.75949365076636455</v>
      </c>
      <c r="U90" s="18">
        <v>0</v>
      </c>
      <c r="V90" s="19">
        <v>0</v>
      </c>
      <c r="W90">
        <f t="shared" si="14"/>
        <v>0.56999999284744263</v>
      </c>
      <c r="X90" s="19">
        <f t="shared" si="15"/>
        <v>0.24050632609596734</v>
      </c>
      <c r="Y90">
        <f t="shared" si="16"/>
        <v>1.7999999523162842</v>
      </c>
      <c r="Z90" s="19">
        <f t="shared" si="17"/>
        <v>0.75949365076636455</v>
      </c>
      <c r="AA90" s="19">
        <f t="shared" si="18"/>
        <v>0.51582277198381055</v>
      </c>
      <c r="AB90" t="str">
        <f t="shared" si="19"/>
        <v>Tidak Mantap Tinggi</v>
      </c>
      <c r="AC90" s="19">
        <f>IF(Dashboard!$B$7="Mantap (%)",X90,IF(Dashboard!$B$7="Tidak Mantap (%)",Z90,IF(Dashboard!$B$7="Baik (%)",P90,IF(Dashboard!$B$7="Sedang (%)",R90,IF(Dashboard!$B$7="Rusak Ringan (%)",T90,IF(Dashboard!$B$7="Rusak Berat (%)",V90,AA90))))))</f>
        <v>0.75949365076636455</v>
      </c>
      <c r="AD90" s="20">
        <f>IF(AND(AF90=1,E90&gt;=Dashboard!$B$10,IF(Dashboard!$B$9="≤ Maksimum",AC90&lt;=Dashboard!$B$8,AC90&gt;=Dashboard!$B$8)),1,0)</f>
        <v>1</v>
      </c>
      <c r="AE90" s="20">
        <f>IF(AD90=1,COUNTIFS($AD$2:$AD$351,1,$AC$2:$AC$351,"&gt;"&amp;AC90)+COUNTIFS($AD$2:AD90,1,$AC$2:AC90,AC90),"")</f>
        <v>74</v>
      </c>
      <c r="AF90" s="20">
        <f>IF(OR(Dashboard!$B$6="Semua",ISNUMBER(SEARCH(Dashboard!$B$6,D90))),1,0)</f>
        <v>1</v>
      </c>
      <c r="AG90" s="18">
        <f t="shared" si="20"/>
        <v>2.37</v>
      </c>
      <c r="AH90" s="18">
        <f t="shared" si="21"/>
        <v>0.56999999284744263</v>
      </c>
      <c r="AI90" s="18">
        <f t="shared" si="22"/>
        <v>1.7999999523162842</v>
      </c>
      <c r="AJ90" s="18">
        <f t="shared" si="23"/>
        <v>0</v>
      </c>
      <c r="AK90" s="20">
        <f>IF(OR(Ruas_Per_Kecamatan!$B$4="Semua",ISNUMBER(SEARCH(Ruas_Per_Kecamatan!$B$4,D90))),1,0)</f>
        <v>1</v>
      </c>
      <c r="AL90" s="20">
        <f>IF(AK90=1,COUNTIF($AK$2:AK90,1),"")</f>
        <v>89</v>
      </c>
      <c r="AM90" s="18">
        <f t="shared" si="24"/>
        <v>2.37</v>
      </c>
      <c r="AN90" s="18">
        <f t="shared" si="25"/>
        <v>0.56999999284744263</v>
      </c>
      <c r="AO90" s="18">
        <f t="shared" si="26"/>
        <v>1.7999999523162842</v>
      </c>
      <c r="AP90" s="18">
        <f t="shared" si="27"/>
        <v>0</v>
      </c>
    </row>
    <row r="91" spans="1:42" ht="30" x14ac:dyDescent="0.25">
      <c r="A91" s="17">
        <v>90</v>
      </c>
      <c r="B91" s="17" t="s">
        <v>538</v>
      </c>
      <c r="C91" s="21" t="s">
        <v>123</v>
      </c>
      <c r="D91" s="17" t="s">
        <v>532</v>
      </c>
      <c r="E91" s="18">
        <v>4.12</v>
      </c>
      <c r="F91" s="18">
        <v>3.5</v>
      </c>
      <c r="G91" s="18">
        <v>0</v>
      </c>
      <c r="H91" s="18"/>
      <c r="I91" s="18">
        <v>2025</v>
      </c>
      <c r="J91" s="18">
        <v>4.119999885559082</v>
      </c>
      <c r="K91" s="18">
        <v>0</v>
      </c>
      <c r="L91" s="18">
        <v>0</v>
      </c>
      <c r="M91" s="18">
        <v>0</v>
      </c>
      <c r="N91" s="18">
        <v>0</v>
      </c>
      <c r="O91" s="18">
        <v>0.20000000298023224</v>
      </c>
      <c r="P91" s="19">
        <v>4.8543690043745688E-2</v>
      </c>
      <c r="Q91" s="18">
        <v>2.0999999046325684</v>
      </c>
      <c r="R91" s="19">
        <v>0.50970871471664281</v>
      </c>
      <c r="S91" s="18">
        <v>1.0199999809265137</v>
      </c>
      <c r="T91" s="19">
        <v>0.2475728109044936</v>
      </c>
      <c r="U91" s="18">
        <v>0.80000001192092896</v>
      </c>
      <c r="V91" s="19">
        <v>0.19417476017498275</v>
      </c>
      <c r="W91">
        <f t="shared" si="14"/>
        <v>2.2999999076128006</v>
      </c>
      <c r="X91" s="19">
        <f t="shared" si="15"/>
        <v>0.55825240476038851</v>
      </c>
      <c r="Y91">
        <f t="shared" si="16"/>
        <v>1.8199999928474426</v>
      </c>
      <c r="Z91" s="19">
        <f t="shared" si="17"/>
        <v>0.44174757107947638</v>
      </c>
      <c r="AA91" s="19">
        <f t="shared" si="18"/>
        <v>0.47014562539683963</v>
      </c>
      <c r="AB91" t="str">
        <f t="shared" si="19"/>
        <v>Tidak Mantap Sedang</v>
      </c>
      <c r="AC91" s="19">
        <f>IF(Dashboard!$B$7="Mantap (%)",X91,IF(Dashboard!$B$7="Tidak Mantap (%)",Z91,IF(Dashboard!$B$7="Baik (%)",P91,IF(Dashboard!$B$7="Sedang (%)",R91,IF(Dashboard!$B$7="Rusak Ringan (%)",T91,IF(Dashboard!$B$7="Rusak Berat (%)",V91,AA91))))))</f>
        <v>0.44174757107947638</v>
      </c>
      <c r="AD91" s="20">
        <f>IF(AND(AF91=1,E91&gt;=Dashboard!$B$10,IF(Dashboard!$B$9="≤ Maksimum",AC91&lt;=Dashboard!$B$8,AC91&gt;=Dashboard!$B$8)),1,0)</f>
        <v>1</v>
      </c>
      <c r="AE91" s="20">
        <f>IF(AD91=1,COUNTIFS($AD$2:$AD$351,1,$AC$2:$AC$351,"&gt;"&amp;AC91)+COUNTIFS($AD$2:AD91,1,$AC$2:AC91,AC91),"")</f>
        <v>139</v>
      </c>
      <c r="AF91" s="20">
        <f>IF(OR(Dashboard!$B$6="Semua",ISNUMBER(SEARCH(Dashboard!$B$6,D91))),1,0)</f>
        <v>1</v>
      </c>
      <c r="AG91" s="18">
        <f t="shared" si="20"/>
        <v>4.12</v>
      </c>
      <c r="AH91" s="18">
        <f t="shared" si="21"/>
        <v>2.2999999076128006</v>
      </c>
      <c r="AI91" s="18">
        <f t="shared" si="22"/>
        <v>1.8199999928474426</v>
      </c>
      <c r="AJ91" s="18">
        <f t="shared" si="23"/>
        <v>0.80000001192092896</v>
      </c>
      <c r="AK91" s="20">
        <f>IF(OR(Ruas_Per_Kecamatan!$B$4="Semua",ISNUMBER(SEARCH(Ruas_Per_Kecamatan!$B$4,D91))),1,0)</f>
        <v>1</v>
      </c>
      <c r="AL91" s="20">
        <f>IF(AK91=1,COUNTIF($AK$2:AK91,1),"")</f>
        <v>90</v>
      </c>
      <c r="AM91" s="18">
        <f t="shared" si="24"/>
        <v>4.12</v>
      </c>
      <c r="AN91" s="18">
        <f t="shared" si="25"/>
        <v>2.2999999076128006</v>
      </c>
      <c r="AO91" s="18">
        <f t="shared" si="26"/>
        <v>1.8199999928474426</v>
      </c>
      <c r="AP91" s="18">
        <f t="shared" si="27"/>
        <v>0.80000001192092896</v>
      </c>
    </row>
    <row r="92" spans="1:42" x14ac:dyDescent="0.25">
      <c r="A92" s="17">
        <v>91</v>
      </c>
      <c r="B92" s="17" t="s">
        <v>539</v>
      </c>
      <c r="C92" s="21" t="s">
        <v>124</v>
      </c>
      <c r="D92" s="17" t="s">
        <v>532</v>
      </c>
      <c r="E92" s="18">
        <v>2.1800000000000002</v>
      </c>
      <c r="F92" s="18">
        <v>3</v>
      </c>
      <c r="G92" s="18">
        <v>0</v>
      </c>
      <c r="H92" s="18"/>
      <c r="I92" s="18">
        <v>2025</v>
      </c>
      <c r="J92" s="18">
        <v>2.1800000667572021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9">
        <v>0</v>
      </c>
      <c r="Q92" s="18">
        <v>1.6799999475479126</v>
      </c>
      <c r="R92" s="19">
        <v>0.7706421777742718</v>
      </c>
      <c r="S92" s="18">
        <v>0.5</v>
      </c>
      <c r="T92" s="19">
        <v>0.2293577981651376</v>
      </c>
      <c r="U92" s="18">
        <v>0</v>
      </c>
      <c r="V92" s="19">
        <v>0</v>
      </c>
      <c r="W92">
        <f t="shared" si="14"/>
        <v>1.6799999475479126</v>
      </c>
      <c r="X92" s="19">
        <f t="shared" si="15"/>
        <v>0.7706421777742718</v>
      </c>
      <c r="Y92">
        <f t="shared" si="16"/>
        <v>0.5</v>
      </c>
      <c r="Z92" s="19">
        <f t="shared" si="17"/>
        <v>0.2293577981651376</v>
      </c>
      <c r="AA92" s="19">
        <f t="shared" si="18"/>
        <v>0.33027522334265047</v>
      </c>
      <c r="AB92" t="str">
        <f t="shared" si="19"/>
        <v>Tidak Mantap Sedang</v>
      </c>
      <c r="AC92" s="19">
        <f>IF(Dashboard!$B$7="Mantap (%)",X92,IF(Dashboard!$B$7="Tidak Mantap (%)",Z92,IF(Dashboard!$B$7="Baik (%)",P92,IF(Dashboard!$B$7="Sedang (%)",R92,IF(Dashboard!$B$7="Rusak Ringan (%)",T92,IF(Dashboard!$B$7="Rusak Berat (%)",V92,AA92))))))</f>
        <v>0.2293577981651376</v>
      </c>
      <c r="AD92" s="20">
        <f>IF(AND(AF92=1,E92&gt;=Dashboard!$B$10,IF(Dashboard!$B$9="≤ Maksimum",AC92&lt;=Dashboard!$B$8,AC92&gt;=Dashboard!$B$8)),1,0)</f>
        <v>1</v>
      </c>
      <c r="AE92" s="20">
        <f>IF(AD92=1,COUNTIFS($AD$2:$AD$351,1,$AC$2:$AC$351,"&gt;"&amp;AC92)+COUNTIFS($AD$2:AD92,1,$AC$2:AC92,AC92),"")</f>
        <v>182</v>
      </c>
      <c r="AF92" s="20">
        <f>IF(OR(Dashboard!$B$6="Semua",ISNUMBER(SEARCH(Dashboard!$B$6,D92))),1,0)</f>
        <v>1</v>
      </c>
      <c r="AG92" s="18">
        <f t="shared" si="20"/>
        <v>2.1800000000000002</v>
      </c>
      <c r="AH92" s="18">
        <f t="shared" si="21"/>
        <v>1.6799999475479126</v>
      </c>
      <c r="AI92" s="18">
        <f t="shared" si="22"/>
        <v>0.5</v>
      </c>
      <c r="AJ92" s="18">
        <f t="shared" si="23"/>
        <v>0</v>
      </c>
      <c r="AK92" s="20">
        <f>IF(OR(Ruas_Per_Kecamatan!$B$4="Semua",ISNUMBER(SEARCH(Ruas_Per_Kecamatan!$B$4,D92))),1,0)</f>
        <v>1</v>
      </c>
      <c r="AL92" s="20">
        <f>IF(AK92=1,COUNTIF($AK$2:AK92,1),"")</f>
        <v>91</v>
      </c>
      <c r="AM92" s="18">
        <f t="shared" si="24"/>
        <v>2.1800000000000002</v>
      </c>
      <c r="AN92" s="18">
        <f t="shared" si="25"/>
        <v>1.6799999475479126</v>
      </c>
      <c r="AO92" s="18">
        <f t="shared" si="26"/>
        <v>0.5</v>
      </c>
      <c r="AP92" s="18">
        <f t="shared" si="27"/>
        <v>0</v>
      </c>
    </row>
    <row r="93" spans="1:42" x14ac:dyDescent="0.25">
      <c r="A93" s="17">
        <v>92</v>
      </c>
      <c r="B93" s="17" t="s">
        <v>540</v>
      </c>
      <c r="C93" s="21" t="s">
        <v>125</v>
      </c>
      <c r="D93" s="17" t="s">
        <v>532</v>
      </c>
      <c r="E93" s="18">
        <v>1.51</v>
      </c>
      <c r="F93" s="18">
        <v>3</v>
      </c>
      <c r="G93" s="18">
        <v>0</v>
      </c>
      <c r="H93" s="18"/>
      <c r="I93" s="18">
        <v>2025</v>
      </c>
      <c r="J93" s="18">
        <v>1.5099999904632568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9">
        <v>0</v>
      </c>
      <c r="Q93" s="18">
        <v>1.2000000476837158</v>
      </c>
      <c r="R93" s="19">
        <v>0.79470201833358667</v>
      </c>
      <c r="S93" s="18">
        <v>0.31000000238418579</v>
      </c>
      <c r="T93" s="19">
        <v>0.20529801482396409</v>
      </c>
      <c r="U93" s="18">
        <v>0</v>
      </c>
      <c r="V93" s="19">
        <v>0</v>
      </c>
      <c r="W93">
        <f t="shared" si="14"/>
        <v>1.2000000476837158</v>
      </c>
      <c r="X93" s="19">
        <f t="shared" si="15"/>
        <v>0.79470201833358667</v>
      </c>
      <c r="Y93">
        <f t="shared" si="16"/>
        <v>0.31000000238418579</v>
      </c>
      <c r="Z93" s="19">
        <f t="shared" si="17"/>
        <v>0.20529801482396409</v>
      </c>
      <c r="AA93" s="19">
        <f t="shared" si="18"/>
        <v>0.3218543134777751</v>
      </c>
      <c r="AB93" t="str">
        <f t="shared" si="19"/>
        <v>Tidak Mantap Sedang</v>
      </c>
      <c r="AC93" s="19">
        <f>IF(Dashboard!$B$7="Mantap (%)",X93,IF(Dashboard!$B$7="Tidak Mantap (%)",Z93,IF(Dashboard!$B$7="Baik (%)",P93,IF(Dashboard!$B$7="Sedang (%)",R93,IF(Dashboard!$B$7="Rusak Ringan (%)",T93,IF(Dashboard!$B$7="Rusak Berat (%)",V93,AA93))))))</f>
        <v>0.20529801482396409</v>
      </c>
      <c r="AD93" s="20">
        <f>IF(AND(AF93=1,E93&gt;=Dashboard!$B$10,IF(Dashboard!$B$9="≤ Maksimum",AC93&lt;=Dashboard!$B$8,AC93&gt;=Dashboard!$B$8)),1,0)</f>
        <v>1</v>
      </c>
      <c r="AE93" s="20">
        <f>IF(AD93=1,COUNTIFS($AD$2:$AD$351,1,$AC$2:$AC$351,"&gt;"&amp;AC93)+COUNTIFS($AD$2:AD93,1,$AC$2:AC93,AC93),"")</f>
        <v>190</v>
      </c>
      <c r="AF93" s="20">
        <f>IF(OR(Dashboard!$B$6="Semua",ISNUMBER(SEARCH(Dashboard!$B$6,D93))),1,0)</f>
        <v>1</v>
      </c>
      <c r="AG93" s="18">
        <f t="shared" si="20"/>
        <v>1.51</v>
      </c>
      <c r="AH93" s="18">
        <f t="shared" si="21"/>
        <v>1.2000000476837158</v>
      </c>
      <c r="AI93" s="18">
        <f t="shared" si="22"/>
        <v>0.31000000238418579</v>
      </c>
      <c r="AJ93" s="18">
        <f t="shared" si="23"/>
        <v>0</v>
      </c>
      <c r="AK93" s="20">
        <f>IF(OR(Ruas_Per_Kecamatan!$B$4="Semua",ISNUMBER(SEARCH(Ruas_Per_Kecamatan!$B$4,D93))),1,0)</f>
        <v>1</v>
      </c>
      <c r="AL93" s="20">
        <f>IF(AK93=1,COUNTIF($AK$2:AK93,1),"")</f>
        <v>92</v>
      </c>
      <c r="AM93" s="18">
        <f t="shared" si="24"/>
        <v>1.51</v>
      </c>
      <c r="AN93" s="18">
        <f t="shared" si="25"/>
        <v>1.2000000476837158</v>
      </c>
      <c r="AO93" s="18">
        <f t="shared" si="26"/>
        <v>0.31000000238418579</v>
      </c>
      <c r="AP93" s="18">
        <f t="shared" si="27"/>
        <v>0</v>
      </c>
    </row>
    <row r="94" spans="1:42" x14ac:dyDescent="0.25">
      <c r="A94" s="17">
        <v>93</v>
      </c>
      <c r="B94" s="17" t="s">
        <v>541</v>
      </c>
      <c r="C94" s="21" t="s">
        <v>126</v>
      </c>
      <c r="D94" s="17" t="s">
        <v>532</v>
      </c>
      <c r="E94" s="18">
        <v>5.65</v>
      </c>
      <c r="F94" s="18">
        <v>3</v>
      </c>
      <c r="G94" s="18">
        <v>0</v>
      </c>
      <c r="H94" s="18"/>
      <c r="I94" s="18">
        <v>2025</v>
      </c>
      <c r="J94" s="18">
        <v>5.6500000953674316</v>
      </c>
      <c r="K94" s="18">
        <v>0</v>
      </c>
      <c r="L94" s="18">
        <v>0</v>
      </c>
      <c r="M94" s="18">
        <v>0</v>
      </c>
      <c r="N94" s="18">
        <v>0</v>
      </c>
      <c r="O94" s="18">
        <v>2.8499999046325684</v>
      </c>
      <c r="P94" s="19">
        <v>0.50442476188187046</v>
      </c>
      <c r="Q94" s="18">
        <v>2.7999999523162842</v>
      </c>
      <c r="R94" s="19">
        <v>0.4955752127993423</v>
      </c>
      <c r="S94" s="18">
        <v>0</v>
      </c>
      <c r="T94" s="19">
        <v>0</v>
      </c>
      <c r="U94" s="18">
        <v>0</v>
      </c>
      <c r="V94" s="19">
        <v>0</v>
      </c>
      <c r="W94">
        <f t="shared" si="14"/>
        <v>5.6499998569488525</v>
      </c>
      <c r="X94" s="19">
        <f t="shared" si="15"/>
        <v>0.99999997468121282</v>
      </c>
      <c r="Y94">
        <f t="shared" si="16"/>
        <v>0</v>
      </c>
      <c r="Z94" s="19">
        <f t="shared" si="17"/>
        <v>0</v>
      </c>
      <c r="AA94" s="19">
        <f t="shared" si="18"/>
        <v>0.12389380319983558</v>
      </c>
      <c r="AB94" t="str">
        <f t="shared" si="19"/>
        <v>Relatif Mantap</v>
      </c>
      <c r="AC94" s="19">
        <f>IF(Dashboard!$B$7="Mantap (%)",X94,IF(Dashboard!$B$7="Tidak Mantap (%)",Z94,IF(Dashboard!$B$7="Baik (%)",P94,IF(Dashboard!$B$7="Sedang (%)",R94,IF(Dashboard!$B$7="Rusak Ringan (%)",T94,IF(Dashboard!$B$7="Rusak Berat (%)",V94,AA94))))))</f>
        <v>0</v>
      </c>
      <c r="AD94" s="20">
        <f>IF(AND(AF94=1,E94&gt;=Dashboard!$B$10,IF(Dashboard!$B$9="≤ Maksimum",AC94&lt;=Dashboard!$B$8,AC94&gt;=Dashboard!$B$8)),1,0)</f>
        <v>0</v>
      </c>
      <c r="AE94" s="20" t="str">
        <f>IF(AD94=1,COUNTIFS($AD$2:$AD$351,1,$AC$2:$AC$351,"&gt;"&amp;AC94)+COUNTIFS($AD$2:AD94,1,$AC$2:AC94,AC94),"")</f>
        <v/>
      </c>
      <c r="AF94" s="20">
        <f>IF(OR(Dashboard!$B$6="Semua",ISNUMBER(SEARCH(Dashboard!$B$6,D94))),1,0)</f>
        <v>1</v>
      </c>
      <c r="AG94" s="18">
        <f t="shared" si="20"/>
        <v>5.65</v>
      </c>
      <c r="AH94" s="18">
        <f t="shared" si="21"/>
        <v>5.6499998569488525</v>
      </c>
      <c r="AI94" s="18">
        <f t="shared" si="22"/>
        <v>0</v>
      </c>
      <c r="AJ94" s="18">
        <f t="shared" si="23"/>
        <v>0</v>
      </c>
      <c r="AK94" s="20">
        <f>IF(OR(Ruas_Per_Kecamatan!$B$4="Semua",ISNUMBER(SEARCH(Ruas_Per_Kecamatan!$B$4,D94))),1,0)</f>
        <v>1</v>
      </c>
      <c r="AL94" s="20">
        <f>IF(AK94=1,COUNTIF($AK$2:AK94,1),"")</f>
        <v>93</v>
      </c>
      <c r="AM94" s="18">
        <f t="shared" si="24"/>
        <v>5.65</v>
      </c>
      <c r="AN94" s="18">
        <f t="shared" si="25"/>
        <v>5.6499998569488525</v>
      </c>
      <c r="AO94" s="18">
        <f t="shared" si="26"/>
        <v>0</v>
      </c>
      <c r="AP94" s="18">
        <f t="shared" si="27"/>
        <v>0</v>
      </c>
    </row>
    <row r="95" spans="1:42" x14ac:dyDescent="0.25">
      <c r="A95" s="17">
        <v>94</v>
      </c>
      <c r="B95" s="17" t="s">
        <v>542</v>
      </c>
      <c r="C95" s="21" t="s">
        <v>127</v>
      </c>
      <c r="D95" s="17" t="s">
        <v>128</v>
      </c>
      <c r="E95" s="18">
        <v>5.17</v>
      </c>
      <c r="F95" s="18">
        <v>5</v>
      </c>
      <c r="G95" s="18">
        <v>0</v>
      </c>
      <c r="H95" s="18"/>
      <c r="I95" s="18">
        <v>2025</v>
      </c>
      <c r="J95" s="18">
        <v>5.1700000762939453</v>
      </c>
      <c r="K95" s="18">
        <v>0</v>
      </c>
      <c r="L95" s="18">
        <v>0</v>
      </c>
      <c r="M95" s="18">
        <v>0</v>
      </c>
      <c r="N95" s="18">
        <v>0</v>
      </c>
      <c r="O95" s="18">
        <v>5.1700000762939453</v>
      </c>
      <c r="P95" s="19">
        <v>1.0000000147570494</v>
      </c>
      <c r="Q95" s="18">
        <v>0</v>
      </c>
      <c r="R95" s="19">
        <v>0</v>
      </c>
      <c r="S95" s="18">
        <v>0</v>
      </c>
      <c r="T95" s="19">
        <v>0</v>
      </c>
      <c r="U95" s="18">
        <v>0</v>
      </c>
      <c r="V95" s="19">
        <v>0</v>
      </c>
      <c r="W95">
        <f t="shared" si="14"/>
        <v>5.1700000762939453</v>
      </c>
      <c r="X95" s="19">
        <f t="shared" si="15"/>
        <v>1.0000000147570494</v>
      </c>
      <c r="Y95">
        <f t="shared" si="16"/>
        <v>0</v>
      </c>
      <c r="Z95" s="19">
        <f t="shared" si="17"/>
        <v>0</v>
      </c>
      <c r="AA95" s="19">
        <f t="shared" si="18"/>
        <v>0</v>
      </c>
      <c r="AB95" t="str">
        <f t="shared" si="19"/>
        <v>Relatif Mantap</v>
      </c>
      <c r="AC95" s="19">
        <f>IF(Dashboard!$B$7="Mantap (%)",X95,IF(Dashboard!$B$7="Tidak Mantap (%)",Z95,IF(Dashboard!$B$7="Baik (%)",P95,IF(Dashboard!$B$7="Sedang (%)",R95,IF(Dashboard!$B$7="Rusak Ringan (%)",T95,IF(Dashboard!$B$7="Rusak Berat (%)",V95,AA95))))))</f>
        <v>0</v>
      </c>
      <c r="AD95" s="20">
        <f>IF(AND(AF95=1,E95&gt;=Dashboard!$B$10,IF(Dashboard!$B$9="≤ Maksimum",AC95&lt;=Dashboard!$B$8,AC95&gt;=Dashboard!$B$8)),1,0)</f>
        <v>0</v>
      </c>
      <c r="AE95" s="20" t="str">
        <f>IF(AD95=1,COUNTIFS($AD$2:$AD$351,1,$AC$2:$AC$351,"&gt;"&amp;AC95)+COUNTIFS($AD$2:AD95,1,$AC$2:AC95,AC95),"")</f>
        <v/>
      </c>
      <c r="AF95" s="20">
        <f>IF(OR(Dashboard!$B$6="Semua",ISNUMBER(SEARCH(Dashboard!$B$6,D95))),1,0)</f>
        <v>1</v>
      </c>
      <c r="AG95" s="18">
        <f t="shared" si="20"/>
        <v>5.17</v>
      </c>
      <c r="AH95" s="18">
        <f t="shared" si="21"/>
        <v>5.1700000762939453</v>
      </c>
      <c r="AI95" s="18">
        <f t="shared" si="22"/>
        <v>0</v>
      </c>
      <c r="AJ95" s="18">
        <f t="shared" si="23"/>
        <v>0</v>
      </c>
      <c r="AK95" s="20">
        <f>IF(OR(Ruas_Per_Kecamatan!$B$4="Semua",ISNUMBER(SEARCH(Ruas_Per_Kecamatan!$B$4,D95))),1,0)</f>
        <v>1</v>
      </c>
      <c r="AL95" s="20">
        <f>IF(AK95=1,COUNTIF($AK$2:AK95,1),"")</f>
        <v>94</v>
      </c>
      <c r="AM95" s="18">
        <f t="shared" si="24"/>
        <v>5.17</v>
      </c>
      <c r="AN95" s="18">
        <f t="shared" si="25"/>
        <v>5.1700000762939453</v>
      </c>
      <c r="AO95" s="18">
        <f t="shared" si="26"/>
        <v>0</v>
      </c>
      <c r="AP95" s="18">
        <f t="shared" si="27"/>
        <v>0</v>
      </c>
    </row>
    <row r="96" spans="1:42" ht="30" x14ac:dyDescent="0.25">
      <c r="A96" s="17">
        <v>95</v>
      </c>
      <c r="B96" s="17" t="s">
        <v>543</v>
      </c>
      <c r="C96" s="21" t="s">
        <v>129</v>
      </c>
      <c r="D96" s="17" t="s">
        <v>128</v>
      </c>
      <c r="E96" s="18">
        <v>6.35</v>
      </c>
      <c r="F96" s="18">
        <v>3.619999885559082</v>
      </c>
      <c r="G96" s="18">
        <v>0</v>
      </c>
      <c r="H96" s="18"/>
      <c r="I96" s="18">
        <v>2025</v>
      </c>
      <c r="J96" s="18">
        <v>6.0999999046325684</v>
      </c>
      <c r="K96" s="18">
        <v>0</v>
      </c>
      <c r="L96" s="18">
        <v>0</v>
      </c>
      <c r="M96" s="18">
        <v>0.25</v>
      </c>
      <c r="N96" s="18">
        <v>0</v>
      </c>
      <c r="O96" s="18">
        <v>0.60000002384185791</v>
      </c>
      <c r="P96" s="19">
        <v>9.4488192731001244E-2</v>
      </c>
      <c r="Q96" s="18">
        <v>3.2999999523162842</v>
      </c>
      <c r="R96" s="19">
        <v>0.51968503186083215</v>
      </c>
      <c r="S96" s="18">
        <v>0.40000000596046448</v>
      </c>
      <c r="T96" s="19">
        <v>6.2992126922907801E-2</v>
      </c>
      <c r="U96" s="18">
        <v>2.0499999523162842</v>
      </c>
      <c r="V96" s="19">
        <v>0.32283463816004476</v>
      </c>
      <c r="W96">
        <f t="shared" si="14"/>
        <v>3.8999999761581421</v>
      </c>
      <c r="X96" s="19">
        <f t="shared" si="15"/>
        <v>0.61417322459183343</v>
      </c>
      <c r="Y96">
        <f t="shared" si="16"/>
        <v>2.4499999582767487</v>
      </c>
      <c r="Z96" s="19">
        <f t="shared" si="17"/>
        <v>0.38582676508295255</v>
      </c>
      <c r="AA96" s="19">
        <f t="shared" si="18"/>
        <v>0.49055117227899747</v>
      </c>
      <c r="AB96" t="str">
        <f t="shared" si="19"/>
        <v>Rusak Berat Dominan</v>
      </c>
      <c r="AC96" s="19">
        <f>IF(Dashboard!$B$7="Mantap (%)",X96,IF(Dashboard!$B$7="Tidak Mantap (%)",Z96,IF(Dashboard!$B$7="Baik (%)",P96,IF(Dashboard!$B$7="Sedang (%)",R96,IF(Dashboard!$B$7="Rusak Ringan (%)",T96,IF(Dashboard!$B$7="Rusak Berat (%)",V96,AA96))))))</f>
        <v>0.38582676508295255</v>
      </c>
      <c r="AD96" s="20">
        <f>IF(AND(AF96=1,E96&gt;=Dashboard!$B$10,IF(Dashboard!$B$9="≤ Maksimum",AC96&lt;=Dashboard!$B$8,AC96&gt;=Dashboard!$B$8)),1,0)</f>
        <v>1</v>
      </c>
      <c r="AE96" s="20">
        <f>IF(AD96=1,COUNTIFS($AD$2:$AD$351,1,$AC$2:$AC$351,"&gt;"&amp;AC96)+COUNTIFS($AD$2:AD96,1,$AC$2:AC96,AC96),"")</f>
        <v>150</v>
      </c>
      <c r="AF96" s="20">
        <f>IF(OR(Dashboard!$B$6="Semua",ISNUMBER(SEARCH(Dashboard!$B$6,D96))),1,0)</f>
        <v>1</v>
      </c>
      <c r="AG96" s="18">
        <f t="shared" si="20"/>
        <v>6.35</v>
      </c>
      <c r="AH96" s="18">
        <f t="shared" si="21"/>
        <v>3.8999999761581421</v>
      </c>
      <c r="AI96" s="18">
        <f t="shared" si="22"/>
        <v>2.4499999582767487</v>
      </c>
      <c r="AJ96" s="18">
        <f t="shared" si="23"/>
        <v>2.0499999523162842</v>
      </c>
      <c r="AK96" s="20">
        <f>IF(OR(Ruas_Per_Kecamatan!$B$4="Semua",ISNUMBER(SEARCH(Ruas_Per_Kecamatan!$B$4,D96))),1,0)</f>
        <v>1</v>
      </c>
      <c r="AL96" s="20">
        <f>IF(AK96=1,COUNTIF($AK$2:AK96,1),"")</f>
        <v>95</v>
      </c>
      <c r="AM96" s="18">
        <f t="shared" si="24"/>
        <v>6.35</v>
      </c>
      <c r="AN96" s="18">
        <f t="shared" si="25"/>
        <v>3.8999999761581421</v>
      </c>
      <c r="AO96" s="18">
        <f t="shared" si="26"/>
        <v>2.4499999582767487</v>
      </c>
      <c r="AP96" s="18">
        <f t="shared" si="27"/>
        <v>2.0499999523162842</v>
      </c>
    </row>
    <row r="97" spans="1:42" ht="30" x14ac:dyDescent="0.25">
      <c r="A97" s="17">
        <v>96</v>
      </c>
      <c r="B97" s="17" t="s">
        <v>544</v>
      </c>
      <c r="C97" s="21" t="s">
        <v>130</v>
      </c>
      <c r="D97" s="17" t="s">
        <v>131</v>
      </c>
      <c r="E97" s="18">
        <v>3.77</v>
      </c>
      <c r="F97" s="18">
        <v>3</v>
      </c>
      <c r="G97" s="18">
        <v>0</v>
      </c>
      <c r="H97" s="18"/>
      <c r="I97" s="18">
        <v>2025</v>
      </c>
      <c r="J97" s="18">
        <v>3.7699999809265137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9">
        <v>0</v>
      </c>
      <c r="Q97" s="18">
        <v>2.5699999332427979</v>
      </c>
      <c r="R97" s="19">
        <v>0.6816975950246148</v>
      </c>
      <c r="S97" s="18">
        <v>1.1000000238418579</v>
      </c>
      <c r="T97" s="19">
        <v>0.29177719465301272</v>
      </c>
      <c r="U97" s="18">
        <v>0.10000000149011612</v>
      </c>
      <c r="V97" s="19">
        <v>2.6525199334248309E-2</v>
      </c>
      <c r="W97">
        <f t="shared" si="14"/>
        <v>2.5699999332427979</v>
      </c>
      <c r="X97" s="19">
        <f t="shared" si="15"/>
        <v>0.6816975950246148</v>
      </c>
      <c r="Y97">
        <f t="shared" si="16"/>
        <v>1.200000025331974</v>
      </c>
      <c r="Z97" s="19">
        <f t="shared" si="17"/>
        <v>0.31830239398726101</v>
      </c>
      <c r="AA97" s="19">
        <f t="shared" si="18"/>
        <v>0.37201591488220959</v>
      </c>
      <c r="AB97" t="str">
        <f t="shared" si="19"/>
        <v>Tidak Mantap Sedang</v>
      </c>
      <c r="AC97" s="19">
        <f>IF(Dashboard!$B$7="Mantap (%)",X97,IF(Dashboard!$B$7="Tidak Mantap (%)",Z97,IF(Dashboard!$B$7="Baik (%)",P97,IF(Dashboard!$B$7="Sedang (%)",R97,IF(Dashboard!$B$7="Rusak Ringan (%)",T97,IF(Dashboard!$B$7="Rusak Berat (%)",V97,AA97))))))</f>
        <v>0.31830239398726101</v>
      </c>
      <c r="AD97" s="20">
        <f>IF(AND(AF97=1,E97&gt;=Dashboard!$B$10,IF(Dashboard!$B$9="≤ Maksimum",AC97&lt;=Dashboard!$B$8,AC97&gt;=Dashboard!$B$8)),1,0)</f>
        <v>1</v>
      </c>
      <c r="AE97" s="20">
        <f>IF(AD97=1,COUNTIFS($AD$2:$AD$351,1,$AC$2:$AC$351,"&gt;"&amp;AC97)+COUNTIFS($AD$2:AD97,1,$AC$2:AC97,AC97),"")</f>
        <v>164</v>
      </c>
      <c r="AF97" s="20">
        <f>IF(OR(Dashboard!$B$6="Semua",ISNUMBER(SEARCH(Dashboard!$B$6,D97))),1,0)</f>
        <v>1</v>
      </c>
      <c r="AG97" s="18">
        <f t="shared" si="20"/>
        <v>3.77</v>
      </c>
      <c r="AH97" s="18">
        <f t="shared" si="21"/>
        <v>2.5699999332427979</v>
      </c>
      <c r="AI97" s="18">
        <f t="shared" si="22"/>
        <v>1.200000025331974</v>
      </c>
      <c r="AJ97" s="18">
        <f t="shared" si="23"/>
        <v>0.10000000149011612</v>
      </c>
      <c r="AK97" s="20">
        <f>IF(OR(Ruas_Per_Kecamatan!$B$4="Semua",ISNUMBER(SEARCH(Ruas_Per_Kecamatan!$B$4,D97))),1,0)</f>
        <v>1</v>
      </c>
      <c r="AL97" s="20">
        <f>IF(AK97=1,COUNTIF($AK$2:AK97,1),"")</f>
        <v>96</v>
      </c>
      <c r="AM97" s="18">
        <f t="shared" si="24"/>
        <v>3.77</v>
      </c>
      <c r="AN97" s="18">
        <f t="shared" si="25"/>
        <v>2.5699999332427979</v>
      </c>
      <c r="AO97" s="18">
        <f t="shared" si="26"/>
        <v>1.200000025331974</v>
      </c>
      <c r="AP97" s="18">
        <f t="shared" si="27"/>
        <v>0.10000000149011612</v>
      </c>
    </row>
    <row r="98" spans="1:42" x14ac:dyDescent="0.25">
      <c r="A98" s="17">
        <v>97</v>
      </c>
      <c r="B98" s="17" t="s">
        <v>545</v>
      </c>
      <c r="C98" s="21" t="s">
        <v>132</v>
      </c>
      <c r="D98" s="17" t="s">
        <v>532</v>
      </c>
      <c r="E98" s="18">
        <v>0.83</v>
      </c>
      <c r="F98" s="18">
        <v>2</v>
      </c>
      <c r="G98" s="18">
        <v>0</v>
      </c>
      <c r="H98" s="18"/>
      <c r="I98" s="18">
        <v>2025</v>
      </c>
      <c r="J98" s="18">
        <v>0.60000002384185791</v>
      </c>
      <c r="K98" s="18">
        <v>0</v>
      </c>
      <c r="L98" s="18">
        <v>0.23000000417232513</v>
      </c>
      <c r="M98" s="18">
        <v>0</v>
      </c>
      <c r="N98" s="18">
        <v>0</v>
      </c>
      <c r="O98" s="18">
        <v>0.20000000298023224</v>
      </c>
      <c r="P98" s="19">
        <v>0.240963859012328</v>
      </c>
      <c r="Q98" s="18">
        <v>2.9999999329447746E-2</v>
      </c>
      <c r="R98" s="19">
        <v>3.6144577505358731E-2</v>
      </c>
      <c r="S98" s="18">
        <v>0</v>
      </c>
      <c r="T98" s="19">
        <v>0</v>
      </c>
      <c r="U98" s="18">
        <v>0.60000002384185791</v>
      </c>
      <c r="V98" s="19">
        <v>0.72289159499019029</v>
      </c>
      <c r="W98">
        <f t="shared" si="14"/>
        <v>0.23000000230967999</v>
      </c>
      <c r="X98" s="19">
        <f t="shared" si="15"/>
        <v>0.27710843651768674</v>
      </c>
      <c r="Y98">
        <f t="shared" si="16"/>
        <v>0.60000002384185791</v>
      </c>
      <c r="Z98" s="19">
        <f t="shared" si="17"/>
        <v>0.72289159499019029</v>
      </c>
      <c r="AA98" s="19">
        <f t="shared" si="18"/>
        <v>0.73192773936652999</v>
      </c>
      <c r="AB98" t="str">
        <f t="shared" si="19"/>
        <v>Rusak Berat Dominan</v>
      </c>
      <c r="AC98" s="19">
        <f>IF(Dashboard!$B$7="Mantap (%)",X98,IF(Dashboard!$B$7="Tidak Mantap (%)",Z98,IF(Dashboard!$B$7="Baik (%)",P98,IF(Dashboard!$B$7="Sedang (%)",R98,IF(Dashboard!$B$7="Rusak Ringan (%)",T98,IF(Dashboard!$B$7="Rusak Berat (%)",V98,AA98))))))</f>
        <v>0.72289159499019029</v>
      </c>
      <c r="AD98" s="20">
        <f>IF(AND(AF98=1,E98&gt;=Dashboard!$B$10,IF(Dashboard!$B$9="≤ Maksimum",AC98&lt;=Dashboard!$B$8,AC98&gt;=Dashboard!$B$8)),1,0)</f>
        <v>1</v>
      </c>
      <c r="AE98" s="20">
        <f>IF(AD98=1,COUNTIFS($AD$2:$AD$351,1,$AC$2:$AC$351,"&gt;"&amp;AC98)+COUNTIFS($AD$2:AD98,1,$AC$2:AC98,AC98),"")</f>
        <v>80</v>
      </c>
      <c r="AF98" s="20">
        <f>IF(OR(Dashboard!$B$6="Semua",ISNUMBER(SEARCH(Dashboard!$B$6,D98))),1,0)</f>
        <v>1</v>
      </c>
      <c r="AG98" s="18">
        <f t="shared" si="20"/>
        <v>0.83</v>
      </c>
      <c r="AH98" s="18">
        <f t="shared" si="21"/>
        <v>0.23000000230967999</v>
      </c>
      <c r="AI98" s="18">
        <f t="shared" si="22"/>
        <v>0.60000002384185791</v>
      </c>
      <c r="AJ98" s="18">
        <f t="shared" si="23"/>
        <v>0.60000002384185791</v>
      </c>
      <c r="AK98" s="20">
        <f>IF(OR(Ruas_Per_Kecamatan!$B$4="Semua",ISNUMBER(SEARCH(Ruas_Per_Kecamatan!$B$4,D98))),1,0)</f>
        <v>1</v>
      </c>
      <c r="AL98" s="20">
        <f>IF(AK98=1,COUNTIF($AK$2:AK98,1),"")</f>
        <v>97</v>
      </c>
      <c r="AM98" s="18">
        <f t="shared" si="24"/>
        <v>0.83</v>
      </c>
      <c r="AN98" s="18">
        <f t="shared" si="25"/>
        <v>0.23000000230967999</v>
      </c>
      <c r="AO98" s="18">
        <f t="shared" si="26"/>
        <v>0.60000002384185791</v>
      </c>
      <c r="AP98" s="18">
        <f t="shared" si="27"/>
        <v>0.60000002384185791</v>
      </c>
    </row>
    <row r="99" spans="1:42" x14ac:dyDescent="0.25">
      <c r="A99" s="17">
        <v>98</v>
      </c>
      <c r="B99" s="17" t="s">
        <v>546</v>
      </c>
      <c r="C99" s="21" t="s">
        <v>133</v>
      </c>
      <c r="D99" s="17" t="s">
        <v>532</v>
      </c>
      <c r="E99" s="18">
        <v>0.78</v>
      </c>
      <c r="F99" s="18">
        <v>3.5</v>
      </c>
      <c r="G99" s="18">
        <v>0</v>
      </c>
      <c r="H99" s="18"/>
      <c r="I99" s="18">
        <v>2025</v>
      </c>
      <c r="J99" s="18">
        <v>0.77999997138977051</v>
      </c>
      <c r="K99" s="18">
        <v>0</v>
      </c>
      <c r="L99" s="18">
        <v>0</v>
      </c>
      <c r="M99" s="18">
        <v>0</v>
      </c>
      <c r="N99" s="18">
        <v>0</v>
      </c>
      <c r="O99" s="18">
        <v>0.77999997138977051</v>
      </c>
      <c r="P99" s="19">
        <v>0.99999996332021857</v>
      </c>
      <c r="Q99" s="18">
        <v>0</v>
      </c>
      <c r="R99" s="19">
        <v>0</v>
      </c>
      <c r="S99" s="18">
        <v>0</v>
      </c>
      <c r="T99" s="19">
        <v>0</v>
      </c>
      <c r="U99" s="18">
        <v>0</v>
      </c>
      <c r="V99" s="19">
        <v>0</v>
      </c>
      <c r="W99">
        <f t="shared" si="14"/>
        <v>0.77999997138977051</v>
      </c>
      <c r="X99" s="19">
        <f t="shared" si="15"/>
        <v>0.99999996332021857</v>
      </c>
      <c r="Y99">
        <f t="shared" si="16"/>
        <v>0</v>
      </c>
      <c r="Z99" s="19">
        <f t="shared" si="17"/>
        <v>0</v>
      </c>
      <c r="AA99" s="19">
        <f t="shared" si="18"/>
        <v>0</v>
      </c>
      <c r="AB99" t="str">
        <f t="shared" si="19"/>
        <v>Relatif Mantap</v>
      </c>
      <c r="AC99" s="19">
        <f>IF(Dashboard!$B$7="Mantap (%)",X99,IF(Dashboard!$B$7="Tidak Mantap (%)",Z99,IF(Dashboard!$B$7="Baik (%)",P99,IF(Dashboard!$B$7="Sedang (%)",R99,IF(Dashboard!$B$7="Rusak Ringan (%)",T99,IF(Dashboard!$B$7="Rusak Berat (%)",V99,AA99))))))</f>
        <v>0</v>
      </c>
      <c r="AD99" s="20">
        <f>IF(AND(AF99=1,E99&gt;=Dashboard!$B$10,IF(Dashboard!$B$9="≤ Maksimum",AC99&lt;=Dashboard!$B$8,AC99&gt;=Dashboard!$B$8)),1,0)</f>
        <v>0</v>
      </c>
      <c r="AE99" s="20" t="str">
        <f>IF(AD99=1,COUNTIFS($AD$2:$AD$351,1,$AC$2:$AC$351,"&gt;"&amp;AC99)+COUNTIFS($AD$2:AD99,1,$AC$2:AC99,AC99),"")</f>
        <v/>
      </c>
      <c r="AF99" s="20">
        <f>IF(OR(Dashboard!$B$6="Semua",ISNUMBER(SEARCH(Dashboard!$B$6,D99))),1,0)</f>
        <v>1</v>
      </c>
      <c r="AG99" s="18">
        <f t="shared" si="20"/>
        <v>0.78</v>
      </c>
      <c r="AH99" s="18">
        <f t="shared" si="21"/>
        <v>0.77999997138977051</v>
      </c>
      <c r="AI99" s="18">
        <f t="shared" si="22"/>
        <v>0</v>
      </c>
      <c r="AJ99" s="18">
        <f t="shared" si="23"/>
        <v>0</v>
      </c>
      <c r="AK99" s="20">
        <f>IF(OR(Ruas_Per_Kecamatan!$B$4="Semua",ISNUMBER(SEARCH(Ruas_Per_Kecamatan!$B$4,D99))),1,0)</f>
        <v>1</v>
      </c>
      <c r="AL99" s="20">
        <f>IF(AK99=1,COUNTIF($AK$2:AK99,1),"")</f>
        <v>98</v>
      </c>
      <c r="AM99" s="18">
        <f t="shared" si="24"/>
        <v>0.78</v>
      </c>
      <c r="AN99" s="18">
        <f t="shared" si="25"/>
        <v>0.77999997138977051</v>
      </c>
      <c r="AO99" s="18">
        <f t="shared" si="26"/>
        <v>0</v>
      </c>
      <c r="AP99" s="18">
        <f t="shared" si="27"/>
        <v>0</v>
      </c>
    </row>
    <row r="100" spans="1:42" x14ac:dyDescent="0.25">
      <c r="A100" s="17">
        <v>99</v>
      </c>
      <c r="B100" s="17" t="s">
        <v>547</v>
      </c>
      <c r="C100" s="21" t="s">
        <v>134</v>
      </c>
      <c r="D100" s="17" t="s">
        <v>532</v>
      </c>
      <c r="E100" s="18">
        <v>3.69</v>
      </c>
      <c r="F100" s="18">
        <v>3.5</v>
      </c>
      <c r="G100" s="18">
        <v>0</v>
      </c>
      <c r="H100" s="18"/>
      <c r="I100" s="18">
        <v>2025</v>
      </c>
      <c r="J100" s="18">
        <v>2.7000000476837158</v>
      </c>
      <c r="K100" s="18">
        <v>0</v>
      </c>
      <c r="L100" s="18">
        <v>0</v>
      </c>
      <c r="M100" s="18">
        <v>0.99000000953674316</v>
      </c>
      <c r="N100" s="18">
        <v>0</v>
      </c>
      <c r="O100" s="18">
        <v>0</v>
      </c>
      <c r="P100" s="19">
        <v>0</v>
      </c>
      <c r="Q100" s="18">
        <v>0.89999997615814209</v>
      </c>
      <c r="R100" s="19">
        <v>0.24390243256318214</v>
      </c>
      <c r="S100" s="18">
        <v>1.5</v>
      </c>
      <c r="T100" s="19">
        <v>0.4065040650406504</v>
      </c>
      <c r="U100" s="18">
        <v>1.2900000214576721</v>
      </c>
      <c r="V100" s="19">
        <v>0.34959350175004666</v>
      </c>
      <c r="W100">
        <f t="shared" si="14"/>
        <v>0.89999997615814209</v>
      </c>
      <c r="X100" s="19">
        <f t="shared" si="15"/>
        <v>0.24390243256318214</v>
      </c>
      <c r="Y100">
        <f t="shared" si="16"/>
        <v>2.7900000214576721</v>
      </c>
      <c r="Z100" s="19">
        <f t="shared" si="17"/>
        <v>0.75609756679069706</v>
      </c>
      <c r="AA100" s="19">
        <f t="shared" si="18"/>
        <v>0.6544715489152324</v>
      </c>
      <c r="AB100" t="str">
        <f t="shared" si="19"/>
        <v>Rusak Berat Dominan</v>
      </c>
      <c r="AC100" s="19">
        <f>IF(Dashboard!$B$7="Mantap (%)",X100,IF(Dashboard!$B$7="Tidak Mantap (%)",Z100,IF(Dashboard!$B$7="Baik (%)",P100,IF(Dashboard!$B$7="Sedang (%)",R100,IF(Dashboard!$B$7="Rusak Ringan (%)",T100,IF(Dashboard!$B$7="Rusak Berat (%)",V100,AA100))))))</f>
        <v>0.75609756679069706</v>
      </c>
      <c r="AD100" s="20">
        <f>IF(AND(AF100=1,E100&gt;=Dashboard!$B$10,IF(Dashboard!$B$9="≤ Maksimum",AC100&lt;=Dashboard!$B$8,AC100&gt;=Dashboard!$B$8)),1,0)</f>
        <v>1</v>
      </c>
      <c r="AE100" s="20">
        <f>IF(AD100=1,COUNTIFS($AD$2:$AD$351,1,$AC$2:$AC$351,"&gt;"&amp;AC100)+COUNTIFS($AD$2:AD100,1,$AC$2:AC100,AC100),"")</f>
        <v>75</v>
      </c>
      <c r="AF100" s="20">
        <f>IF(OR(Dashboard!$B$6="Semua",ISNUMBER(SEARCH(Dashboard!$B$6,D100))),1,0)</f>
        <v>1</v>
      </c>
      <c r="AG100" s="18">
        <f t="shared" si="20"/>
        <v>3.69</v>
      </c>
      <c r="AH100" s="18">
        <f t="shared" si="21"/>
        <v>0.89999997615814209</v>
      </c>
      <c r="AI100" s="18">
        <f t="shared" si="22"/>
        <v>2.7900000214576721</v>
      </c>
      <c r="AJ100" s="18">
        <f t="shared" si="23"/>
        <v>1.2900000214576721</v>
      </c>
      <c r="AK100" s="20">
        <f>IF(OR(Ruas_Per_Kecamatan!$B$4="Semua",ISNUMBER(SEARCH(Ruas_Per_Kecamatan!$B$4,D100))),1,0)</f>
        <v>1</v>
      </c>
      <c r="AL100" s="20">
        <f>IF(AK100=1,COUNTIF($AK$2:AK100,1),"")</f>
        <v>99</v>
      </c>
      <c r="AM100" s="18">
        <f t="shared" si="24"/>
        <v>3.69</v>
      </c>
      <c r="AN100" s="18">
        <f t="shared" si="25"/>
        <v>0.89999997615814209</v>
      </c>
      <c r="AO100" s="18">
        <f t="shared" si="26"/>
        <v>2.7900000214576721</v>
      </c>
      <c r="AP100" s="18">
        <f t="shared" si="27"/>
        <v>1.2900000214576721</v>
      </c>
    </row>
    <row r="101" spans="1:42" x14ac:dyDescent="0.25">
      <c r="A101" s="17">
        <v>100</v>
      </c>
      <c r="B101" s="17" t="s">
        <v>548</v>
      </c>
      <c r="C101" s="21" t="s">
        <v>135</v>
      </c>
      <c r="D101" s="17" t="s">
        <v>532</v>
      </c>
      <c r="E101" s="18">
        <v>0.68</v>
      </c>
      <c r="F101" s="18">
        <v>3.5</v>
      </c>
      <c r="G101" s="18">
        <v>0</v>
      </c>
      <c r="H101" s="18"/>
      <c r="I101" s="18">
        <v>2025</v>
      </c>
      <c r="J101" s="18">
        <v>0.68000000715255737</v>
      </c>
      <c r="K101" s="18">
        <v>0</v>
      </c>
      <c r="L101" s="18">
        <v>0</v>
      </c>
      <c r="M101" s="18">
        <v>0</v>
      </c>
      <c r="N101" s="18">
        <v>0</v>
      </c>
      <c r="O101" s="18">
        <v>7.9999998211860657E-2</v>
      </c>
      <c r="P101" s="19">
        <v>0.11764705619391272</v>
      </c>
      <c r="Q101" s="18">
        <v>0.40000000596046448</v>
      </c>
      <c r="R101" s="19">
        <v>0.58823530288303594</v>
      </c>
      <c r="S101" s="18">
        <v>0.10000000149011612</v>
      </c>
      <c r="T101" s="19">
        <v>0.14705882572075898</v>
      </c>
      <c r="U101" s="18">
        <v>0.10000000149011612</v>
      </c>
      <c r="V101" s="19">
        <v>0.14705882572075898</v>
      </c>
      <c r="W101">
        <f t="shared" si="14"/>
        <v>0.48000000417232513</v>
      </c>
      <c r="X101" s="19">
        <f t="shared" si="15"/>
        <v>0.70588235907694863</v>
      </c>
      <c r="Y101">
        <f t="shared" si="16"/>
        <v>0.20000000298023224</v>
      </c>
      <c r="Z101" s="19">
        <f t="shared" si="17"/>
        <v>0.29411765144151797</v>
      </c>
      <c r="AA101" s="19">
        <f t="shared" si="18"/>
        <v>0.38235294687397336</v>
      </c>
      <c r="AB101" t="str">
        <f t="shared" si="19"/>
        <v>Tidak Mantap Sedang</v>
      </c>
      <c r="AC101" s="19">
        <f>IF(Dashboard!$B$7="Mantap (%)",X101,IF(Dashboard!$B$7="Tidak Mantap (%)",Z101,IF(Dashboard!$B$7="Baik (%)",P101,IF(Dashboard!$B$7="Sedang (%)",R101,IF(Dashboard!$B$7="Rusak Ringan (%)",T101,IF(Dashboard!$B$7="Rusak Berat (%)",V101,AA101))))))</f>
        <v>0.29411765144151797</v>
      </c>
      <c r="AD101" s="20">
        <f>IF(AND(AF101=1,E101&gt;=Dashboard!$B$10,IF(Dashboard!$B$9="≤ Maksimum",AC101&lt;=Dashboard!$B$8,AC101&gt;=Dashboard!$B$8)),1,0)</f>
        <v>1</v>
      </c>
      <c r="AE101" s="20">
        <f>IF(AD101=1,COUNTIFS($AD$2:$AD$351,1,$AC$2:$AC$351,"&gt;"&amp;AC101)+COUNTIFS($AD$2:AD101,1,$AC$2:AC101,AC101),"")</f>
        <v>171</v>
      </c>
      <c r="AF101" s="20">
        <f>IF(OR(Dashboard!$B$6="Semua",ISNUMBER(SEARCH(Dashboard!$B$6,D101))),1,0)</f>
        <v>1</v>
      </c>
      <c r="AG101" s="18">
        <f t="shared" si="20"/>
        <v>0.68</v>
      </c>
      <c r="AH101" s="18">
        <f t="shared" si="21"/>
        <v>0.48000000417232513</v>
      </c>
      <c r="AI101" s="18">
        <f t="shared" si="22"/>
        <v>0.20000000298023224</v>
      </c>
      <c r="AJ101" s="18">
        <f t="shared" si="23"/>
        <v>0.10000000149011612</v>
      </c>
      <c r="AK101" s="20">
        <f>IF(OR(Ruas_Per_Kecamatan!$B$4="Semua",ISNUMBER(SEARCH(Ruas_Per_Kecamatan!$B$4,D101))),1,0)</f>
        <v>1</v>
      </c>
      <c r="AL101" s="20">
        <f>IF(AK101=1,COUNTIF($AK$2:AK101,1),"")</f>
        <v>100</v>
      </c>
      <c r="AM101" s="18">
        <f t="shared" si="24"/>
        <v>0.68</v>
      </c>
      <c r="AN101" s="18">
        <f t="shared" si="25"/>
        <v>0.48000000417232513</v>
      </c>
      <c r="AO101" s="18">
        <f t="shared" si="26"/>
        <v>0.20000000298023224</v>
      </c>
      <c r="AP101" s="18">
        <f t="shared" si="27"/>
        <v>0.10000000149011612</v>
      </c>
    </row>
    <row r="102" spans="1:42" x14ac:dyDescent="0.25">
      <c r="A102" s="17">
        <v>101</v>
      </c>
      <c r="B102" s="17" t="s">
        <v>549</v>
      </c>
      <c r="C102" s="21" t="s">
        <v>136</v>
      </c>
      <c r="D102" s="17" t="s">
        <v>532</v>
      </c>
      <c r="E102" s="18">
        <v>2.2200000000000002</v>
      </c>
      <c r="F102" s="18">
        <v>3.5</v>
      </c>
      <c r="G102" s="18">
        <v>0</v>
      </c>
      <c r="H102" s="18"/>
      <c r="I102" s="18">
        <v>2025</v>
      </c>
      <c r="J102" s="18">
        <v>2.2200000286102295</v>
      </c>
      <c r="K102" s="18">
        <v>0</v>
      </c>
      <c r="L102" s="18">
        <v>0</v>
      </c>
      <c r="M102" s="18">
        <v>0</v>
      </c>
      <c r="N102" s="18">
        <v>0</v>
      </c>
      <c r="O102" s="18">
        <v>1.6000000238418579</v>
      </c>
      <c r="P102" s="19">
        <v>0.72072073146029625</v>
      </c>
      <c r="Q102" s="18">
        <v>0.62000000476837158</v>
      </c>
      <c r="R102" s="19">
        <v>0.27927928142719438</v>
      </c>
      <c r="S102" s="18">
        <v>0</v>
      </c>
      <c r="T102" s="19">
        <v>0</v>
      </c>
      <c r="U102" s="18">
        <v>0</v>
      </c>
      <c r="V102" s="19">
        <v>0</v>
      </c>
      <c r="W102">
        <f t="shared" si="14"/>
        <v>2.2200000286102295</v>
      </c>
      <c r="X102" s="19">
        <f t="shared" si="15"/>
        <v>1.0000000128874906</v>
      </c>
      <c r="Y102">
        <f t="shared" si="16"/>
        <v>0</v>
      </c>
      <c r="Z102" s="19">
        <f t="shared" si="17"/>
        <v>0</v>
      </c>
      <c r="AA102" s="19">
        <f t="shared" si="18"/>
        <v>6.9819820356798595E-2</v>
      </c>
      <c r="AB102" t="str">
        <f t="shared" si="19"/>
        <v>Relatif Mantap</v>
      </c>
      <c r="AC102" s="19">
        <f>IF(Dashboard!$B$7="Mantap (%)",X102,IF(Dashboard!$B$7="Tidak Mantap (%)",Z102,IF(Dashboard!$B$7="Baik (%)",P102,IF(Dashboard!$B$7="Sedang (%)",R102,IF(Dashboard!$B$7="Rusak Ringan (%)",T102,IF(Dashboard!$B$7="Rusak Berat (%)",V102,AA102))))))</f>
        <v>0</v>
      </c>
      <c r="AD102" s="20">
        <f>IF(AND(AF102=1,E102&gt;=Dashboard!$B$10,IF(Dashboard!$B$9="≤ Maksimum",AC102&lt;=Dashboard!$B$8,AC102&gt;=Dashboard!$B$8)),1,0)</f>
        <v>0</v>
      </c>
      <c r="AE102" s="20" t="str">
        <f>IF(AD102=1,COUNTIFS($AD$2:$AD$351,1,$AC$2:$AC$351,"&gt;"&amp;AC102)+COUNTIFS($AD$2:AD102,1,$AC$2:AC102,AC102),"")</f>
        <v/>
      </c>
      <c r="AF102" s="20">
        <f>IF(OR(Dashboard!$B$6="Semua",ISNUMBER(SEARCH(Dashboard!$B$6,D102))),1,0)</f>
        <v>1</v>
      </c>
      <c r="AG102" s="18">
        <f t="shared" si="20"/>
        <v>2.2200000000000002</v>
      </c>
      <c r="AH102" s="18">
        <f t="shared" si="21"/>
        <v>2.2200000286102295</v>
      </c>
      <c r="AI102" s="18">
        <f t="shared" si="22"/>
        <v>0</v>
      </c>
      <c r="AJ102" s="18">
        <f t="shared" si="23"/>
        <v>0</v>
      </c>
      <c r="AK102" s="20">
        <f>IF(OR(Ruas_Per_Kecamatan!$B$4="Semua",ISNUMBER(SEARCH(Ruas_Per_Kecamatan!$B$4,D102))),1,0)</f>
        <v>1</v>
      </c>
      <c r="AL102" s="20">
        <f>IF(AK102=1,COUNTIF($AK$2:AK102,1),"")</f>
        <v>101</v>
      </c>
      <c r="AM102" s="18">
        <f t="shared" si="24"/>
        <v>2.2200000000000002</v>
      </c>
      <c r="AN102" s="18">
        <f t="shared" si="25"/>
        <v>2.2200000286102295</v>
      </c>
      <c r="AO102" s="18">
        <f t="shared" si="26"/>
        <v>0</v>
      </c>
      <c r="AP102" s="18">
        <f t="shared" si="27"/>
        <v>0</v>
      </c>
    </row>
    <row r="103" spans="1:42" ht="30" x14ac:dyDescent="0.25">
      <c r="A103" s="17">
        <v>102</v>
      </c>
      <c r="B103" s="17" t="s">
        <v>550</v>
      </c>
      <c r="C103" s="21" t="s">
        <v>137</v>
      </c>
      <c r="D103" s="17" t="s">
        <v>532</v>
      </c>
      <c r="E103" s="18">
        <v>4.9400000000000004</v>
      </c>
      <c r="F103" s="18">
        <v>5</v>
      </c>
      <c r="G103" s="18">
        <v>0</v>
      </c>
      <c r="H103" s="18"/>
      <c r="I103" s="18">
        <v>2025</v>
      </c>
      <c r="J103" s="18">
        <v>4.940000057220459</v>
      </c>
      <c r="K103" s="18">
        <v>0</v>
      </c>
      <c r="L103" s="18">
        <v>0</v>
      </c>
      <c r="M103" s="18">
        <v>0</v>
      </c>
      <c r="N103" s="18">
        <v>0</v>
      </c>
      <c r="O103" s="18">
        <v>0.14000000059604645</v>
      </c>
      <c r="P103" s="19">
        <v>2.8340081092317091E-2</v>
      </c>
      <c r="Q103" s="18">
        <v>1.8999999761581421</v>
      </c>
      <c r="R103" s="19">
        <v>0.38461537978909754</v>
      </c>
      <c r="S103" s="18">
        <v>2.5999999046325684</v>
      </c>
      <c r="T103" s="19">
        <v>0.52631577016853603</v>
      </c>
      <c r="U103" s="18">
        <v>0.30000001192092896</v>
      </c>
      <c r="V103" s="19">
        <v>6.0728747352414764E-2</v>
      </c>
      <c r="W103">
        <f t="shared" si="14"/>
        <v>2.0399999767541885</v>
      </c>
      <c r="X103" s="19">
        <f t="shared" si="15"/>
        <v>0.41295546088141466</v>
      </c>
      <c r="Y103">
        <f t="shared" si="16"/>
        <v>2.8999999165534973</v>
      </c>
      <c r="Z103" s="19">
        <f t="shared" si="17"/>
        <v>0.58704451752095088</v>
      </c>
      <c r="AA103" s="19">
        <f t="shared" si="18"/>
        <v>0.47267205440081073</v>
      </c>
      <c r="AB103" t="str">
        <f t="shared" si="19"/>
        <v>Tidak Mantap Tinggi</v>
      </c>
      <c r="AC103" s="19">
        <f>IF(Dashboard!$B$7="Mantap (%)",X103,IF(Dashboard!$B$7="Tidak Mantap (%)",Z103,IF(Dashboard!$B$7="Baik (%)",P103,IF(Dashboard!$B$7="Sedang (%)",R103,IF(Dashboard!$B$7="Rusak Ringan (%)",T103,IF(Dashboard!$B$7="Rusak Berat (%)",V103,AA103))))))</f>
        <v>0.58704451752095088</v>
      </c>
      <c r="AD103" s="20">
        <f>IF(AND(AF103=1,E103&gt;=Dashboard!$B$10,IF(Dashboard!$B$9="≤ Maksimum",AC103&lt;=Dashboard!$B$8,AC103&gt;=Dashboard!$B$8)),1,0)</f>
        <v>1</v>
      </c>
      <c r="AE103" s="20">
        <f>IF(AD103=1,COUNTIFS($AD$2:$AD$351,1,$AC$2:$AC$351,"&gt;"&amp;AC103)+COUNTIFS($AD$2:AD103,1,$AC$2:AC103,AC103),"")</f>
        <v>108</v>
      </c>
      <c r="AF103" s="20">
        <f>IF(OR(Dashboard!$B$6="Semua",ISNUMBER(SEARCH(Dashboard!$B$6,D103))),1,0)</f>
        <v>1</v>
      </c>
      <c r="AG103" s="18">
        <f t="shared" si="20"/>
        <v>4.9400000000000004</v>
      </c>
      <c r="AH103" s="18">
        <f t="shared" si="21"/>
        <v>2.0399999767541885</v>
      </c>
      <c r="AI103" s="18">
        <f t="shared" si="22"/>
        <v>2.8999999165534973</v>
      </c>
      <c r="AJ103" s="18">
        <f t="shared" si="23"/>
        <v>0.30000001192092896</v>
      </c>
      <c r="AK103" s="20">
        <f>IF(OR(Ruas_Per_Kecamatan!$B$4="Semua",ISNUMBER(SEARCH(Ruas_Per_Kecamatan!$B$4,D103))),1,0)</f>
        <v>1</v>
      </c>
      <c r="AL103" s="20">
        <f>IF(AK103=1,COUNTIF($AK$2:AK103,1),"")</f>
        <v>102</v>
      </c>
      <c r="AM103" s="18">
        <f t="shared" si="24"/>
        <v>4.9400000000000004</v>
      </c>
      <c r="AN103" s="18">
        <f t="shared" si="25"/>
        <v>2.0399999767541885</v>
      </c>
      <c r="AO103" s="18">
        <f t="shared" si="26"/>
        <v>2.8999999165534973</v>
      </c>
      <c r="AP103" s="18">
        <f t="shared" si="27"/>
        <v>0.30000001192092896</v>
      </c>
    </row>
    <row r="104" spans="1:42" x14ac:dyDescent="0.25">
      <c r="A104" s="17">
        <v>103</v>
      </c>
      <c r="B104" s="17" t="s">
        <v>551</v>
      </c>
      <c r="C104" s="21" t="s">
        <v>138</v>
      </c>
      <c r="D104" s="17" t="s">
        <v>532</v>
      </c>
      <c r="E104" s="18">
        <v>1.9</v>
      </c>
      <c r="F104" s="18">
        <v>3</v>
      </c>
      <c r="G104" s="18">
        <v>0</v>
      </c>
      <c r="H104" s="18"/>
      <c r="I104" s="18">
        <v>2025</v>
      </c>
      <c r="J104" s="18">
        <v>1.8999999761581421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9">
        <v>0</v>
      </c>
      <c r="Q104" s="18">
        <v>0.89999997615814209</v>
      </c>
      <c r="R104" s="19">
        <v>0.47368419797796957</v>
      </c>
      <c r="S104" s="18">
        <v>0.30000001192092896</v>
      </c>
      <c r="T104" s="19">
        <v>0.15789474311627841</v>
      </c>
      <c r="U104" s="18">
        <v>0.69999998807907104</v>
      </c>
      <c r="V104" s="19">
        <v>0.36842104635740586</v>
      </c>
      <c r="W104">
        <f t="shared" si="14"/>
        <v>0.89999997615814209</v>
      </c>
      <c r="X104" s="19">
        <f t="shared" si="15"/>
        <v>0.47368419797796957</v>
      </c>
      <c r="Y104">
        <f t="shared" si="16"/>
        <v>1</v>
      </c>
      <c r="Z104" s="19">
        <f t="shared" si="17"/>
        <v>0.52631578947368418</v>
      </c>
      <c r="AA104" s="19">
        <f t="shared" si="18"/>
        <v>0.58157894172166524</v>
      </c>
      <c r="AB104" t="str">
        <f t="shared" si="19"/>
        <v>Rusak Berat Dominan</v>
      </c>
      <c r="AC104" s="19">
        <f>IF(Dashboard!$B$7="Mantap (%)",X104,IF(Dashboard!$B$7="Tidak Mantap (%)",Z104,IF(Dashboard!$B$7="Baik (%)",P104,IF(Dashboard!$B$7="Sedang (%)",R104,IF(Dashboard!$B$7="Rusak Ringan (%)",T104,IF(Dashboard!$B$7="Rusak Berat (%)",V104,AA104))))))</f>
        <v>0.52631578947368418</v>
      </c>
      <c r="AD104" s="20">
        <f>IF(AND(AF104=1,E104&gt;=Dashboard!$B$10,IF(Dashboard!$B$9="≤ Maksimum",AC104&lt;=Dashboard!$B$8,AC104&gt;=Dashboard!$B$8)),1,0)</f>
        <v>1</v>
      </c>
      <c r="AE104" s="20">
        <f>IF(AD104=1,COUNTIFS($AD$2:$AD$351,1,$AC$2:$AC$351,"&gt;"&amp;AC104)+COUNTIFS($AD$2:AD104,1,$AC$2:AC104,AC104),"")</f>
        <v>120</v>
      </c>
      <c r="AF104" s="20">
        <f>IF(OR(Dashboard!$B$6="Semua",ISNUMBER(SEARCH(Dashboard!$B$6,D104))),1,0)</f>
        <v>1</v>
      </c>
      <c r="AG104" s="18">
        <f t="shared" si="20"/>
        <v>1.9</v>
      </c>
      <c r="AH104" s="18">
        <f t="shared" si="21"/>
        <v>0.89999997615814209</v>
      </c>
      <c r="AI104" s="18">
        <f t="shared" si="22"/>
        <v>1</v>
      </c>
      <c r="AJ104" s="18">
        <f t="shared" si="23"/>
        <v>0.69999998807907104</v>
      </c>
      <c r="AK104" s="20">
        <f>IF(OR(Ruas_Per_Kecamatan!$B$4="Semua",ISNUMBER(SEARCH(Ruas_Per_Kecamatan!$B$4,D104))),1,0)</f>
        <v>1</v>
      </c>
      <c r="AL104" s="20">
        <f>IF(AK104=1,COUNTIF($AK$2:AK104,1),"")</f>
        <v>103</v>
      </c>
      <c r="AM104" s="18">
        <f t="shared" si="24"/>
        <v>1.9</v>
      </c>
      <c r="AN104" s="18">
        <f t="shared" si="25"/>
        <v>0.89999997615814209</v>
      </c>
      <c r="AO104" s="18">
        <f t="shared" si="26"/>
        <v>1</v>
      </c>
      <c r="AP104" s="18">
        <f t="shared" si="27"/>
        <v>0.69999998807907104</v>
      </c>
    </row>
    <row r="105" spans="1:42" x14ac:dyDescent="0.25">
      <c r="A105" s="17">
        <v>104</v>
      </c>
      <c r="B105" s="17" t="s">
        <v>552</v>
      </c>
      <c r="C105" s="21" t="s">
        <v>139</v>
      </c>
      <c r="D105" s="17" t="s">
        <v>532</v>
      </c>
      <c r="E105" s="18">
        <v>1.59</v>
      </c>
      <c r="F105" s="18">
        <v>3</v>
      </c>
      <c r="G105" s="18">
        <v>0</v>
      </c>
      <c r="H105" s="18"/>
      <c r="I105" s="18">
        <v>2025</v>
      </c>
      <c r="J105" s="18">
        <v>1.5900000333786011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9">
        <v>0</v>
      </c>
      <c r="Q105" s="18">
        <v>0.10000000149011612</v>
      </c>
      <c r="R105" s="19">
        <v>6.2893082698186234E-2</v>
      </c>
      <c r="S105" s="18">
        <v>0.5</v>
      </c>
      <c r="T105" s="19">
        <v>0.31446540880503143</v>
      </c>
      <c r="U105" s="18">
        <v>0.99000000953674316</v>
      </c>
      <c r="V105" s="19">
        <v>0.62264151543191393</v>
      </c>
      <c r="W105">
        <f t="shared" si="14"/>
        <v>0.10000000149011612</v>
      </c>
      <c r="X105" s="19">
        <f t="shared" si="15"/>
        <v>6.2893082698186234E-2</v>
      </c>
      <c r="Y105">
        <f t="shared" si="16"/>
        <v>1.4900000095367432</v>
      </c>
      <c r="Z105" s="19">
        <f t="shared" si="17"/>
        <v>0.9371069242369453</v>
      </c>
      <c r="AA105" s="19">
        <f t="shared" si="18"/>
        <v>0.82704403138947935</v>
      </c>
      <c r="AB105" t="str">
        <f t="shared" si="19"/>
        <v>Rusak Berat Dominan</v>
      </c>
      <c r="AC105" s="19">
        <f>IF(Dashboard!$B$7="Mantap (%)",X105,IF(Dashboard!$B$7="Tidak Mantap (%)",Z105,IF(Dashboard!$B$7="Baik (%)",P105,IF(Dashboard!$B$7="Sedang (%)",R105,IF(Dashboard!$B$7="Rusak Ringan (%)",T105,IF(Dashboard!$B$7="Rusak Berat (%)",V105,AA105))))))</f>
        <v>0.9371069242369453</v>
      </c>
      <c r="AD105" s="20">
        <f>IF(AND(AF105=1,E105&gt;=Dashboard!$B$10,IF(Dashboard!$B$9="≤ Maksimum",AC105&lt;=Dashboard!$B$8,AC105&gt;=Dashboard!$B$8)),1,0)</f>
        <v>1</v>
      </c>
      <c r="AE105" s="20">
        <f>IF(AD105=1,COUNTIFS($AD$2:$AD$351,1,$AC$2:$AC$351,"&gt;"&amp;AC105)+COUNTIFS($AD$2:AD105,1,$AC$2:AC105,AC105),"")</f>
        <v>53</v>
      </c>
      <c r="AF105" s="20">
        <f>IF(OR(Dashboard!$B$6="Semua",ISNUMBER(SEARCH(Dashboard!$B$6,D105))),1,0)</f>
        <v>1</v>
      </c>
      <c r="AG105" s="18">
        <f t="shared" si="20"/>
        <v>1.59</v>
      </c>
      <c r="AH105" s="18">
        <f t="shared" si="21"/>
        <v>0.10000000149011612</v>
      </c>
      <c r="AI105" s="18">
        <f t="shared" si="22"/>
        <v>1.4900000095367432</v>
      </c>
      <c r="AJ105" s="18">
        <f t="shared" si="23"/>
        <v>0.99000000953674316</v>
      </c>
      <c r="AK105" s="20">
        <f>IF(OR(Ruas_Per_Kecamatan!$B$4="Semua",ISNUMBER(SEARCH(Ruas_Per_Kecamatan!$B$4,D105))),1,0)</f>
        <v>1</v>
      </c>
      <c r="AL105" s="20">
        <f>IF(AK105=1,COUNTIF($AK$2:AK105,1),"")</f>
        <v>104</v>
      </c>
      <c r="AM105" s="18">
        <f t="shared" si="24"/>
        <v>1.59</v>
      </c>
      <c r="AN105" s="18">
        <f t="shared" si="25"/>
        <v>0.10000000149011612</v>
      </c>
      <c r="AO105" s="18">
        <f t="shared" si="26"/>
        <v>1.4900000095367432</v>
      </c>
      <c r="AP105" s="18">
        <f t="shared" si="27"/>
        <v>0.99000000953674316</v>
      </c>
    </row>
    <row r="106" spans="1:42" ht="30" x14ac:dyDescent="0.25">
      <c r="A106" s="17">
        <v>105</v>
      </c>
      <c r="B106" s="17" t="s">
        <v>553</v>
      </c>
      <c r="C106" s="21" t="s">
        <v>140</v>
      </c>
      <c r="D106" s="17" t="s">
        <v>532</v>
      </c>
      <c r="E106" s="18">
        <v>2.11</v>
      </c>
      <c r="F106" s="18">
        <v>3</v>
      </c>
      <c r="G106" s="18">
        <v>0</v>
      </c>
      <c r="H106" s="18"/>
      <c r="I106" s="18">
        <v>2025</v>
      </c>
      <c r="J106" s="18">
        <v>2.1099998950958252</v>
      </c>
      <c r="K106" s="18">
        <v>0</v>
      </c>
      <c r="L106" s="18">
        <v>0</v>
      </c>
      <c r="M106" s="18">
        <v>0</v>
      </c>
      <c r="N106" s="18">
        <v>0</v>
      </c>
      <c r="O106" s="18">
        <v>0.5</v>
      </c>
      <c r="P106" s="19">
        <v>0.23696682464454977</v>
      </c>
      <c r="Q106" s="18">
        <v>1.1100000143051147</v>
      </c>
      <c r="R106" s="19">
        <v>0.52606635749057573</v>
      </c>
      <c r="S106" s="18">
        <v>0.20000000298023224</v>
      </c>
      <c r="T106" s="19">
        <v>9.478673127025225E-2</v>
      </c>
      <c r="U106" s="18">
        <v>0.30000001192092896</v>
      </c>
      <c r="V106" s="19">
        <v>0.14218010043645923</v>
      </c>
      <c r="W106">
        <f t="shared" si="14"/>
        <v>1.6100000143051147</v>
      </c>
      <c r="X106" s="19">
        <f t="shared" si="15"/>
        <v>0.7630331821351255</v>
      </c>
      <c r="Y106">
        <f t="shared" si="16"/>
        <v>0.50000001490116119</v>
      </c>
      <c r="Z106" s="19">
        <f t="shared" si="17"/>
        <v>0.23696683170671148</v>
      </c>
      <c r="AA106" s="19">
        <f t="shared" si="18"/>
        <v>0.33056872857125452</v>
      </c>
      <c r="AB106" t="str">
        <f t="shared" si="19"/>
        <v>Tidak Mantap Sedang</v>
      </c>
      <c r="AC106" s="19">
        <f>IF(Dashboard!$B$7="Mantap (%)",X106,IF(Dashboard!$B$7="Tidak Mantap (%)",Z106,IF(Dashboard!$B$7="Baik (%)",P106,IF(Dashboard!$B$7="Sedang (%)",R106,IF(Dashboard!$B$7="Rusak Ringan (%)",T106,IF(Dashboard!$B$7="Rusak Berat (%)",V106,AA106))))))</f>
        <v>0.23696683170671148</v>
      </c>
      <c r="AD106" s="20">
        <f>IF(AND(AF106=1,E106&gt;=Dashboard!$B$10,IF(Dashboard!$B$9="≤ Maksimum",AC106&lt;=Dashboard!$B$8,AC106&gt;=Dashboard!$B$8)),1,0)</f>
        <v>1</v>
      </c>
      <c r="AE106" s="20">
        <f>IF(AD106=1,COUNTIFS($AD$2:$AD$351,1,$AC$2:$AC$351,"&gt;"&amp;AC106)+COUNTIFS($AD$2:AD106,1,$AC$2:AC106,AC106),"")</f>
        <v>180</v>
      </c>
      <c r="AF106" s="20">
        <f>IF(OR(Dashboard!$B$6="Semua",ISNUMBER(SEARCH(Dashboard!$B$6,D106))),1,0)</f>
        <v>1</v>
      </c>
      <c r="AG106" s="18">
        <f t="shared" si="20"/>
        <v>2.11</v>
      </c>
      <c r="AH106" s="18">
        <f t="shared" si="21"/>
        <v>1.6100000143051147</v>
      </c>
      <c r="AI106" s="18">
        <f t="shared" si="22"/>
        <v>0.50000001490116119</v>
      </c>
      <c r="AJ106" s="18">
        <f t="shared" si="23"/>
        <v>0.30000001192092896</v>
      </c>
      <c r="AK106" s="20">
        <f>IF(OR(Ruas_Per_Kecamatan!$B$4="Semua",ISNUMBER(SEARCH(Ruas_Per_Kecamatan!$B$4,D106))),1,0)</f>
        <v>1</v>
      </c>
      <c r="AL106" s="20">
        <f>IF(AK106=1,COUNTIF($AK$2:AK106,1),"")</f>
        <v>105</v>
      </c>
      <c r="AM106" s="18">
        <f t="shared" si="24"/>
        <v>2.11</v>
      </c>
      <c r="AN106" s="18">
        <f t="shared" si="25"/>
        <v>1.6100000143051147</v>
      </c>
      <c r="AO106" s="18">
        <f t="shared" si="26"/>
        <v>0.50000001490116119</v>
      </c>
      <c r="AP106" s="18">
        <f t="shared" si="27"/>
        <v>0.30000001192092896</v>
      </c>
    </row>
    <row r="107" spans="1:42" x14ac:dyDescent="0.25">
      <c r="A107" s="17">
        <v>106</v>
      </c>
      <c r="B107" s="17" t="s">
        <v>554</v>
      </c>
      <c r="C107" s="21" t="s">
        <v>141</v>
      </c>
      <c r="D107" s="17" t="s">
        <v>142</v>
      </c>
      <c r="E107" s="18">
        <v>1.17</v>
      </c>
      <c r="F107" s="18">
        <v>3.5</v>
      </c>
      <c r="G107" s="18">
        <v>0</v>
      </c>
      <c r="H107" s="18"/>
      <c r="I107" s="18">
        <v>2025</v>
      </c>
      <c r="J107" s="18">
        <v>1.1699999570846558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9">
        <v>0</v>
      </c>
      <c r="Q107" s="18">
        <v>0.5</v>
      </c>
      <c r="R107" s="19">
        <v>0.42735042735042739</v>
      </c>
      <c r="S107" s="18">
        <v>0.67000001668930054</v>
      </c>
      <c r="T107" s="19">
        <v>0.57264958691393208</v>
      </c>
      <c r="U107" s="18">
        <v>0</v>
      </c>
      <c r="V107" s="19">
        <v>0</v>
      </c>
      <c r="W107">
        <f t="shared" si="14"/>
        <v>0.5</v>
      </c>
      <c r="X107" s="19">
        <f t="shared" si="15"/>
        <v>0.42735042735042739</v>
      </c>
      <c r="Y107">
        <f t="shared" si="16"/>
        <v>0.67000001668930054</v>
      </c>
      <c r="Z107" s="19">
        <f t="shared" si="17"/>
        <v>0.57264958691393208</v>
      </c>
      <c r="AA107" s="19">
        <f t="shared" si="18"/>
        <v>0.45042735898596609</v>
      </c>
      <c r="AB107" t="str">
        <f t="shared" si="19"/>
        <v>Tidak Mantap Tinggi</v>
      </c>
      <c r="AC107" s="19">
        <f>IF(Dashboard!$B$7="Mantap (%)",X107,IF(Dashboard!$B$7="Tidak Mantap (%)",Z107,IF(Dashboard!$B$7="Baik (%)",P107,IF(Dashboard!$B$7="Sedang (%)",R107,IF(Dashboard!$B$7="Rusak Ringan (%)",T107,IF(Dashboard!$B$7="Rusak Berat (%)",V107,AA107))))))</f>
        <v>0.57264958691393208</v>
      </c>
      <c r="AD107" s="20">
        <f>IF(AND(AF107=1,E107&gt;=Dashboard!$B$10,IF(Dashboard!$B$9="≤ Maksimum",AC107&lt;=Dashboard!$B$8,AC107&gt;=Dashboard!$B$8)),1,0)</f>
        <v>1</v>
      </c>
      <c r="AE107" s="20">
        <f>IF(AD107=1,COUNTIFS($AD$2:$AD$351,1,$AC$2:$AC$351,"&gt;"&amp;AC107)+COUNTIFS($AD$2:AD107,1,$AC$2:AC107,AC107),"")</f>
        <v>109</v>
      </c>
      <c r="AF107" s="20">
        <f>IF(OR(Dashboard!$B$6="Semua",ISNUMBER(SEARCH(Dashboard!$B$6,D107))),1,0)</f>
        <v>1</v>
      </c>
      <c r="AG107" s="18">
        <f t="shared" si="20"/>
        <v>1.17</v>
      </c>
      <c r="AH107" s="18">
        <f t="shared" si="21"/>
        <v>0.5</v>
      </c>
      <c r="AI107" s="18">
        <f t="shared" si="22"/>
        <v>0.67000001668930054</v>
      </c>
      <c r="AJ107" s="18">
        <f t="shared" si="23"/>
        <v>0</v>
      </c>
      <c r="AK107" s="20">
        <f>IF(OR(Ruas_Per_Kecamatan!$B$4="Semua",ISNUMBER(SEARCH(Ruas_Per_Kecamatan!$B$4,D107))),1,0)</f>
        <v>1</v>
      </c>
      <c r="AL107" s="20">
        <f>IF(AK107=1,COUNTIF($AK$2:AK107,1),"")</f>
        <v>106</v>
      </c>
      <c r="AM107" s="18">
        <f t="shared" si="24"/>
        <v>1.17</v>
      </c>
      <c r="AN107" s="18">
        <f t="shared" si="25"/>
        <v>0.5</v>
      </c>
      <c r="AO107" s="18">
        <f t="shared" si="26"/>
        <v>0.67000001668930054</v>
      </c>
      <c r="AP107" s="18">
        <f t="shared" si="27"/>
        <v>0</v>
      </c>
    </row>
    <row r="108" spans="1:42" ht="30" x14ac:dyDescent="0.25">
      <c r="A108" s="17">
        <v>107</v>
      </c>
      <c r="B108" s="17" t="s">
        <v>555</v>
      </c>
      <c r="C108" s="21" t="s">
        <v>143</v>
      </c>
      <c r="D108" s="17" t="s">
        <v>532</v>
      </c>
      <c r="E108" s="18">
        <v>2.04</v>
      </c>
      <c r="F108" s="18">
        <v>3</v>
      </c>
      <c r="G108" s="18">
        <v>0</v>
      </c>
      <c r="H108" s="18"/>
      <c r="I108" s="18">
        <v>2025</v>
      </c>
      <c r="J108" s="18">
        <v>0</v>
      </c>
      <c r="K108" s="18">
        <v>0</v>
      </c>
      <c r="L108" s="18">
        <v>0</v>
      </c>
      <c r="M108" s="18">
        <v>2.0399999618530273</v>
      </c>
      <c r="N108" s="18">
        <v>0</v>
      </c>
      <c r="O108" s="18">
        <v>0</v>
      </c>
      <c r="P108" s="19">
        <v>0</v>
      </c>
      <c r="Q108" s="18">
        <v>0</v>
      </c>
      <c r="R108" s="19">
        <v>0</v>
      </c>
      <c r="S108" s="18">
        <v>0</v>
      </c>
      <c r="T108" s="19">
        <v>0</v>
      </c>
      <c r="U108" s="18">
        <v>2.0399999618530273</v>
      </c>
      <c r="V108" s="19">
        <v>0.9999999813005036</v>
      </c>
      <c r="W108">
        <f t="shared" si="14"/>
        <v>0</v>
      </c>
      <c r="X108" s="19">
        <f t="shared" si="15"/>
        <v>0</v>
      </c>
      <c r="Y108">
        <f t="shared" si="16"/>
        <v>2.0399999618530273</v>
      </c>
      <c r="Z108" s="19">
        <f t="shared" si="17"/>
        <v>0.9999999813005036</v>
      </c>
      <c r="AA108" s="19">
        <f t="shared" si="18"/>
        <v>0.9999999813005036</v>
      </c>
      <c r="AB108" t="str">
        <f t="shared" si="19"/>
        <v>Rusak Berat Dominan</v>
      </c>
      <c r="AC108" s="19">
        <f>IF(Dashboard!$B$7="Mantap (%)",X108,IF(Dashboard!$B$7="Tidak Mantap (%)",Z108,IF(Dashboard!$B$7="Baik (%)",P108,IF(Dashboard!$B$7="Sedang (%)",R108,IF(Dashboard!$B$7="Rusak Ringan (%)",T108,IF(Dashboard!$B$7="Rusak Berat (%)",V108,AA108))))))</f>
        <v>0.9999999813005036</v>
      </c>
      <c r="AD108" s="20">
        <f>IF(AND(AF108=1,E108&gt;=Dashboard!$B$10,IF(Dashboard!$B$9="≤ Maksimum",AC108&lt;=Dashboard!$B$8,AC108&gt;=Dashboard!$B$8)),1,0)</f>
        <v>1</v>
      </c>
      <c r="AE108" s="20">
        <f>IF(AD108=1,COUNTIFS($AD$2:$AD$351,1,$AC$2:$AC$351,"&gt;"&amp;AC108)+COUNTIFS($AD$2:AD108,1,$AC$2:AC108,AC108),"")</f>
        <v>38</v>
      </c>
      <c r="AF108" s="20">
        <f>IF(OR(Dashboard!$B$6="Semua",ISNUMBER(SEARCH(Dashboard!$B$6,D108))),1,0)</f>
        <v>1</v>
      </c>
      <c r="AG108" s="18">
        <f t="shared" si="20"/>
        <v>2.04</v>
      </c>
      <c r="AH108" s="18">
        <f t="shared" si="21"/>
        <v>0</v>
      </c>
      <c r="AI108" s="18">
        <f t="shared" si="22"/>
        <v>2.0399999618530273</v>
      </c>
      <c r="AJ108" s="18">
        <f t="shared" si="23"/>
        <v>2.0399999618530273</v>
      </c>
      <c r="AK108" s="20">
        <f>IF(OR(Ruas_Per_Kecamatan!$B$4="Semua",ISNUMBER(SEARCH(Ruas_Per_Kecamatan!$B$4,D108))),1,0)</f>
        <v>1</v>
      </c>
      <c r="AL108" s="20">
        <f>IF(AK108=1,COUNTIF($AK$2:AK108,1),"")</f>
        <v>107</v>
      </c>
      <c r="AM108" s="18">
        <f t="shared" si="24"/>
        <v>2.04</v>
      </c>
      <c r="AN108" s="18">
        <f t="shared" si="25"/>
        <v>0</v>
      </c>
      <c r="AO108" s="18">
        <f t="shared" si="26"/>
        <v>2.0399999618530273</v>
      </c>
      <c r="AP108" s="18">
        <f t="shared" si="27"/>
        <v>2.0399999618530273</v>
      </c>
    </row>
    <row r="109" spans="1:42" ht="30" x14ac:dyDescent="0.25">
      <c r="A109" s="17">
        <v>108</v>
      </c>
      <c r="B109" s="17" t="s">
        <v>556</v>
      </c>
      <c r="C109" s="21" t="s">
        <v>144</v>
      </c>
      <c r="D109" s="17" t="s">
        <v>532</v>
      </c>
      <c r="E109" s="18">
        <v>0.66</v>
      </c>
      <c r="F109" s="18">
        <v>3</v>
      </c>
      <c r="G109" s="18">
        <v>0</v>
      </c>
      <c r="H109" s="18"/>
      <c r="I109" s="18">
        <v>2025</v>
      </c>
      <c r="J109" s="18">
        <v>0.6600000262260437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9">
        <v>0</v>
      </c>
      <c r="Q109" s="18">
        <v>0.20000000298023224</v>
      </c>
      <c r="R109" s="19">
        <v>0.3030303075458064</v>
      </c>
      <c r="S109" s="18">
        <v>0.10000000149011612</v>
      </c>
      <c r="T109" s="19">
        <v>0.1515151537729032</v>
      </c>
      <c r="U109" s="18">
        <v>0.36000001430511475</v>
      </c>
      <c r="V109" s="19">
        <v>0.54545456712896168</v>
      </c>
      <c r="W109">
        <f t="shared" si="14"/>
        <v>0.20000000298023224</v>
      </c>
      <c r="X109" s="19">
        <f t="shared" si="15"/>
        <v>0.3030303075458064</v>
      </c>
      <c r="Y109">
        <f t="shared" si="16"/>
        <v>0.46000001579523087</v>
      </c>
      <c r="Z109" s="19">
        <f t="shared" si="17"/>
        <v>0.69696972090186493</v>
      </c>
      <c r="AA109" s="19">
        <f t="shared" si="18"/>
        <v>0.71212123627915513</v>
      </c>
      <c r="AB109" t="str">
        <f t="shared" si="19"/>
        <v>Rusak Berat Dominan</v>
      </c>
      <c r="AC109" s="19">
        <f>IF(Dashboard!$B$7="Mantap (%)",X109,IF(Dashboard!$B$7="Tidak Mantap (%)",Z109,IF(Dashboard!$B$7="Baik (%)",P109,IF(Dashboard!$B$7="Sedang (%)",R109,IF(Dashboard!$B$7="Rusak Ringan (%)",T109,IF(Dashboard!$B$7="Rusak Berat (%)",V109,AA109))))))</f>
        <v>0.69696972090186493</v>
      </c>
      <c r="AD109" s="20">
        <f>IF(AND(AF109=1,E109&gt;=Dashboard!$B$10,IF(Dashboard!$B$9="≤ Maksimum",AC109&lt;=Dashboard!$B$8,AC109&gt;=Dashboard!$B$8)),1,0)</f>
        <v>1</v>
      </c>
      <c r="AE109" s="20">
        <f>IF(AD109=1,COUNTIFS($AD$2:$AD$351,1,$AC$2:$AC$351,"&gt;"&amp;AC109)+COUNTIFS($AD$2:AD109,1,$AC$2:AC109,AC109),"")</f>
        <v>87</v>
      </c>
      <c r="AF109" s="20">
        <f>IF(OR(Dashboard!$B$6="Semua",ISNUMBER(SEARCH(Dashboard!$B$6,D109))),1,0)</f>
        <v>1</v>
      </c>
      <c r="AG109" s="18">
        <f t="shared" si="20"/>
        <v>0.66</v>
      </c>
      <c r="AH109" s="18">
        <f t="shared" si="21"/>
        <v>0.20000000298023224</v>
      </c>
      <c r="AI109" s="18">
        <f t="shared" si="22"/>
        <v>0.46000001579523087</v>
      </c>
      <c r="AJ109" s="18">
        <f t="shared" si="23"/>
        <v>0.36000001430511475</v>
      </c>
      <c r="AK109" s="20">
        <f>IF(OR(Ruas_Per_Kecamatan!$B$4="Semua",ISNUMBER(SEARCH(Ruas_Per_Kecamatan!$B$4,D109))),1,0)</f>
        <v>1</v>
      </c>
      <c r="AL109" s="20">
        <f>IF(AK109=1,COUNTIF($AK$2:AK109,1),"")</f>
        <v>108</v>
      </c>
      <c r="AM109" s="18">
        <f t="shared" si="24"/>
        <v>0.66</v>
      </c>
      <c r="AN109" s="18">
        <f t="shared" si="25"/>
        <v>0.20000000298023224</v>
      </c>
      <c r="AO109" s="18">
        <f t="shared" si="26"/>
        <v>0.46000001579523087</v>
      </c>
      <c r="AP109" s="18">
        <f t="shared" si="27"/>
        <v>0.36000001430511475</v>
      </c>
    </row>
    <row r="110" spans="1:42" x14ac:dyDescent="0.25">
      <c r="A110" s="17">
        <v>109</v>
      </c>
      <c r="B110" s="17" t="s">
        <v>557</v>
      </c>
      <c r="C110" s="21" t="s">
        <v>145</v>
      </c>
      <c r="D110" s="17" t="s">
        <v>532</v>
      </c>
      <c r="E110" s="18">
        <v>1.1100000000000001</v>
      </c>
      <c r="F110" s="18">
        <v>3</v>
      </c>
      <c r="G110" s="18">
        <v>0</v>
      </c>
      <c r="H110" s="18"/>
      <c r="I110" s="18">
        <v>2025</v>
      </c>
      <c r="J110" s="18">
        <v>1.1100000143051147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9">
        <v>0</v>
      </c>
      <c r="Q110" s="18">
        <v>1.1100000143051147</v>
      </c>
      <c r="R110" s="19">
        <v>1.0000000128874906</v>
      </c>
      <c r="S110" s="18">
        <v>0</v>
      </c>
      <c r="T110" s="19">
        <v>0</v>
      </c>
      <c r="U110" s="18">
        <v>0</v>
      </c>
      <c r="V110" s="19">
        <v>0</v>
      </c>
      <c r="W110">
        <f t="shared" si="14"/>
        <v>1.1100000143051147</v>
      </c>
      <c r="X110" s="19">
        <f t="shared" si="15"/>
        <v>1.0000000128874906</v>
      </c>
      <c r="Y110">
        <f t="shared" si="16"/>
        <v>0</v>
      </c>
      <c r="Z110" s="19">
        <f t="shared" si="17"/>
        <v>0</v>
      </c>
      <c r="AA110" s="19">
        <f t="shared" si="18"/>
        <v>0.25000000322187266</v>
      </c>
      <c r="AB110" t="str">
        <f t="shared" si="19"/>
        <v>Relatif Mantap</v>
      </c>
      <c r="AC110" s="19">
        <f>IF(Dashboard!$B$7="Mantap (%)",X110,IF(Dashboard!$B$7="Tidak Mantap (%)",Z110,IF(Dashboard!$B$7="Baik (%)",P110,IF(Dashboard!$B$7="Sedang (%)",R110,IF(Dashboard!$B$7="Rusak Ringan (%)",T110,IF(Dashboard!$B$7="Rusak Berat (%)",V110,AA110))))))</f>
        <v>0</v>
      </c>
      <c r="AD110" s="20">
        <f>IF(AND(AF110=1,E110&gt;=Dashboard!$B$10,IF(Dashboard!$B$9="≤ Maksimum",AC110&lt;=Dashboard!$B$8,AC110&gt;=Dashboard!$B$8)),1,0)</f>
        <v>0</v>
      </c>
      <c r="AE110" s="20" t="str">
        <f>IF(AD110=1,COUNTIFS($AD$2:$AD$351,1,$AC$2:$AC$351,"&gt;"&amp;AC110)+COUNTIFS($AD$2:AD110,1,$AC$2:AC110,AC110),"")</f>
        <v/>
      </c>
      <c r="AF110" s="20">
        <f>IF(OR(Dashboard!$B$6="Semua",ISNUMBER(SEARCH(Dashboard!$B$6,D110))),1,0)</f>
        <v>1</v>
      </c>
      <c r="AG110" s="18">
        <f t="shared" si="20"/>
        <v>1.1100000000000001</v>
      </c>
      <c r="AH110" s="18">
        <f t="shared" si="21"/>
        <v>1.1100000143051147</v>
      </c>
      <c r="AI110" s="18">
        <f t="shared" si="22"/>
        <v>0</v>
      </c>
      <c r="AJ110" s="18">
        <f t="shared" si="23"/>
        <v>0</v>
      </c>
      <c r="AK110" s="20">
        <f>IF(OR(Ruas_Per_Kecamatan!$B$4="Semua",ISNUMBER(SEARCH(Ruas_Per_Kecamatan!$B$4,D110))),1,0)</f>
        <v>1</v>
      </c>
      <c r="AL110" s="20">
        <f>IF(AK110=1,COUNTIF($AK$2:AK110,1),"")</f>
        <v>109</v>
      </c>
      <c r="AM110" s="18">
        <f t="shared" si="24"/>
        <v>1.1100000000000001</v>
      </c>
      <c r="AN110" s="18">
        <f t="shared" si="25"/>
        <v>1.1100000143051147</v>
      </c>
      <c r="AO110" s="18">
        <f t="shared" si="26"/>
        <v>0</v>
      </c>
      <c r="AP110" s="18">
        <f t="shared" si="27"/>
        <v>0</v>
      </c>
    </row>
    <row r="111" spans="1:42" x14ac:dyDescent="0.25">
      <c r="A111" s="17">
        <v>110</v>
      </c>
      <c r="B111" s="17" t="s">
        <v>558</v>
      </c>
      <c r="C111" s="21" t="s">
        <v>146</v>
      </c>
      <c r="D111" s="17" t="s">
        <v>532</v>
      </c>
      <c r="E111" s="18">
        <v>0.64</v>
      </c>
      <c r="F111" s="18">
        <v>3</v>
      </c>
      <c r="G111" s="18">
        <v>0</v>
      </c>
      <c r="H111" s="18"/>
      <c r="I111" s="18">
        <v>2025</v>
      </c>
      <c r="J111" s="18">
        <v>0.63999998569488525</v>
      </c>
      <c r="K111" s="18">
        <v>0</v>
      </c>
      <c r="L111" s="18">
        <v>0</v>
      </c>
      <c r="M111" s="18">
        <v>0</v>
      </c>
      <c r="N111" s="18">
        <v>0</v>
      </c>
      <c r="O111" s="18">
        <v>0.20000000298023224</v>
      </c>
      <c r="P111" s="19">
        <v>0.31250000465661287</v>
      </c>
      <c r="Q111" s="18">
        <v>0.43999999761581421</v>
      </c>
      <c r="R111" s="19">
        <v>0.6874999962747097</v>
      </c>
      <c r="S111" s="18">
        <v>0</v>
      </c>
      <c r="T111" s="19">
        <v>0</v>
      </c>
      <c r="U111" s="18">
        <v>0</v>
      </c>
      <c r="V111" s="19">
        <v>0</v>
      </c>
      <c r="W111">
        <f t="shared" si="14"/>
        <v>0.64000000059604645</v>
      </c>
      <c r="X111" s="19">
        <f t="shared" si="15"/>
        <v>1.0000000009313226</v>
      </c>
      <c r="Y111">
        <f t="shared" si="16"/>
        <v>0</v>
      </c>
      <c r="Z111" s="19">
        <f t="shared" si="17"/>
        <v>0</v>
      </c>
      <c r="AA111" s="19">
        <f t="shared" si="18"/>
        <v>0.17187499906867743</v>
      </c>
      <c r="AB111" t="str">
        <f t="shared" si="19"/>
        <v>Relatif Mantap</v>
      </c>
      <c r="AC111" s="19">
        <f>IF(Dashboard!$B$7="Mantap (%)",X111,IF(Dashboard!$B$7="Tidak Mantap (%)",Z111,IF(Dashboard!$B$7="Baik (%)",P111,IF(Dashboard!$B$7="Sedang (%)",R111,IF(Dashboard!$B$7="Rusak Ringan (%)",T111,IF(Dashboard!$B$7="Rusak Berat (%)",V111,AA111))))))</f>
        <v>0</v>
      </c>
      <c r="AD111" s="20">
        <f>IF(AND(AF111=1,E111&gt;=Dashboard!$B$10,IF(Dashboard!$B$9="≤ Maksimum",AC111&lt;=Dashboard!$B$8,AC111&gt;=Dashboard!$B$8)),1,0)</f>
        <v>0</v>
      </c>
      <c r="AE111" s="20" t="str">
        <f>IF(AD111=1,COUNTIFS($AD$2:$AD$351,1,$AC$2:$AC$351,"&gt;"&amp;AC111)+COUNTIFS($AD$2:AD111,1,$AC$2:AC111,AC111),"")</f>
        <v/>
      </c>
      <c r="AF111" s="20">
        <f>IF(OR(Dashboard!$B$6="Semua",ISNUMBER(SEARCH(Dashboard!$B$6,D111))),1,0)</f>
        <v>1</v>
      </c>
      <c r="AG111" s="18">
        <f t="shared" si="20"/>
        <v>0.64</v>
      </c>
      <c r="AH111" s="18">
        <f t="shared" si="21"/>
        <v>0.64000000059604645</v>
      </c>
      <c r="AI111" s="18">
        <f t="shared" si="22"/>
        <v>0</v>
      </c>
      <c r="AJ111" s="18">
        <f t="shared" si="23"/>
        <v>0</v>
      </c>
      <c r="AK111" s="20">
        <f>IF(OR(Ruas_Per_Kecamatan!$B$4="Semua",ISNUMBER(SEARCH(Ruas_Per_Kecamatan!$B$4,D111))),1,0)</f>
        <v>1</v>
      </c>
      <c r="AL111" s="20">
        <f>IF(AK111=1,COUNTIF($AK$2:AK111,1),"")</f>
        <v>110</v>
      </c>
      <c r="AM111" s="18">
        <f t="shared" si="24"/>
        <v>0.64</v>
      </c>
      <c r="AN111" s="18">
        <f t="shared" si="25"/>
        <v>0.64000000059604645</v>
      </c>
      <c r="AO111" s="18">
        <f t="shared" si="26"/>
        <v>0</v>
      </c>
      <c r="AP111" s="18">
        <f t="shared" si="27"/>
        <v>0</v>
      </c>
    </row>
    <row r="112" spans="1:42" x14ac:dyDescent="0.25">
      <c r="A112" s="17">
        <v>111</v>
      </c>
      <c r="B112" s="17" t="s">
        <v>559</v>
      </c>
      <c r="C112" s="21" t="s">
        <v>147</v>
      </c>
      <c r="D112" s="17" t="s">
        <v>532</v>
      </c>
      <c r="E112" s="18">
        <v>1.96</v>
      </c>
      <c r="F112" s="18">
        <v>3.5</v>
      </c>
      <c r="G112" s="18">
        <v>0</v>
      </c>
      <c r="H112" s="18"/>
      <c r="I112" s="18">
        <v>2025</v>
      </c>
      <c r="J112" s="18">
        <v>1.9600000381469727</v>
      </c>
      <c r="K112" s="18">
        <v>0</v>
      </c>
      <c r="L112" s="18">
        <v>0</v>
      </c>
      <c r="M112" s="18">
        <v>0</v>
      </c>
      <c r="N112" s="18">
        <v>0</v>
      </c>
      <c r="O112" s="18">
        <v>0.60000002384185791</v>
      </c>
      <c r="P112" s="19">
        <v>0.30612246114380504</v>
      </c>
      <c r="Q112" s="18">
        <v>0.80000001192092896</v>
      </c>
      <c r="R112" s="19">
        <v>0.40816327138822905</v>
      </c>
      <c r="S112" s="18">
        <v>0.46000000834465027</v>
      </c>
      <c r="T112" s="19">
        <v>0.23469388180849504</v>
      </c>
      <c r="U112" s="18">
        <v>0.10000000149011612</v>
      </c>
      <c r="V112" s="19">
        <v>5.1020408923528632E-2</v>
      </c>
      <c r="W112">
        <f t="shared" si="14"/>
        <v>1.4000000357627869</v>
      </c>
      <c r="X112" s="19">
        <f t="shared" si="15"/>
        <v>0.71428573253203409</v>
      </c>
      <c r="Y112">
        <f t="shared" si="16"/>
        <v>0.56000000983476639</v>
      </c>
      <c r="Z112" s="19">
        <f t="shared" si="17"/>
        <v>0.28571429073202365</v>
      </c>
      <c r="AA112" s="19">
        <f t="shared" si="18"/>
        <v>0.29387755585568293</v>
      </c>
      <c r="AB112" t="str">
        <f t="shared" si="19"/>
        <v>Tidak Mantap Sedang</v>
      </c>
      <c r="AC112" s="19">
        <f>IF(Dashboard!$B$7="Mantap (%)",X112,IF(Dashboard!$B$7="Tidak Mantap (%)",Z112,IF(Dashboard!$B$7="Baik (%)",P112,IF(Dashboard!$B$7="Sedang (%)",R112,IF(Dashboard!$B$7="Rusak Ringan (%)",T112,IF(Dashboard!$B$7="Rusak Berat (%)",V112,AA112))))))</f>
        <v>0.28571429073202365</v>
      </c>
      <c r="AD112" s="20">
        <f>IF(AND(AF112=1,E112&gt;=Dashboard!$B$10,IF(Dashboard!$B$9="≤ Maksimum",AC112&lt;=Dashboard!$B$8,AC112&gt;=Dashboard!$B$8)),1,0)</f>
        <v>1</v>
      </c>
      <c r="AE112" s="20">
        <f>IF(AD112=1,COUNTIFS($AD$2:$AD$351,1,$AC$2:$AC$351,"&gt;"&amp;AC112)+COUNTIFS($AD$2:AD112,1,$AC$2:AC112,AC112),"")</f>
        <v>173</v>
      </c>
      <c r="AF112" s="20">
        <f>IF(OR(Dashboard!$B$6="Semua",ISNUMBER(SEARCH(Dashboard!$B$6,D112))),1,0)</f>
        <v>1</v>
      </c>
      <c r="AG112" s="18">
        <f t="shared" si="20"/>
        <v>1.96</v>
      </c>
      <c r="AH112" s="18">
        <f t="shared" si="21"/>
        <v>1.4000000357627869</v>
      </c>
      <c r="AI112" s="18">
        <f t="shared" si="22"/>
        <v>0.56000000983476639</v>
      </c>
      <c r="AJ112" s="18">
        <f t="shared" si="23"/>
        <v>0.10000000149011612</v>
      </c>
      <c r="AK112" s="20">
        <f>IF(OR(Ruas_Per_Kecamatan!$B$4="Semua",ISNUMBER(SEARCH(Ruas_Per_Kecamatan!$B$4,D112))),1,0)</f>
        <v>1</v>
      </c>
      <c r="AL112" s="20">
        <f>IF(AK112=1,COUNTIF($AK$2:AK112,1),"")</f>
        <v>111</v>
      </c>
      <c r="AM112" s="18">
        <f t="shared" si="24"/>
        <v>1.96</v>
      </c>
      <c r="AN112" s="18">
        <f t="shared" si="25"/>
        <v>1.4000000357627869</v>
      </c>
      <c r="AO112" s="18">
        <f t="shared" si="26"/>
        <v>0.56000000983476639</v>
      </c>
      <c r="AP112" s="18">
        <f t="shared" si="27"/>
        <v>0.10000000149011612</v>
      </c>
    </row>
    <row r="113" spans="1:42" x14ac:dyDescent="0.25">
      <c r="A113" s="17">
        <v>112</v>
      </c>
      <c r="B113" s="17" t="s">
        <v>560</v>
      </c>
      <c r="C113" s="21" t="s">
        <v>148</v>
      </c>
      <c r="D113" s="17" t="s">
        <v>532</v>
      </c>
      <c r="E113" s="18">
        <v>0.79</v>
      </c>
      <c r="F113" s="18">
        <v>3.5</v>
      </c>
      <c r="G113" s="18">
        <v>0</v>
      </c>
      <c r="H113" s="18"/>
      <c r="I113" s="18">
        <v>2025</v>
      </c>
      <c r="J113" s="18">
        <v>0.79000002145767212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9">
        <v>0</v>
      </c>
      <c r="Q113" s="18">
        <v>0</v>
      </c>
      <c r="R113" s="19">
        <v>0</v>
      </c>
      <c r="S113" s="18">
        <v>0.79000002145767212</v>
      </c>
      <c r="T113" s="19">
        <v>1.0000000271616103</v>
      </c>
      <c r="U113" s="18">
        <v>0</v>
      </c>
      <c r="V113" s="19">
        <v>0</v>
      </c>
      <c r="W113">
        <f t="shared" si="14"/>
        <v>0</v>
      </c>
      <c r="X113" s="19">
        <f t="shared" si="15"/>
        <v>0</v>
      </c>
      <c r="Y113">
        <f t="shared" si="16"/>
        <v>0.79000002145767212</v>
      </c>
      <c r="Z113" s="19">
        <f t="shared" si="17"/>
        <v>1.0000000271616103</v>
      </c>
      <c r="AA113" s="19">
        <f t="shared" si="18"/>
        <v>0.6000000162969662</v>
      </c>
      <c r="AB113" t="str">
        <f t="shared" si="19"/>
        <v>Tidak Mantap Tinggi</v>
      </c>
      <c r="AC113" s="19">
        <f>IF(Dashboard!$B$7="Mantap (%)",X113,IF(Dashboard!$B$7="Tidak Mantap (%)",Z113,IF(Dashboard!$B$7="Baik (%)",P113,IF(Dashboard!$B$7="Sedang (%)",R113,IF(Dashboard!$B$7="Rusak Ringan (%)",T113,IF(Dashboard!$B$7="Rusak Berat (%)",V113,AA113))))))</f>
        <v>1.0000000271616103</v>
      </c>
      <c r="AD113" s="20">
        <f>IF(AND(AF113=1,E113&gt;=Dashboard!$B$10,IF(Dashboard!$B$9="≤ Maksimum",AC113&lt;=Dashboard!$B$8,AC113&gt;=Dashboard!$B$8)),1,0)</f>
        <v>1</v>
      </c>
      <c r="AE113" s="20">
        <f>IF(AD113=1,COUNTIFS($AD$2:$AD$351,1,$AC$2:$AC$351,"&gt;"&amp;AC113)+COUNTIFS($AD$2:AD113,1,$AC$2:AC113,AC113),"")</f>
        <v>9</v>
      </c>
      <c r="AF113" s="20">
        <f>IF(OR(Dashboard!$B$6="Semua",ISNUMBER(SEARCH(Dashboard!$B$6,D113))),1,0)</f>
        <v>1</v>
      </c>
      <c r="AG113" s="18">
        <f t="shared" si="20"/>
        <v>0.79</v>
      </c>
      <c r="AH113" s="18">
        <f t="shared" si="21"/>
        <v>0</v>
      </c>
      <c r="AI113" s="18">
        <f t="shared" si="22"/>
        <v>0.79000002145767212</v>
      </c>
      <c r="AJ113" s="18">
        <f t="shared" si="23"/>
        <v>0</v>
      </c>
      <c r="AK113" s="20">
        <f>IF(OR(Ruas_Per_Kecamatan!$B$4="Semua",ISNUMBER(SEARCH(Ruas_Per_Kecamatan!$B$4,D113))),1,0)</f>
        <v>1</v>
      </c>
      <c r="AL113" s="20">
        <f>IF(AK113=1,COUNTIF($AK$2:AK113,1),"")</f>
        <v>112</v>
      </c>
      <c r="AM113" s="18">
        <f t="shared" si="24"/>
        <v>0.79</v>
      </c>
      <c r="AN113" s="18">
        <f t="shared" si="25"/>
        <v>0</v>
      </c>
      <c r="AO113" s="18">
        <f t="shared" si="26"/>
        <v>0.79000002145767212</v>
      </c>
      <c r="AP113" s="18">
        <f t="shared" si="27"/>
        <v>0</v>
      </c>
    </row>
    <row r="114" spans="1:42" x14ac:dyDescent="0.25">
      <c r="A114" s="17">
        <v>113</v>
      </c>
      <c r="B114" s="17" t="s">
        <v>561</v>
      </c>
      <c r="C114" s="21" t="s">
        <v>149</v>
      </c>
      <c r="D114" s="17" t="s">
        <v>532</v>
      </c>
      <c r="E114" s="18">
        <v>0.55000000000000004</v>
      </c>
      <c r="F114" s="18">
        <v>3.5</v>
      </c>
      <c r="G114" s="18">
        <v>0</v>
      </c>
      <c r="H114" s="18"/>
      <c r="I114" s="18">
        <v>2025</v>
      </c>
      <c r="J114" s="18">
        <v>0.55000001192092896</v>
      </c>
      <c r="K114" s="18">
        <v>0</v>
      </c>
      <c r="L114" s="18">
        <v>0</v>
      </c>
      <c r="M114" s="18">
        <v>0</v>
      </c>
      <c r="N114" s="18">
        <v>0</v>
      </c>
      <c r="O114" s="18">
        <v>0.44999998807907104</v>
      </c>
      <c r="P114" s="19">
        <v>0.81818179650740186</v>
      </c>
      <c r="Q114" s="18">
        <v>0.10000000149011612</v>
      </c>
      <c r="R114" s="19">
        <v>0.18181818452748383</v>
      </c>
      <c r="S114" s="18">
        <v>0</v>
      </c>
      <c r="T114" s="19">
        <v>0</v>
      </c>
      <c r="U114" s="18">
        <v>0</v>
      </c>
      <c r="V114" s="19">
        <v>0</v>
      </c>
      <c r="W114">
        <f t="shared" si="14"/>
        <v>0.54999998956918716</v>
      </c>
      <c r="X114" s="19">
        <f t="shared" si="15"/>
        <v>0.99999998103488563</v>
      </c>
      <c r="Y114">
        <f t="shared" si="16"/>
        <v>0</v>
      </c>
      <c r="Z114" s="19">
        <f t="shared" si="17"/>
        <v>0</v>
      </c>
      <c r="AA114" s="19">
        <f t="shared" si="18"/>
        <v>4.5454546131870957E-2</v>
      </c>
      <c r="AB114" t="str">
        <f t="shared" si="19"/>
        <v>Relatif Mantap</v>
      </c>
      <c r="AC114" s="19">
        <f>IF(Dashboard!$B$7="Mantap (%)",X114,IF(Dashboard!$B$7="Tidak Mantap (%)",Z114,IF(Dashboard!$B$7="Baik (%)",P114,IF(Dashboard!$B$7="Sedang (%)",R114,IF(Dashboard!$B$7="Rusak Ringan (%)",T114,IF(Dashboard!$B$7="Rusak Berat (%)",V114,AA114))))))</f>
        <v>0</v>
      </c>
      <c r="AD114" s="20">
        <f>IF(AND(AF114=1,E114&gt;=Dashboard!$B$10,IF(Dashboard!$B$9="≤ Maksimum",AC114&lt;=Dashboard!$B$8,AC114&gt;=Dashboard!$B$8)),1,0)</f>
        <v>0</v>
      </c>
      <c r="AE114" s="20" t="str">
        <f>IF(AD114=1,COUNTIFS($AD$2:$AD$351,1,$AC$2:$AC$351,"&gt;"&amp;AC114)+COUNTIFS($AD$2:AD114,1,$AC$2:AC114,AC114),"")</f>
        <v/>
      </c>
      <c r="AF114" s="20">
        <f>IF(OR(Dashboard!$B$6="Semua",ISNUMBER(SEARCH(Dashboard!$B$6,D114))),1,0)</f>
        <v>1</v>
      </c>
      <c r="AG114" s="18">
        <f t="shared" si="20"/>
        <v>0.55000000000000004</v>
      </c>
      <c r="AH114" s="18">
        <f t="shared" si="21"/>
        <v>0.54999998956918716</v>
      </c>
      <c r="AI114" s="18">
        <f t="shared" si="22"/>
        <v>0</v>
      </c>
      <c r="AJ114" s="18">
        <f t="shared" si="23"/>
        <v>0</v>
      </c>
      <c r="AK114" s="20">
        <f>IF(OR(Ruas_Per_Kecamatan!$B$4="Semua",ISNUMBER(SEARCH(Ruas_Per_Kecamatan!$B$4,D114))),1,0)</f>
        <v>1</v>
      </c>
      <c r="AL114" s="20">
        <f>IF(AK114=1,COUNTIF($AK$2:AK114,1),"")</f>
        <v>113</v>
      </c>
      <c r="AM114" s="18">
        <f t="shared" si="24"/>
        <v>0.55000000000000004</v>
      </c>
      <c r="AN114" s="18">
        <f t="shared" si="25"/>
        <v>0.54999998956918716</v>
      </c>
      <c r="AO114" s="18">
        <f t="shared" si="26"/>
        <v>0</v>
      </c>
      <c r="AP114" s="18">
        <f t="shared" si="27"/>
        <v>0</v>
      </c>
    </row>
    <row r="115" spans="1:42" x14ac:dyDescent="0.25">
      <c r="A115" s="17">
        <v>114</v>
      </c>
      <c r="B115" s="17" t="s">
        <v>562</v>
      </c>
      <c r="C115" s="21" t="s">
        <v>150</v>
      </c>
      <c r="D115" s="17" t="s">
        <v>532</v>
      </c>
      <c r="E115" s="18">
        <v>2.02</v>
      </c>
      <c r="F115" s="18">
        <v>3.5</v>
      </c>
      <c r="G115" s="18">
        <v>0</v>
      </c>
      <c r="H115" s="18"/>
      <c r="I115" s="18">
        <v>2025</v>
      </c>
      <c r="J115" s="18">
        <v>2</v>
      </c>
      <c r="K115" s="18">
        <v>0</v>
      </c>
      <c r="L115" s="18">
        <v>0</v>
      </c>
      <c r="M115" s="18">
        <v>1.9999999552965164E-2</v>
      </c>
      <c r="N115" s="18">
        <v>0</v>
      </c>
      <c r="O115" s="18">
        <v>0</v>
      </c>
      <c r="P115" s="19">
        <v>0</v>
      </c>
      <c r="Q115" s="18">
        <v>2</v>
      </c>
      <c r="R115" s="19">
        <v>0.99009900990099009</v>
      </c>
      <c r="S115" s="18">
        <v>0</v>
      </c>
      <c r="T115" s="19">
        <v>0</v>
      </c>
      <c r="U115" s="18">
        <v>1.9999999552965164E-2</v>
      </c>
      <c r="V115" s="19">
        <v>9.900989877705527E-3</v>
      </c>
      <c r="W115">
        <f t="shared" si="14"/>
        <v>2</v>
      </c>
      <c r="X115" s="19">
        <f t="shared" si="15"/>
        <v>0.99009900990099009</v>
      </c>
      <c r="Y115">
        <f t="shared" si="16"/>
        <v>1.9999999552965164E-2</v>
      </c>
      <c r="Z115" s="19">
        <f t="shared" si="17"/>
        <v>9.900989877705527E-3</v>
      </c>
      <c r="AA115" s="19">
        <f t="shared" si="18"/>
        <v>0.25742574235295307</v>
      </c>
      <c r="AB115" t="str">
        <f t="shared" si="19"/>
        <v>Relatif Mantap</v>
      </c>
      <c r="AC115" s="19">
        <f>IF(Dashboard!$B$7="Mantap (%)",X115,IF(Dashboard!$B$7="Tidak Mantap (%)",Z115,IF(Dashboard!$B$7="Baik (%)",P115,IF(Dashboard!$B$7="Sedang (%)",R115,IF(Dashboard!$B$7="Rusak Ringan (%)",T115,IF(Dashboard!$B$7="Rusak Berat (%)",V115,AA115))))))</f>
        <v>9.900989877705527E-3</v>
      </c>
      <c r="AD115" s="20">
        <f>IF(AND(AF115=1,E115&gt;=Dashboard!$B$10,IF(Dashboard!$B$9="≤ Maksimum",AC115&lt;=Dashboard!$B$8,AC115&gt;=Dashboard!$B$8)),1,0)</f>
        <v>0</v>
      </c>
      <c r="AE115" s="20" t="str">
        <f>IF(AD115=1,COUNTIFS($AD$2:$AD$351,1,$AC$2:$AC$351,"&gt;"&amp;AC115)+COUNTIFS($AD$2:AD115,1,$AC$2:AC115,AC115),"")</f>
        <v/>
      </c>
      <c r="AF115" s="20">
        <f>IF(OR(Dashboard!$B$6="Semua",ISNUMBER(SEARCH(Dashboard!$B$6,D115))),1,0)</f>
        <v>1</v>
      </c>
      <c r="AG115" s="18">
        <f t="shared" si="20"/>
        <v>2.02</v>
      </c>
      <c r="AH115" s="18">
        <f t="shared" si="21"/>
        <v>2</v>
      </c>
      <c r="AI115" s="18">
        <f t="shared" si="22"/>
        <v>1.9999999552965164E-2</v>
      </c>
      <c r="AJ115" s="18">
        <f t="shared" si="23"/>
        <v>1.9999999552965164E-2</v>
      </c>
      <c r="AK115" s="20">
        <f>IF(OR(Ruas_Per_Kecamatan!$B$4="Semua",ISNUMBER(SEARCH(Ruas_Per_Kecamatan!$B$4,D115))),1,0)</f>
        <v>1</v>
      </c>
      <c r="AL115" s="20">
        <f>IF(AK115=1,COUNTIF($AK$2:AK115,1),"")</f>
        <v>114</v>
      </c>
      <c r="AM115" s="18">
        <f t="shared" si="24"/>
        <v>2.02</v>
      </c>
      <c r="AN115" s="18">
        <f t="shared" si="25"/>
        <v>2</v>
      </c>
      <c r="AO115" s="18">
        <f t="shared" si="26"/>
        <v>1.9999999552965164E-2</v>
      </c>
      <c r="AP115" s="18">
        <f t="shared" si="27"/>
        <v>1.9999999552965164E-2</v>
      </c>
    </row>
    <row r="116" spans="1:42" x14ac:dyDescent="0.25">
      <c r="A116" s="17">
        <v>115</v>
      </c>
      <c r="B116" s="17" t="s">
        <v>563</v>
      </c>
      <c r="C116" s="21" t="s">
        <v>151</v>
      </c>
      <c r="D116" s="17" t="s">
        <v>532</v>
      </c>
      <c r="E116" s="18">
        <v>0.42</v>
      </c>
      <c r="F116" s="18">
        <v>3</v>
      </c>
      <c r="G116" s="18">
        <v>0</v>
      </c>
      <c r="H116" s="18"/>
      <c r="I116" s="18">
        <v>2025</v>
      </c>
      <c r="J116" s="18">
        <v>0.41999998688697815</v>
      </c>
      <c r="K116" s="18">
        <v>0</v>
      </c>
      <c r="L116" s="18">
        <v>0</v>
      </c>
      <c r="M116" s="18">
        <v>0</v>
      </c>
      <c r="N116" s="18">
        <v>0</v>
      </c>
      <c r="O116" s="18">
        <v>0.41999998688697815</v>
      </c>
      <c r="P116" s="19">
        <v>0.99999996877851949</v>
      </c>
      <c r="Q116" s="18">
        <v>0</v>
      </c>
      <c r="R116" s="19">
        <v>0</v>
      </c>
      <c r="S116" s="18">
        <v>0</v>
      </c>
      <c r="T116" s="19">
        <v>0</v>
      </c>
      <c r="U116" s="18">
        <v>0</v>
      </c>
      <c r="V116" s="19">
        <v>0</v>
      </c>
      <c r="W116">
        <f t="shared" si="14"/>
        <v>0.41999998688697815</v>
      </c>
      <c r="X116" s="19">
        <f t="shared" si="15"/>
        <v>0.99999996877851949</v>
      </c>
      <c r="Y116">
        <f t="shared" si="16"/>
        <v>0</v>
      </c>
      <c r="Z116" s="19">
        <f t="shared" si="17"/>
        <v>0</v>
      </c>
      <c r="AA116" s="19">
        <f t="shared" si="18"/>
        <v>0</v>
      </c>
      <c r="AB116" t="str">
        <f t="shared" si="19"/>
        <v>Relatif Mantap</v>
      </c>
      <c r="AC116" s="19">
        <f>IF(Dashboard!$B$7="Mantap (%)",X116,IF(Dashboard!$B$7="Tidak Mantap (%)",Z116,IF(Dashboard!$B$7="Baik (%)",P116,IF(Dashboard!$B$7="Sedang (%)",R116,IF(Dashboard!$B$7="Rusak Ringan (%)",T116,IF(Dashboard!$B$7="Rusak Berat (%)",V116,AA116))))))</f>
        <v>0</v>
      </c>
      <c r="AD116" s="20">
        <f>IF(AND(AF116=1,E116&gt;=Dashboard!$B$10,IF(Dashboard!$B$9="≤ Maksimum",AC116&lt;=Dashboard!$B$8,AC116&gt;=Dashboard!$B$8)),1,0)</f>
        <v>0</v>
      </c>
      <c r="AE116" s="20" t="str">
        <f>IF(AD116=1,COUNTIFS($AD$2:$AD$351,1,$AC$2:$AC$351,"&gt;"&amp;AC116)+COUNTIFS($AD$2:AD116,1,$AC$2:AC116,AC116),"")</f>
        <v/>
      </c>
      <c r="AF116" s="20">
        <f>IF(OR(Dashboard!$B$6="Semua",ISNUMBER(SEARCH(Dashboard!$B$6,D116))),1,0)</f>
        <v>1</v>
      </c>
      <c r="AG116" s="18">
        <f t="shared" si="20"/>
        <v>0.42</v>
      </c>
      <c r="AH116" s="18">
        <f t="shared" si="21"/>
        <v>0.41999998688697815</v>
      </c>
      <c r="AI116" s="18">
        <f t="shared" si="22"/>
        <v>0</v>
      </c>
      <c r="AJ116" s="18">
        <f t="shared" si="23"/>
        <v>0</v>
      </c>
      <c r="AK116" s="20">
        <f>IF(OR(Ruas_Per_Kecamatan!$B$4="Semua",ISNUMBER(SEARCH(Ruas_Per_Kecamatan!$B$4,D116))),1,0)</f>
        <v>1</v>
      </c>
      <c r="AL116" s="20">
        <f>IF(AK116=1,COUNTIF($AK$2:AK116,1),"")</f>
        <v>115</v>
      </c>
      <c r="AM116" s="18">
        <f t="shared" si="24"/>
        <v>0.42</v>
      </c>
      <c r="AN116" s="18">
        <f t="shared" si="25"/>
        <v>0.41999998688697815</v>
      </c>
      <c r="AO116" s="18">
        <f t="shared" si="26"/>
        <v>0</v>
      </c>
      <c r="AP116" s="18">
        <f t="shared" si="27"/>
        <v>0</v>
      </c>
    </row>
    <row r="117" spans="1:42" ht="30" x14ac:dyDescent="0.25">
      <c r="A117" s="17">
        <v>116</v>
      </c>
      <c r="B117" s="17" t="s">
        <v>564</v>
      </c>
      <c r="C117" s="21" t="s">
        <v>565</v>
      </c>
      <c r="D117" s="17" t="s">
        <v>532</v>
      </c>
      <c r="E117" s="18">
        <v>1.7</v>
      </c>
      <c r="F117" s="18">
        <v>3</v>
      </c>
      <c r="G117" s="18">
        <v>0</v>
      </c>
      <c r="H117" s="18"/>
      <c r="I117" s="18">
        <v>2025</v>
      </c>
      <c r="J117" s="18">
        <v>1.7000000476837158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9">
        <v>0</v>
      </c>
      <c r="Q117" s="18">
        <v>1.5</v>
      </c>
      <c r="R117" s="19">
        <v>0.88235294117647056</v>
      </c>
      <c r="S117" s="18">
        <v>0.20000000298023224</v>
      </c>
      <c r="T117" s="19">
        <v>0.1176470605766072</v>
      </c>
      <c r="U117" s="18">
        <v>0</v>
      </c>
      <c r="V117" s="19">
        <v>0</v>
      </c>
      <c r="W117">
        <f t="shared" si="14"/>
        <v>1.5</v>
      </c>
      <c r="X117" s="19">
        <f t="shared" si="15"/>
        <v>0.88235294117647056</v>
      </c>
      <c r="Y117">
        <f t="shared" si="16"/>
        <v>0.20000000298023224</v>
      </c>
      <c r="Z117" s="19">
        <f t="shared" si="17"/>
        <v>0.1176470605766072</v>
      </c>
      <c r="AA117" s="19">
        <f t="shared" si="18"/>
        <v>0.29117647164008198</v>
      </c>
      <c r="AB117" t="str">
        <f t="shared" si="19"/>
        <v>Relatif Mantap</v>
      </c>
      <c r="AC117" s="19">
        <f>IF(Dashboard!$B$7="Mantap (%)",X117,IF(Dashboard!$B$7="Tidak Mantap (%)",Z117,IF(Dashboard!$B$7="Baik (%)",P117,IF(Dashboard!$B$7="Sedang (%)",R117,IF(Dashboard!$B$7="Rusak Ringan (%)",T117,IF(Dashboard!$B$7="Rusak Berat (%)",V117,AA117))))))</f>
        <v>0.1176470605766072</v>
      </c>
      <c r="AD117" s="20">
        <f>IF(AND(AF117=1,E117&gt;=Dashboard!$B$10,IF(Dashboard!$B$9="≤ Maksimum",AC117&lt;=Dashboard!$B$8,AC117&gt;=Dashboard!$B$8)),1,0)</f>
        <v>0</v>
      </c>
      <c r="AE117" s="20" t="str">
        <f>IF(AD117=1,COUNTIFS($AD$2:$AD$351,1,$AC$2:$AC$351,"&gt;"&amp;AC117)+COUNTIFS($AD$2:AD117,1,$AC$2:AC117,AC117),"")</f>
        <v/>
      </c>
      <c r="AF117" s="20">
        <f>IF(OR(Dashboard!$B$6="Semua",ISNUMBER(SEARCH(Dashboard!$B$6,D117))),1,0)</f>
        <v>1</v>
      </c>
      <c r="AG117" s="18">
        <f t="shared" si="20"/>
        <v>1.7</v>
      </c>
      <c r="AH117" s="18">
        <f t="shared" si="21"/>
        <v>1.5</v>
      </c>
      <c r="AI117" s="18">
        <f t="shared" si="22"/>
        <v>0.20000000298023224</v>
      </c>
      <c r="AJ117" s="18">
        <f t="shared" si="23"/>
        <v>0</v>
      </c>
      <c r="AK117" s="20">
        <f>IF(OR(Ruas_Per_Kecamatan!$B$4="Semua",ISNUMBER(SEARCH(Ruas_Per_Kecamatan!$B$4,D117))),1,0)</f>
        <v>1</v>
      </c>
      <c r="AL117" s="20">
        <f>IF(AK117=1,COUNTIF($AK$2:AK117,1),"")</f>
        <v>116</v>
      </c>
      <c r="AM117" s="18">
        <f t="shared" si="24"/>
        <v>1.7</v>
      </c>
      <c r="AN117" s="18">
        <f t="shared" si="25"/>
        <v>1.5</v>
      </c>
      <c r="AO117" s="18">
        <f t="shared" si="26"/>
        <v>0.20000000298023224</v>
      </c>
      <c r="AP117" s="18">
        <f t="shared" si="27"/>
        <v>0</v>
      </c>
    </row>
    <row r="118" spans="1:42" ht="30" x14ac:dyDescent="0.25">
      <c r="A118" s="17">
        <v>117</v>
      </c>
      <c r="B118" s="17" t="s">
        <v>566</v>
      </c>
      <c r="C118" s="21" t="s">
        <v>153</v>
      </c>
      <c r="D118" s="17" t="s">
        <v>532</v>
      </c>
      <c r="E118" s="18">
        <v>0.7</v>
      </c>
      <c r="F118" s="18">
        <v>3</v>
      </c>
      <c r="G118" s="18">
        <v>0</v>
      </c>
      <c r="H118" s="18"/>
      <c r="I118" s="18">
        <v>2025</v>
      </c>
      <c r="J118" s="18">
        <v>0.69999998807907104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9">
        <v>0</v>
      </c>
      <c r="Q118" s="18">
        <v>0.69999998807907104</v>
      </c>
      <c r="R118" s="19">
        <v>0.99999998297010151</v>
      </c>
      <c r="S118" s="18">
        <v>0</v>
      </c>
      <c r="T118" s="19">
        <v>0</v>
      </c>
      <c r="U118" s="18">
        <v>0</v>
      </c>
      <c r="V118" s="19">
        <v>0</v>
      </c>
      <c r="W118">
        <f t="shared" si="14"/>
        <v>0.69999998807907104</v>
      </c>
      <c r="X118" s="19">
        <f t="shared" si="15"/>
        <v>0.99999998297010151</v>
      </c>
      <c r="Y118">
        <f t="shared" si="16"/>
        <v>0</v>
      </c>
      <c r="Z118" s="19">
        <f t="shared" si="17"/>
        <v>0</v>
      </c>
      <c r="AA118" s="19">
        <f t="shared" si="18"/>
        <v>0.24999999574252538</v>
      </c>
      <c r="AB118" t="str">
        <f t="shared" si="19"/>
        <v>Relatif Mantap</v>
      </c>
      <c r="AC118" s="19">
        <f>IF(Dashboard!$B$7="Mantap (%)",X118,IF(Dashboard!$B$7="Tidak Mantap (%)",Z118,IF(Dashboard!$B$7="Baik (%)",P118,IF(Dashboard!$B$7="Sedang (%)",R118,IF(Dashboard!$B$7="Rusak Ringan (%)",T118,IF(Dashboard!$B$7="Rusak Berat (%)",V118,AA118))))))</f>
        <v>0</v>
      </c>
      <c r="AD118" s="20">
        <f>IF(AND(AF118=1,E118&gt;=Dashboard!$B$10,IF(Dashboard!$B$9="≤ Maksimum",AC118&lt;=Dashboard!$B$8,AC118&gt;=Dashboard!$B$8)),1,0)</f>
        <v>0</v>
      </c>
      <c r="AE118" s="20" t="str">
        <f>IF(AD118=1,COUNTIFS($AD$2:$AD$351,1,$AC$2:$AC$351,"&gt;"&amp;AC118)+COUNTIFS($AD$2:AD118,1,$AC$2:AC118,AC118),"")</f>
        <v/>
      </c>
      <c r="AF118" s="20">
        <f>IF(OR(Dashboard!$B$6="Semua",ISNUMBER(SEARCH(Dashboard!$B$6,D118))),1,0)</f>
        <v>1</v>
      </c>
      <c r="AG118" s="18">
        <f t="shared" si="20"/>
        <v>0.7</v>
      </c>
      <c r="AH118" s="18">
        <f t="shared" si="21"/>
        <v>0.69999998807907104</v>
      </c>
      <c r="AI118" s="18">
        <f t="shared" si="22"/>
        <v>0</v>
      </c>
      <c r="AJ118" s="18">
        <f t="shared" si="23"/>
        <v>0</v>
      </c>
      <c r="AK118" s="20">
        <f>IF(OR(Ruas_Per_Kecamatan!$B$4="Semua",ISNUMBER(SEARCH(Ruas_Per_Kecamatan!$B$4,D118))),1,0)</f>
        <v>1</v>
      </c>
      <c r="AL118" s="20">
        <f>IF(AK118=1,COUNTIF($AK$2:AK118,1),"")</f>
        <v>117</v>
      </c>
      <c r="AM118" s="18">
        <f t="shared" si="24"/>
        <v>0.7</v>
      </c>
      <c r="AN118" s="18">
        <f t="shared" si="25"/>
        <v>0.69999998807907104</v>
      </c>
      <c r="AO118" s="18">
        <f t="shared" si="26"/>
        <v>0</v>
      </c>
      <c r="AP118" s="18">
        <f t="shared" si="27"/>
        <v>0</v>
      </c>
    </row>
    <row r="119" spans="1:42" x14ac:dyDescent="0.25">
      <c r="A119" s="17">
        <v>118</v>
      </c>
      <c r="B119" s="17" t="s">
        <v>567</v>
      </c>
      <c r="C119" s="21" t="s">
        <v>154</v>
      </c>
      <c r="D119" s="17" t="s">
        <v>142</v>
      </c>
      <c r="E119" s="18">
        <v>1.43</v>
      </c>
      <c r="F119" s="18">
        <v>3</v>
      </c>
      <c r="G119" s="18">
        <v>0</v>
      </c>
      <c r="H119" s="18"/>
      <c r="I119" s="18">
        <v>2025</v>
      </c>
      <c r="J119" s="18">
        <v>1.4299999475479126</v>
      </c>
      <c r="K119" s="18">
        <v>0</v>
      </c>
      <c r="L119" s="18">
        <v>0</v>
      </c>
      <c r="M119" s="18">
        <v>0</v>
      </c>
      <c r="N119" s="18">
        <v>0</v>
      </c>
      <c r="O119" s="18">
        <v>0.93000000715255737</v>
      </c>
      <c r="P119" s="19">
        <v>0.65034965535143874</v>
      </c>
      <c r="Q119" s="18">
        <v>0.5</v>
      </c>
      <c r="R119" s="19">
        <v>0.34965034965034969</v>
      </c>
      <c r="S119" s="18">
        <v>0</v>
      </c>
      <c r="T119" s="19">
        <v>0</v>
      </c>
      <c r="U119" s="18">
        <v>0</v>
      </c>
      <c r="V119" s="19">
        <v>0</v>
      </c>
      <c r="W119">
        <f t="shared" si="14"/>
        <v>1.4300000071525574</v>
      </c>
      <c r="X119" s="19">
        <f t="shared" si="15"/>
        <v>1.0000000050017883</v>
      </c>
      <c r="Y119">
        <f t="shared" si="16"/>
        <v>0</v>
      </c>
      <c r="Z119" s="19">
        <f t="shared" si="17"/>
        <v>0</v>
      </c>
      <c r="AA119" s="19">
        <f t="shared" si="18"/>
        <v>8.7412587412587422E-2</v>
      </c>
      <c r="AB119" t="str">
        <f t="shared" si="19"/>
        <v>Relatif Mantap</v>
      </c>
      <c r="AC119" s="19">
        <f>IF(Dashboard!$B$7="Mantap (%)",X119,IF(Dashboard!$B$7="Tidak Mantap (%)",Z119,IF(Dashboard!$B$7="Baik (%)",P119,IF(Dashboard!$B$7="Sedang (%)",R119,IF(Dashboard!$B$7="Rusak Ringan (%)",T119,IF(Dashboard!$B$7="Rusak Berat (%)",V119,AA119))))))</f>
        <v>0</v>
      </c>
      <c r="AD119" s="20">
        <f>IF(AND(AF119=1,E119&gt;=Dashboard!$B$10,IF(Dashboard!$B$9="≤ Maksimum",AC119&lt;=Dashboard!$B$8,AC119&gt;=Dashboard!$B$8)),1,0)</f>
        <v>0</v>
      </c>
      <c r="AE119" s="20" t="str">
        <f>IF(AD119=1,COUNTIFS($AD$2:$AD$351,1,$AC$2:$AC$351,"&gt;"&amp;AC119)+COUNTIFS($AD$2:AD119,1,$AC$2:AC119,AC119),"")</f>
        <v/>
      </c>
      <c r="AF119" s="20">
        <f>IF(OR(Dashboard!$B$6="Semua",ISNUMBER(SEARCH(Dashboard!$B$6,D119))),1,0)</f>
        <v>1</v>
      </c>
      <c r="AG119" s="18">
        <f t="shared" si="20"/>
        <v>1.43</v>
      </c>
      <c r="AH119" s="18">
        <f t="shared" si="21"/>
        <v>1.4300000071525574</v>
      </c>
      <c r="AI119" s="18">
        <f t="shared" si="22"/>
        <v>0</v>
      </c>
      <c r="AJ119" s="18">
        <f t="shared" si="23"/>
        <v>0</v>
      </c>
      <c r="AK119" s="20">
        <f>IF(OR(Ruas_Per_Kecamatan!$B$4="Semua",ISNUMBER(SEARCH(Ruas_Per_Kecamatan!$B$4,D119))),1,0)</f>
        <v>1</v>
      </c>
      <c r="AL119" s="20">
        <f>IF(AK119=1,COUNTIF($AK$2:AK119,1),"")</f>
        <v>118</v>
      </c>
      <c r="AM119" s="18">
        <f t="shared" si="24"/>
        <v>1.43</v>
      </c>
      <c r="AN119" s="18">
        <f t="shared" si="25"/>
        <v>1.4300000071525574</v>
      </c>
      <c r="AO119" s="18">
        <f t="shared" si="26"/>
        <v>0</v>
      </c>
      <c r="AP119" s="18">
        <f t="shared" si="27"/>
        <v>0</v>
      </c>
    </row>
    <row r="120" spans="1:42" x14ac:dyDescent="0.25">
      <c r="A120" s="17">
        <v>119</v>
      </c>
      <c r="B120" s="17" t="s">
        <v>568</v>
      </c>
      <c r="C120" s="21" t="s">
        <v>155</v>
      </c>
      <c r="D120" s="17" t="s">
        <v>532</v>
      </c>
      <c r="E120" s="18">
        <v>2.66</v>
      </c>
      <c r="F120" s="18">
        <v>3</v>
      </c>
      <c r="G120" s="18">
        <v>0</v>
      </c>
      <c r="H120" s="18"/>
      <c r="I120" s="18">
        <v>2025</v>
      </c>
      <c r="J120" s="18">
        <v>0.80000001192092896</v>
      </c>
      <c r="K120" s="18">
        <v>0</v>
      </c>
      <c r="L120" s="18">
        <v>0</v>
      </c>
      <c r="M120" s="18">
        <v>1.8600000143051147</v>
      </c>
      <c r="N120" s="18">
        <v>0</v>
      </c>
      <c r="O120" s="18">
        <v>0</v>
      </c>
      <c r="P120" s="19">
        <v>0</v>
      </c>
      <c r="Q120" s="18">
        <v>0.40000000596046448</v>
      </c>
      <c r="R120" s="19">
        <v>0.15037594209040017</v>
      </c>
      <c r="S120" s="18">
        <v>0.30000001192092896</v>
      </c>
      <c r="T120" s="19">
        <v>0.11278195936877028</v>
      </c>
      <c r="U120" s="18">
        <v>1.9600000157952309</v>
      </c>
      <c r="V120" s="19">
        <v>0.73684211120121457</v>
      </c>
      <c r="W120">
        <f t="shared" si="14"/>
        <v>0.40000000596046448</v>
      </c>
      <c r="X120" s="19">
        <f t="shared" si="15"/>
        <v>0.15037594209040017</v>
      </c>
      <c r="Y120">
        <f t="shared" si="16"/>
        <v>2.2600000277161598</v>
      </c>
      <c r="Z120" s="19">
        <f t="shared" si="17"/>
        <v>0.8496240705699849</v>
      </c>
      <c r="AA120" s="19">
        <f t="shared" si="18"/>
        <v>0.84210527234507682</v>
      </c>
      <c r="AB120" t="str">
        <f t="shared" si="19"/>
        <v>Rusak Berat Dominan</v>
      </c>
      <c r="AC120" s="19">
        <f>IF(Dashboard!$B$7="Mantap (%)",X120,IF(Dashboard!$B$7="Tidak Mantap (%)",Z120,IF(Dashboard!$B$7="Baik (%)",P120,IF(Dashboard!$B$7="Sedang (%)",R120,IF(Dashboard!$B$7="Rusak Ringan (%)",T120,IF(Dashboard!$B$7="Rusak Berat (%)",V120,AA120))))))</f>
        <v>0.8496240705699849</v>
      </c>
      <c r="AD120" s="20">
        <f>IF(AND(AF120=1,E120&gt;=Dashboard!$B$10,IF(Dashboard!$B$9="≤ Maksimum",AC120&lt;=Dashboard!$B$8,AC120&gt;=Dashboard!$B$8)),1,0)</f>
        <v>1</v>
      </c>
      <c r="AE120" s="20">
        <f>IF(AD120=1,COUNTIFS($AD$2:$AD$351,1,$AC$2:$AC$351,"&gt;"&amp;AC120)+COUNTIFS($AD$2:AD120,1,$AC$2:AC120,AC120),"")</f>
        <v>62</v>
      </c>
      <c r="AF120" s="20">
        <f>IF(OR(Dashboard!$B$6="Semua",ISNUMBER(SEARCH(Dashboard!$B$6,D120))),1,0)</f>
        <v>1</v>
      </c>
      <c r="AG120" s="18">
        <f t="shared" si="20"/>
        <v>2.66</v>
      </c>
      <c r="AH120" s="18">
        <f t="shared" si="21"/>
        <v>0.40000000596046448</v>
      </c>
      <c r="AI120" s="18">
        <f t="shared" si="22"/>
        <v>2.2600000277161598</v>
      </c>
      <c r="AJ120" s="18">
        <f t="shared" si="23"/>
        <v>1.9600000157952309</v>
      </c>
      <c r="AK120" s="20">
        <f>IF(OR(Ruas_Per_Kecamatan!$B$4="Semua",ISNUMBER(SEARCH(Ruas_Per_Kecamatan!$B$4,D120))),1,0)</f>
        <v>1</v>
      </c>
      <c r="AL120" s="20">
        <f>IF(AK120=1,COUNTIF($AK$2:AK120,1),"")</f>
        <v>119</v>
      </c>
      <c r="AM120" s="18">
        <f t="shared" si="24"/>
        <v>2.66</v>
      </c>
      <c r="AN120" s="18">
        <f t="shared" si="25"/>
        <v>0.40000000596046448</v>
      </c>
      <c r="AO120" s="18">
        <f t="shared" si="26"/>
        <v>2.2600000277161598</v>
      </c>
      <c r="AP120" s="18">
        <f t="shared" si="27"/>
        <v>1.9600000157952309</v>
      </c>
    </row>
    <row r="121" spans="1:42" x14ac:dyDescent="0.25">
      <c r="A121" s="17">
        <v>120</v>
      </c>
      <c r="B121" s="17" t="s">
        <v>569</v>
      </c>
      <c r="C121" s="21" t="s">
        <v>156</v>
      </c>
      <c r="D121" s="17" t="s">
        <v>532</v>
      </c>
      <c r="E121" s="18">
        <v>4.0999999999999996</v>
      </c>
      <c r="F121" s="18">
        <v>3.5</v>
      </c>
      <c r="G121" s="18">
        <v>0</v>
      </c>
      <c r="H121" s="18"/>
      <c r="I121" s="18">
        <v>2025</v>
      </c>
      <c r="J121" s="18">
        <v>0</v>
      </c>
      <c r="K121" s="18">
        <v>0</v>
      </c>
      <c r="L121" s="18">
        <v>0</v>
      </c>
      <c r="M121" s="18">
        <v>4.0999999046325684</v>
      </c>
      <c r="N121" s="18">
        <v>0</v>
      </c>
      <c r="O121" s="18">
        <v>0</v>
      </c>
      <c r="P121" s="19">
        <v>0</v>
      </c>
      <c r="Q121" s="18">
        <v>0</v>
      </c>
      <c r="R121" s="19">
        <v>0</v>
      </c>
      <c r="S121" s="18">
        <v>0</v>
      </c>
      <c r="T121" s="19">
        <v>0</v>
      </c>
      <c r="U121" s="18">
        <v>4.0999999046325684</v>
      </c>
      <c r="V121" s="19">
        <v>0.99999997673965091</v>
      </c>
      <c r="W121">
        <f t="shared" si="14"/>
        <v>0</v>
      </c>
      <c r="X121" s="19">
        <f t="shared" si="15"/>
        <v>0</v>
      </c>
      <c r="Y121">
        <f t="shared" si="16"/>
        <v>4.0999999046325684</v>
      </c>
      <c r="Z121" s="19">
        <f t="shared" si="17"/>
        <v>0.99999997673965091</v>
      </c>
      <c r="AA121" s="19">
        <f t="shared" si="18"/>
        <v>0.99999997673965091</v>
      </c>
      <c r="AB121" t="str">
        <f t="shared" si="19"/>
        <v>Rusak Berat Dominan</v>
      </c>
      <c r="AC121" s="19">
        <f>IF(Dashboard!$B$7="Mantap (%)",X121,IF(Dashboard!$B$7="Tidak Mantap (%)",Z121,IF(Dashboard!$B$7="Baik (%)",P121,IF(Dashboard!$B$7="Sedang (%)",R121,IF(Dashboard!$B$7="Rusak Ringan (%)",T121,IF(Dashboard!$B$7="Rusak Berat (%)",V121,AA121))))))</f>
        <v>0.99999997673965091</v>
      </c>
      <c r="AD121" s="20">
        <f>IF(AND(AF121=1,E121&gt;=Dashboard!$B$10,IF(Dashboard!$B$9="≤ Maksimum",AC121&lt;=Dashboard!$B$8,AC121&gt;=Dashboard!$B$8)),1,0)</f>
        <v>1</v>
      </c>
      <c r="AE121" s="20">
        <f>IF(AD121=1,COUNTIFS($AD$2:$AD$351,1,$AC$2:$AC$351,"&gt;"&amp;AC121)+COUNTIFS($AD$2:AD121,1,$AC$2:AC121,AC121),"")</f>
        <v>43</v>
      </c>
      <c r="AF121" s="20">
        <f>IF(OR(Dashboard!$B$6="Semua",ISNUMBER(SEARCH(Dashboard!$B$6,D121))),1,0)</f>
        <v>1</v>
      </c>
      <c r="AG121" s="18">
        <f t="shared" si="20"/>
        <v>4.0999999999999996</v>
      </c>
      <c r="AH121" s="18">
        <f t="shared" si="21"/>
        <v>0</v>
      </c>
      <c r="AI121" s="18">
        <f t="shared" si="22"/>
        <v>4.0999999046325684</v>
      </c>
      <c r="AJ121" s="18">
        <f t="shared" si="23"/>
        <v>4.0999999046325684</v>
      </c>
      <c r="AK121" s="20">
        <f>IF(OR(Ruas_Per_Kecamatan!$B$4="Semua",ISNUMBER(SEARCH(Ruas_Per_Kecamatan!$B$4,D121))),1,0)</f>
        <v>1</v>
      </c>
      <c r="AL121" s="20">
        <f>IF(AK121=1,COUNTIF($AK$2:AK121,1),"")</f>
        <v>120</v>
      </c>
      <c r="AM121" s="18">
        <f t="shared" si="24"/>
        <v>4.0999999999999996</v>
      </c>
      <c r="AN121" s="18">
        <f t="shared" si="25"/>
        <v>0</v>
      </c>
      <c r="AO121" s="18">
        <f t="shared" si="26"/>
        <v>4.0999999046325684</v>
      </c>
      <c r="AP121" s="18">
        <f t="shared" si="27"/>
        <v>4.0999999046325684</v>
      </c>
    </row>
    <row r="122" spans="1:42" x14ac:dyDescent="0.25">
      <c r="A122" s="17">
        <v>121</v>
      </c>
      <c r="B122" s="17" t="s">
        <v>570</v>
      </c>
      <c r="C122" s="21" t="s">
        <v>157</v>
      </c>
      <c r="D122" s="17" t="s">
        <v>532</v>
      </c>
      <c r="E122" s="18">
        <v>0.46</v>
      </c>
      <c r="F122" s="18">
        <v>3</v>
      </c>
      <c r="G122" s="18">
        <v>0</v>
      </c>
      <c r="H122" s="18"/>
      <c r="I122" s="18">
        <v>2025</v>
      </c>
      <c r="J122" s="18">
        <v>0.46000000834465027</v>
      </c>
      <c r="K122" s="18">
        <v>0</v>
      </c>
      <c r="L122" s="18">
        <v>0</v>
      </c>
      <c r="M122" s="18">
        <v>0</v>
      </c>
      <c r="N122" s="18">
        <v>0</v>
      </c>
      <c r="O122" s="18">
        <v>0.10000000149011612</v>
      </c>
      <c r="P122" s="19">
        <v>0.21739130758720895</v>
      </c>
      <c r="Q122" s="18">
        <v>0.36000001430511475</v>
      </c>
      <c r="R122" s="19">
        <v>0.78260872675024939</v>
      </c>
      <c r="S122" s="18">
        <v>0</v>
      </c>
      <c r="T122" s="19">
        <v>0</v>
      </c>
      <c r="U122" s="18">
        <v>0</v>
      </c>
      <c r="V122" s="19">
        <v>0</v>
      </c>
      <c r="W122">
        <f t="shared" si="14"/>
        <v>0.46000001579523087</v>
      </c>
      <c r="X122" s="19">
        <f t="shared" si="15"/>
        <v>1.0000000343374584</v>
      </c>
      <c r="Y122">
        <f t="shared" si="16"/>
        <v>0</v>
      </c>
      <c r="Z122" s="19">
        <f t="shared" si="17"/>
        <v>0</v>
      </c>
      <c r="AA122" s="19">
        <f t="shared" si="18"/>
        <v>0.19565218168756235</v>
      </c>
      <c r="AB122" t="str">
        <f t="shared" si="19"/>
        <v>Relatif Mantap</v>
      </c>
      <c r="AC122" s="19">
        <f>IF(Dashboard!$B$7="Mantap (%)",X122,IF(Dashboard!$B$7="Tidak Mantap (%)",Z122,IF(Dashboard!$B$7="Baik (%)",P122,IF(Dashboard!$B$7="Sedang (%)",R122,IF(Dashboard!$B$7="Rusak Ringan (%)",T122,IF(Dashboard!$B$7="Rusak Berat (%)",V122,AA122))))))</f>
        <v>0</v>
      </c>
      <c r="AD122" s="20">
        <f>IF(AND(AF122=1,E122&gt;=Dashboard!$B$10,IF(Dashboard!$B$9="≤ Maksimum",AC122&lt;=Dashboard!$B$8,AC122&gt;=Dashboard!$B$8)),1,0)</f>
        <v>0</v>
      </c>
      <c r="AE122" s="20" t="str">
        <f>IF(AD122=1,COUNTIFS($AD$2:$AD$351,1,$AC$2:$AC$351,"&gt;"&amp;AC122)+COUNTIFS($AD$2:AD122,1,$AC$2:AC122,AC122),"")</f>
        <v/>
      </c>
      <c r="AF122" s="20">
        <f>IF(OR(Dashboard!$B$6="Semua",ISNUMBER(SEARCH(Dashboard!$B$6,D122))),1,0)</f>
        <v>1</v>
      </c>
      <c r="AG122" s="18">
        <f t="shared" si="20"/>
        <v>0.46</v>
      </c>
      <c r="AH122" s="18">
        <f t="shared" si="21"/>
        <v>0.46000001579523087</v>
      </c>
      <c r="AI122" s="18">
        <f t="shared" si="22"/>
        <v>0</v>
      </c>
      <c r="AJ122" s="18">
        <f t="shared" si="23"/>
        <v>0</v>
      </c>
      <c r="AK122" s="20">
        <f>IF(OR(Ruas_Per_Kecamatan!$B$4="Semua",ISNUMBER(SEARCH(Ruas_Per_Kecamatan!$B$4,D122))),1,0)</f>
        <v>1</v>
      </c>
      <c r="AL122" s="20">
        <f>IF(AK122=1,COUNTIF($AK$2:AK122,1),"")</f>
        <v>121</v>
      </c>
      <c r="AM122" s="18">
        <f t="shared" si="24"/>
        <v>0.46</v>
      </c>
      <c r="AN122" s="18">
        <f t="shared" si="25"/>
        <v>0.46000001579523087</v>
      </c>
      <c r="AO122" s="18">
        <f t="shared" si="26"/>
        <v>0</v>
      </c>
      <c r="AP122" s="18">
        <f t="shared" si="27"/>
        <v>0</v>
      </c>
    </row>
    <row r="123" spans="1:42" x14ac:dyDescent="0.25">
      <c r="A123" s="17">
        <v>122</v>
      </c>
      <c r="B123" s="17" t="s">
        <v>571</v>
      </c>
      <c r="C123" s="21" t="s">
        <v>158</v>
      </c>
      <c r="D123" s="17" t="s">
        <v>532</v>
      </c>
      <c r="E123" s="18">
        <v>0.91</v>
      </c>
      <c r="F123" s="18">
        <v>3.5</v>
      </c>
      <c r="G123" s="18">
        <v>0</v>
      </c>
      <c r="H123" s="18"/>
      <c r="I123" s="18">
        <v>2025</v>
      </c>
      <c r="J123" s="18">
        <v>0.20000000298023224</v>
      </c>
      <c r="K123" s="18">
        <v>0</v>
      </c>
      <c r="L123" s="18">
        <v>0</v>
      </c>
      <c r="M123" s="18">
        <v>0.70999997854232788</v>
      </c>
      <c r="N123" s="18">
        <v>0</v>
      </c>
      <c r="O123" s="18">
        <v>0</v>
      </c>
      <c r="P123" s="19">
        <v>0</v>
      </c>
      <c r="Q123" s="18">
        <v>0.20000000298023224</v>
      </c>
      <c r="R123" s="19">
        <v>0.21978022305520026</v>
      </c>
      <c r="S123" s="18">
        <v>0</v>
      </c>
      <c r="T123" s="19">
        <v>0</v>
      </c>
      <c r="U123" s="18">
        <v>0.70999997854232788</v>
      </c>
      <c r="V123" s="19">
        <v>0.78021975663992071</v>
      </c>
      <c r="W123">
        <f t="shared" si="14"/>
        <v>0.20000000298023224</v>
      </c>
      <c r="X123" s="19">
        <f t="shared" si="15"/>
        <v>0.21978022305520026</v>
      </c>
      <c r="Y123">
        <f t="shared" si="16"/>
        <v>0.70999997854232788</v>
      </c>
      <c r="Z123" s="19">
        <f t="shared" si="17"/>
        <v>0.78021975663992071</v>
      </c>
      <c r="AA123" s="19">
        <f t="shared" si="18"/>
        <v>0.83516481240372076</v>
      </c>
      <c r="AB123" t="str">
        <f t="shared" si="19"/>
        <v>Rusak Berat Dominan</v>
      </c>
      <c r="AC123" s="19">
        <f>IF(Dashboard!$B$7="Mantap (%)",X123,IF(Dashboard!$B$7="Tidak Mantap (%)",Z123,IF(Dashboard!$B$7="Baik (%)",P123,IF(Dashboard!$B$7="Sedang (%)",R123,IF(Dashboard!$B$7="Rusak Ringan (%)",T123,IF(Dashboard!$B$7="Rusak Berat (%)",V123,AA123))))))</f>
        <v>0.78021975663992071</v>
      </c>
      <c r="AD123" s="20">
        <f>IF(AND(AF123=1,E123&gt;=Dashboard!$B$10,IF(Dashboard!$B$9="≤ Maksimum",AC123&lt;=Dashboard!$B$8,AC123&gt;=Dashboard!$B$8)),1,0)</f>
        <v>1</v>
      </c>
      <c r="AE123" s="20">
        <f>IF(AD123=1,COUNTIFS($AD$2:$AD$351,1,$AC$2:$AC$351,"&gt;"&amp;AC123)+COUNTIFS($AD$2:AD123,1,$AC$2:AC123,AC123),"")</f>
        <v>72</v>
      </c>
      <c r="AF123" s="20">
        <f>IF(OR(Dashboard!$B$6="Semua",ISNUMBER(SEARCH(Dashboard!$B$6,D123))),1,0)</f>
        <v>1</v>
      </c>
      <c r="AG123" s="18">
        <f t="shared" si="20"/>
        <v>0.91</v>
      </c>
      <c r="AH123" s="18">
        <f t="shared" si="21"/>
        <v>0.20000000298023224</v>
      </c>
      <c r="AI123" s="18">
        <f t="shared" si="22"/>
        <v>0.70999997854232788</v>
      </c>
      <c r="AJ123" s="18">
        <f t="shared" si="23"/>
        <v>0.70999997854232788</v>
      </c>
      <c r="AK123" s="20">
        <f>IF(OR(Ruas_Per_Kecamatan!$B$4="Semua",ISNUMBER(SEARCH(Ruas_Per_Kecamatan!$B$4,D123))),1,0)</f>
        <v>1</v>
      </c>
      <c r="AL123" s="20">
        <f>IF(AK123=1,COUNTIF($AK$2:AK123,1),"")</f>
        <v>122</v>
      </c>
      <c r="AM123" s="18">
        <f t="shared" si="24"/>
        <v>0.91</v>
      </c>
      <c r="AN123" s="18">
        <f t="shared" si="25"/>
        <v>0.20000000298023224</v>
      </c>
      <c r="AO123" s="18">
        <f t="shared" si="26"/>
        <v>0.70999997854232788</v>
      </c>
      <c r="AP123" s="18">
        <f t="shared" si="27"/>
        <v>0.70999997854232788</v>
      </c>
    </row>
    <row r="124" spans="1:42" x14ac:dyDescent="0.25">
      <c r="A124" s="17">
        <v>123</v>
      </c>
      <c r="B124" s="17" t="s">
        <v>572</v>
      </c>
      <c r="C124" s="21" t="s">
        <v>159</v>
      </c>
      <c r="D124" s="17" t="s">
        <v>532</v>
      </c>
      <c r="E124" s="18">
        <v>1.02</v>
      </c>
      <c r="F124" s="18">
        <v>4</v>
      </c>
      <c r="G124" s="18">
        <v>0</v>
      </c>
      <c r="H124" s="18"/>
      <c r="I124" s="18">
        <v>2025</v>
      </c>
      <c r="J124" s="18">
        <v>0</v>
      </c>
      <c r="K124" s="18">
        <v>0</v>
      </c>
      <c r="L124" s="18">
        <v>1.0199999809265137</v>
      </c>
      <c r="M124" s="18">
        <v>0</v>
      </c>
      <c r="N124" s="18">
        <v>0</v>
      </c>
      <c r="O124" s="18">
        <v>1.0199999809265137</v>
      </c>
      <c r="P124" s="19">
        <v>0.9999999813005036</v>
      </c>
      <c r="Q124" s="18">
        <v>0</v>
      </c>
      <c r="R124" s="19">
        <v>0</v>
      </c>
      <c r="S124" s="18">
        <v>0</v>
      </c>
      <c r="T124" s="19">
        <v>0</v>
      </c>
      <c r="U124" s="18">
        <v>0</v>
      </c>
      <c r="V124" s="19">
        <v>0</v>
      </c>
      <c r="W124">
        <f t="shared" si="14"/>
        <v>1.0199999809265137</v>
      </c>
      <c r="X124" s="19">
        <f t="shared" si="15"/>
        <v>0.9999999813005036</v>
      </c>
      <c r="Y124">
        <f t="shared" si="16"/>
        <v>0</v>
      </c>
      <c r="Z124" s="19">
        <f t="shared" si="17"/>
        <v>0</v>
      </c>
      <c r="AA124" s="19">
        <f t="shared" si="18"/>
        <v>0</v>
      </c>
      <c r="AB124" t="str">
        <f t="shared" si="19"/>
        <v>Relatif Mantap</v>
      </c>
      <c r="AC124" s="19">
        <f>IF(Dashboard!$B$7="Mantap (%)",X124,IF(Dashboard!$B$7="Tidak Mantap (%)",Z124,IF(Dashboard!$B$7="Baik (%)",P124,IF(Dashboard!$B$7="Sedang (%)",R124,IF(Dashboard!$B$7="Rusak Ringan (%)",T124,IF(Dashboard!$B$7="Rusak Berat (%)",V124,AA124))))))</f>
        <v>0</v>
      </c>
      <c r="AD124" s="20">
        <f>IF(AND(AF124=1,E124&gt;=Dashboard!$B$10,IF(Dashboard!$B$9="≤ Maksimum",AC124&lt;=Dashboard!$B$8,AC124&gt;=Dashboard!$B$8)),1,0)</f>
        <v>0</v>
      </c>
      <c r="AE124" s="20" t="str">
        <f>IF(AD124=1,COUNTIFS($AD$2:$AD$351,1,$AC$2:$AC$351,"&gt;"&amp;AC124)+COUNTIFS($AD$2:AD124,1,$AC$2:AC124,AC124),"")</f>
        <v/>
      </c>
      <c r="AF124" s="20">
        <f>IF(OR(Dashboard!$B$6="Semua",ISNUMBER(SEARCH(Dashboard!$B$6,D124))),1,0)</f>
        <v>1</v>
      </c>
      <c r="AG124" s="18">
        <f t="shared" si="20"/>
        <v>1.02</v>
      </c>
      <c r="AH124" s="18">
        <f t="shared" si="21"/>
        <v>1.0199999809265137</v>
      </c>
      <c r="AI124" s="18">
        <f t="shared" si="22"/>
        <v>0</v>
      </c>
      <c r="AJ124" s="18">
        <f t="shared" si="23"/>
        <v>0</v>
      </c>
      <c r="AK124" s="20">
        <f>IF(OR(Ruas_Per_Kecamatan!$B$4="Semua",ISNUMBER(SEARCH(Ruas_Per_Kecamatan!$B$4,D124))),1,0)</f>
        <v>1</v>
      </c>
      <c r="AL124" s="20">
        <f>IF(AK124=1,COUNTIF($AK$2:AK124,1),"")</f>
        <v>123</v>
      </c>
      <c r="AM124" s="18">
        <f t="shared" si="24"/>
        <v>1.02</v>
      </c>
      <c r="AN124" s="18">
        <f t="shared" si="25"/>
        <v>1.0199999809265137</v>
      </c>
      <c r="AO124" s="18">
        <f t="shared" si="26"/>
        <v>0</v>
      </c>
      <c r="AP124" s="18">
        <f t="shared" si="27"/>
        <v>0</v>
      </c>
    </row>
    <row r="125" spans="1:42" x14ac:dyDescent="0.25">
      <c r="A125" s="17">
        <v>124</v>
      </c>
      <c r="B125" s="17" t="s">
        <v>573</v>
      </c>
      <c r="C125" s="21" t="s">
        <v>160</v>
      </c>
      <c r="D125" s="17" t="s">
        <v>532</v>
      </c>
      <c r="E125" s="18">
        <v>1.46</v>
      </c>
      <c r="F125" s="18">
        <v>3</v>
      </c>
      <c r="G125" s="18">
        <v>0</v>
      </c>
      <c r="H125" s="18"/>
      <c r="I125" s="18">
        <v>2025</v>
      </c>
      <c r="J125" s="18">
        <v>1.4600000381469727</v>
      </c>
      <c r="K125" s="18">
        <v>0</v>
      </c>
      <c r="L125" s="18">
        <v>0</v>
      </c>
      <c r="M125" s="18">
        <v>0</v>
      </c>
      <c r="N125" s="18">
        <v>0</v>
      </c>
      <c r="O125" s="18">
        <v>1.4600000381469727</v>
      </c>
      <c r="P125" s="19">
        <v>1.0000000261280635</v>
      </c>
      <c r="Q125" s="18">
        <v>0</v>
      </c>
      <c r="R125" s="19">
        <v>0</v>
      </c>
      <c r="S125" s="18">
        <v>0</v>
      </c>
      <c r="T125" s="19">
        <v>0</v>
      </c>
      <c r="U125" s="18">
        <v>0</v>
      </c>
      <c r="V125" s="19">
        <v>0</v>
      </c>
      <c r="W125">
        <f t="shared" si="14"/>
        <v>1.4600000381469727</v>
      </c>
      <c r="X125" s="19">
        <f t="shared" si="15"/>
        <v>1.0000000261280635</v>
      </c>
      <c r="Y125">
        <f t="shared" si="16"/>
        <v>0</v>
      </c>
      <c r="Z125" s="19">
        <f t="shared" si="17"/>
        <v>0</v>
      </c>
      <c r="AA125" s="19">
        <f t="shared" si="18"/>
        <v>0</v>
      </c>
      <c r="AB125" t="str">
        <f t="shared" si="19"/>
        <v>Relatif Mantap</v>
      </c>
      <c r="AC125" s="19">
        <f>IF(Dashboard!$B$7="Mantap (%)",X125,IF(Dashboard!$B$7="Tidak Mantap (%)",Z125,IF(Dashboard!$B$7="Baik (%)",P125,IF(Dashboard!$B$7="Sedang (%)",R125,IF(Dashboard!$B$7="Rusak Ringan (%)",T125,IF(Dashboard!$B$7="Rusak Berat (%)",V125,AA125))))))</f>
        <v>0</v>
      </c>
      <c r="AD125" s="20">
        <f>IF(AND(AF125=1,E125&gt;=Dashboard!$B$10,IF(Dashboard!$B$9="≤ Maksimum",AC125&lt;=Dashboard!$B$8,AC125&gt;=Dashboard!$B$8)),1,0)</f>
        <v>0</v>
      </c>
      <c r="AE125" s="20" t="str">
        <f>IF(AD125=1,COUNTIFS($AD$2:$AD$351,1,$AC$2:$AC$351,"&gt;"&amp;AC125)+COUNTIFS($AD$2:AD125,1,$AC$2:AC125,AC125),"")</f>
        <v/>
      </c>
      <c r="AF125" s="20">
        <f>IF(OR(Dashboard!$B$6="Semua",ISNUMBER(SEARCH(Dashboard!$B$6,D125))),1,0)</f>
        <v>1</v>
      </c>
      <c r="AG125" s="18">
        <f t="shared" si="20"/>
        <v>1.46</v>
      </c>
      <c r="AH125" s="18">
        <f t="shared" si="21"/>
        <v>1.4600000381469727</v>
      </c>
      <c r="AI125" s="18">
        <f t="shared" si="22"/>
        <v>0</v>
      </c>
      <c r="AJ125" s="18">
        <f t="shared" si="23"/>
        <v>0</v>
      </c>
      <c r="AK125" s="20">
        <f>IF(OR(Ruas_Per_Kecamatan!$B$4="Semua",ISNUMBER(SEARCH(Ruas_Per_Kecamatan!$B$4,D125))),1,0)</f>
        <v>1</v>
      </c>
      <c r="AL125" s="20">
        <f>IF(AK125=1,COUNTIF($AK$2:AK125,1),"")</f>
        <v>124</v>
      </c>
      <c r="AM125" s="18">
        <f t="shared" si="24"/>
        <v>1.46</v>
      </c>
      <c r="AN125" s="18">
        <f t="shared" si="25"/>
        <v>1.4600000381469727</v>
      </c>
      <c r="AO125" s="18">
        <f t="shared" si="26"/>
        <v>0</v>
      </c>
      <c r="AP125" s="18">
        <f t="shared" si="27"/>
        <v>0</v>
      </c>
    </row>
    <row r="126" spans="1:42" x14ac:dyDescent="0.25">
      <c r="A126" s="17">
        <v>125</v>
      </c>
      <c r="B126" s="17" t="s">
        <v>574</v>
      </c>
      <c r="C126" s="21" t="s">
        <v>161</v>
      </c>
      <c r="D126" s="17" t="s">
        <v>532</v>
      </c>
      <c r="E126" s="18">
        <v>1.32</v>
      </c>
      <c r="F126" s="18">
        <v>3</v>
      </c>
      <c r="G126" s="18">
        <v>0</v>
      </c>
      <c r="H126" s="18"/>
      <c r="I126" s="18">
        <v>2025</v>
      </c>
      <c r="J126" s="18">
        <v>1.3200000524520874</v>
      </c>
      <c r="K126" s="18">
        <v>0</v>
      </c>
      <c r="L126" s="18">
        <v>0</v>
      </c>
      <c r="M126" s="18">
        <v>0</v>
      </c>
      <c r="N126" s="18">
        <v>0</v>
      </c>
      <c r="O126" s="18">
        <v>0.20000000298023224</v>
      </c>
      <c r="P126" s="19">
        <v>0.1515151537729032</v>
      </c>
      <c r="Q126" s="18">
        <v>0.92000001668930054</v>
      </c>
      <c r="R126" s="19">
        <v>0.69696970961310645</v>
      </c>
      <c r="S126" s="18">
        <v>0.20000000298023224</v>
      </c>
      <c r="T126" s="19">
        <v>0.1515151537729032</v>
      </c>
      <c r="U126" s="18">
        <v>0</v>
      </c>
      <c r="V126" s="19">
        <v>0</v>
      </c>
      <c r="W126">
        <f t="shared" si="14"/>
        <v>1.1200000196695328</v>
      </c>
      <c r="X126" s="19">
        <f t="shared" si="15"/>
        <v>0.84848486338600959</v>
      </c>
      <c r="Y126">
        <f t="shared" si="16"/>
        <v>0.20000000298023224</v>
      </c>
      <c r="Z126" s="19">
        <f t="shared" si="17"/>
        <v>0.1515151537729032</v>
      </c>
      <c r="AA126" s="19">
        <f t="shared" si="18"/>
        <v>0.26515151966701855</v>
      </c>
      <c r="AB126" t="str">
        <f t="shared" si="19"/>
        <v>Relatif Mantap</v>
      </c>
      <c r="AC126" s="19">
        <f>IF(Dashboard!$B$7="Mantap (%)",X126,IF(Dashboard!$B$7="Tidak Mantap (%)",Z126,IF(Dashboard!$B$7="Baik (%)",P126,IF(Dashboard!$B$7="Sedang (%)",R126,IF(Dashboard!$B$7="Rusak Ringan (%)",T126,IF(Dashboard!$B$7="Rusak Berat (%)",V126,AA126))))))</f>
        <v>0.1515151537729032</v>
      </c>
      <c r="AD126" s="20">
        <f>IF(AND(AF126=1,E126&gt;=Dashboard!$B$10,IF(Dashboard!$B$9="≤ Maksimum",AC126&lt;=Dashboard!$B$8,AC126&gt;=Dashboard!$B$8)),1,0)</f>
        <v>0</v>
      </c>
      <c r="AE126" s="20" t="str">
        <f>IF(AD126=1,COUNTIFS($AD$2:$AD$351,1,$AC$2:$AC$351,"&gt;"&amp;AC126)+COUNTIFS($AD$2:AD126,1,$AC$2:AC126,AC126),"")</f>
        <v/>
      </c>
      <c r="AF126" s="20">
        <f>IF(OR(Dashboard!$B$6="Semua",ISNUMBER(SEARCH(Dashboard!$B$6,D126))),1,0)</f>
        <v>1</v>
      </c>
      <c r="AG126" s="18">
        <f t="shared" si="20"/>
        <v>1.32</v>
      </c>
      <c r="AH126" s="18">
        <f t="shared" si="21"/>
        <v>1.1200000196695328</v>
      </c>
      <c r="AI126" s="18">
        <f t="shared" si="22"/>
        <v>0.20000000298023224</v>
      </c>
      <c r="AJ126" s="18">
        <f t="shared" si="23"/>
        <v>0</v>
      </c>
      <c r="AK126" s="20">
        <f>IF(OR(Ruas_Per_Kecamatan!$B$4="Semua",ISNUMBER(SEARCH(Ruas_Per_Kecamatan!$B$4,D126))),1,0)</f>
        <v>1</v>
      </c>
      <c r="AL126" s="20">
        <f>IF(AK126=1,COUNTIF($AK$2:AK126,1),"")</f>
        <v>125</v>
      </c>
      <c r="AM126" s="18">
        <f t="shared" si="24"/>
        <v>1.32</v>
      </c>
      <c r="AN126" s="18">
        <f t="shared" si="25"/>
        <v>1.1200000196695328</v>
      </c>
      <c r="AO126" s="18">
        <f t="shared" si="26"/>
        <v>0.20000000298023224</v>
      </c>
      <c r="AP126" s="18">
        <f t="shared" si="27"/>
        <v>0</v>
      </c>
    </row>
    <row r="127" spans="1:42" ht="30" x14ac:dyDescent="0.25">
      <c r="A127" s="17">
        <v>126</v>
      </c>
      <c r="B127" s="17" t="s">
        <v>575</v>
      </c>
      <c r="C127" s="21" t="s">
        <v>162</v>
      </c>
      <c r="D127" s="17" t="s">
        <v>532</v>
      </c>
      <c r="E127" s="18">
        <v>0.73</v>
      </c>
      <c r="F127" s="18">
        <v>3</v>
      </c>
      <c r="G127" s="18">
        <v>0</v>
      </c>
      <c r="H127" s="18"/>
      <c r="I127" s="18">
        <v>2025</v>
      </c>
      <c r="J127" s="18">
        <v>0</v>
      </c>
      <c r="K127" s="18">
        <v>0</v>
      </c>
      <c r="L127" s="18">
        <v>0</v>
      </c>
      <c r="M127" s="18">
        <v>0.73000001907348633</v>
      </c>
      <c r="N127" s="18">
        <v>0</v>
      </c>
      <c r="O127" s="18">
        <v>0</v>
      </c>
      <c r="P127" s="19">
        <v>0</v>
      </c>
      <c r="Q127" s="18">
        <v>0</v>
      </c>
      <c r="R127" s="19">
        <v>0</v>
      </c>
      <c r="S127" s="18">
        <v>0</v>
      </c>
      <c r="T127" s="19">
        <v>0</v>
      </c>
      <c r="U127" s="18">
        <v>0.73000001907348633</v>
      </c>
      <c r="V127" s="19">
        <v>1.0000000261280635</v>
      </c>
      <c r="W127">
        <f t="shared" si="14"/>
        <v>0</v>
      </c>
      <c r="X127" s="19">
        <f t="shared" si="15"/>
        <v>0</v>
      </c>
      <c r="Y127">
        <f t="shared" si="16"/>
        <v>0.73000001907348633</v>
      </c>
      <c r="Z127" s="19">
        <f t="shared" si="17"/>
        <v>1.0000000261280635</v>
      </c>
      <c r="AA127" s="19">
        <f t="shared" si="18"/>
        <v>1.0000000261280635</v>
      </c>
      <c r="AB127" t="str">
        <f t="shared" si="19"/>
        <v>Rusak Berat Dominan</v>
      </c>
      <c r="AC127" s="19">
        <f>IF(Dashboard!$B$7="Mantap (%)",X127,IF(Dashboard!$B$7="Tidak Mantap (%)",Z127,IF(Dashboard!$B$7="Baik (%)",P127,IF(Dashboard!$B$7="Sedang (%)",R127,IF(Dashboard!$B$7="Rusak Ringan (%)",T127,IF(Dashboard!$B$7="Rusak Berat (%)",V127,AA127))))))</f>
        <v>1.0000000261280635</v>
      </c>
      <c r="AD127" s="20">
        <f>IF(AND(AF127=1,E127&gt;=Dashboard!$B$10,IF(Dashboard!$B$9="≤ Maksimum",AC127&lt;=Dashboard!$B$8,AC127&gt;=Dashboard!$B$8)),1,0)</f>
        <v>1</v>
      </c>
      <c r="AE127" s="20">
        <f>IF(AD127=1,COUNTIFS($AD$2:$AD$351,1,$AC$2:$AC$351,"&gt;"&amp;AC127)+COUNTIFS($AD$2:AD127,1,$AC$2:AC127,AC127),"")</f>
        <v>11</v>
      </c>
      <c r="AF127" s="20">
        <f>IF(OR(Dashboard!$B$6="Semua",ISNUMBER(SEARCH(Dashboard!$B$6,D127))),1,0)</f>
        <v>1</v>
      </c>
      <c r="AG127" s="18">
        <f t="shared" si="20"/>
        <v>0.73</v>
      </c>
      <c r="AH127" s="18">
        <f t="shared" si="21"/>
        <v>0</v>
      </c>
      <c r="AI127" s="18">
        <f t="shared" si="22"/>
        <v>0.73000001907348633</v>
      </c>
      <c r="AJ127" s="18">
        <f t="shared" si="23"/>
        <v>0.73000001907348633</v>
      </c>
      <c r="AK127" s="20">
        <f>IF(OR(Ruas_Per_Kecamatan!$B$4="Semua",ISNUMBER(SEARCH(Ruas_Per_Kecamatan!$B$4,D127))),1,0)</f>
        <v>1</v>
      </c>
      <c r="AL127" s="20">
        <f>IF(AK127=1,COUNTIF($AK$2:AK127,1),"")</f>
        <v>126</v>
      </c>
      <c r="AM127" s="18">
        <f t="shared" si="24"/>
        <v>0.73</v>
      </c>
      <c r="AN127" s="18">
        <f t="shared" si="25"/>
        <v>0</v>
      </c>
      <c r="AO127" s="18">
        <f t="shared" si="26"/>
        <v>0.73000001907348633</v>
      </c>
      <c r="AP127" s="18">
        <f t="shared" si="27"/>
        <v>0.73000001907348633</v>
      </c>
    </row>
    <row r="128" spans="1:42" x14ac:dyDescent="0.25">
      <c r="A128" s="17">
        <v>127</v>
      </c>
      <c r="B128" s="17" t="s">
        <v>576</v>
      </c>
      <c r="C128" s="21" t="s">
        <v>163</v>
      </c>
      <c r="D128" s="17" t="s">
        <v>532</v>
      </c>
      <c r="E128" s="18">
        <v>0.7</v>
      </c>
      <c r="F128" s="18">
        <v>3</v>
      </c>
      <c r="G128" s="18">
        <v>0</v>
      </c>
      <c r="H128" s="18"/>
      <c r="I128" s="18">
        <v>2025</v>
      </c>
      <c r="J128" s="18">
        <v>0.69999998807907104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9">
        <v>0</v>
      </c>
      <c r="Q128" s="18">
        <v>0</v>
      </c>
      <c r="R128" s="19">
        <v>0</v>
      </c>
      <c r="S128" s="18">
        <v>0.20000000298023224</v>
      </c>
      <c r="T128" s="19">
        <v>0.28571428997176035</v>
      </c>
      <c r="U128" s="18">
        <v>0.5</v>
      </c>
      <c r="V128" s="19">
        <v>0.7142857142857143</v>
      </c>
      <c r="W128">
        <f t="shared" si="14"/>
        <v>0</v>
      </c>
      <c r="X128" s="19">
        <f t="shared" si="15"/>
        <v>0</v>
      </c>
      <c r="Y128">
        <f t="shared" si="16"/>
        <v>0.70000000298023224</v>
      </c>
      <c r="Z128" s="19">
        <f t="shared" si="17"/>
        <v>1.0000000042574746</v>
      </c>
      <c r="AA128" s="19">
        <f t="shared" si="18"/>
        <v>0.88571428826877052</v>
      </c>
      <c r="AB128" t="str">
        <f t="shared" si="19"/>
        <v>Rusak Berat Dominan</v>
      </c>
      <c r="AC128" s="19">
        <f>IF(Dashboard!$B$7="Mantap (%)",X128,IF(Dashboard!$B$7="Tidak Mantap (%)",Z128,IF(Dashboard!$B$7="Baik (%)",P128,IF(Dashboard!$B$7="Sedang (%)",R128,IF(Dashboard!$B$7="Rusak Ringan (%)",T128,IF(Dashboard!$B$7="Rusak Berat (%)",V128,AA128))))))</f>
        <v>1.0000000042574746</v>
      </c>
      <c r="AD128" s="20">
        <f>IF(AND(AF128=1,E128&gt;=Dashboard!$B$10,IF(Dashboard!$B$9="≤ Maksimum",AC128&lt;=Dashboard!$B$8,AC128&gt;=Dashboard!$B$8)),1,0)</f>
        <v>1</v>
      </c>
      <c r="AE128" s="20">
        <f>IF(AD128=1,COUNTIFS($AD$2:$AD$351,1,$AC$2:$AC$351,"&gt;"&amp;AC128)+COUNTIFS($AD$2:AD128,1,$AC$2:AC128,AC128),"")</f>
        <v>28</v>
      </c>
      <c r="AF128" s="20">
        <f>IF(OR(Dashboard!$B$6="Semua",ISNUMBER(SEARCH(Dashboard!$B$6,D128))),1,0)</f>
        <v>1</v>
      </c>
      <c r="AG128" s="18">
        <f t="shared" si="20"/>
        <v>0.7</v>
      </c>
      <c r="AH128" s="18">
        <f t="shared" si="21"/>
        <v>0</v>
      </c>
      <c r="AI128" s="18">
        <f t="shared" si="22"/>
        <v>0.70000000298023224</v>
      </c>
      <c r="AJ128" s="18">
        <f t="shared" si="23"/>
        <v>0.5</v>
      </c>
      <c r="AK128" s="20">
        <f>IF(OR(Ruas_Per_Kecamatan!$B$4="Semua",ISNUMBER(SEARCH(Ruas_Per_Kecamatan!$B$4,D128))),1,0)</f>
        <v>1</v>
      </c>
      <c r="AL128" s="20">
        <f>IF(AK128=1,COUNTIF($AK$2:AK128,1),"")</f>
        <v>127</v>
      </c>
      <c r="AM128" s="18">
        <f t="shared" si="24"/>
        <v>0.7</v>
      </c>
      <c r="AN128" s="18">
        <f t="shared" si="25"/>
        <v>0</v>
      </c>
      <c r="AO128" s="18">
        <f t="shared" si="26"/>
        <v>0.70000000298023224</v>
      </c>
      <c r="AP128" s="18">
        <f t="shared" si="27"/>
        <v>0.5</v>
      </c>
    </row>
    <row r="129" spans="1:42" x14ac:dyDescent="0.25">
      <c r="A129" s="17">
        <v>128</v>
      </c>
      <c r="B129" s="17" t="s">
        <v>577</v>
      </c>
      <c r="C129" s="21" t="s">
        <v>164</v>
      </c>
      <c r="D129" s="17" t="s">
        <v>532</v>
      </c>
      <c r="E129" s="18">
        <v>0.71</v>
      </c>
      <c r="F129" s="18">
        <v>3</v>
      </c>
      <c r="G129" s="18">
        <v>0</v>
      </c>
      <c r="H129" s="18"/>
      <c r="I129" s="18">
        <v>2025</v>
      </c>
      <c r="J129" s="18">
        <v>0.70999997854232788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9">
        <v>0</v>
      </c>
      <c r="Q129" s="18">
        <v>0.20000000298023224</v>
      </c>
      <c r="R129" s="19">
        <v>0.28169014504258061</v>
      </c>
      <c r="S129" s="18">
        <v>0.50999999046325684</v>
      </c>
      <c r="T129" s="19">
        <v>0.71830984572289702</v>
      </c>
      <c r="U129" s="18">
        <v>0</v>
      </c>
      <c r="V129" s="19">
        <v>0</v>
      </c>
      <c r="W129">
        <f t="shared" si="14"/>
        <v>0.20000000298023224</v>
      </c>
      <c r="X129" s="19">
        <f t="shared" si="15"/>
        <v>0.28169014504258061</v>
      </c>
      <c r="Y129">
        <f t="shared" si="16"/>
        <v>0.50999999046325684</v>
      </c>
      <c r="Z129" s="19">
        <f t="shared" si="17"/>
        <v>0.71830984572289702</v>
      </c>
      <c r="AA129" s="19">
        <f t="shared" si="18"/>
        <v>0.50140844369438331</v>
      </c>
      <c r="AB129" t="str">
        <f t="shared" si="19"/>
        <v>Tidak Mantap Tinggi</v>
      </c>
      <c r="AC129" s="19">
        <f>IF(Dashboard!$B$7="Mantap (%)",X129,IF(Dashboard!$B$7="Tidak Mantap (%)",Z129,IF(Dashboard!$B$7="Baik (%)",P129,IF(Dashboard!$B$7="Sedang (%)",R129,IF(Dashboard!$B$7="Rusak Ringan (%)",T129,IF(Dashboard!$B$7="Rusak Berat (%)",V129,AA129))))))</f>
        <v>0.71830984572289702</v>
      </c>
      <c r="AD129" s="20">
        <f>IF(AND(AF129=1,E129&gt;=Dashboard!$B$10,IF(Dashboard!$B$9="≤ Maksimum",AC129&lt;=Dashboard!$B$8,AC129&gt;=Dashboard!$B$8)),1,0)</f>
        <v>1</v>
      </c>
      <c r="AE129" s="20">
        <f>IF(AD129=1,COUNTIFS($AD$2:$AD$351,1,$AC$2:$AC$351,"&gt;"&amp;AC129)+COUNTIFS($AD$2:AD129,1,$AC$2:AC129,AC129),"")</f>
        <v>84</v>
      </c>
      <c r="AF129" s="20">
        <f>IF(OR(Dashboard!$B$6="Semua",ISNUMBER(SEARCH(Dashboard!$B$6,D129))),1,0)</f>
        <v>1</v>
      </c>
      <c r="AG129" s="18">
        <f t="shared" si="20"/>
        <v>0.71</v>
      </c>
      <c r="AH129" s="18">
        <f t="shared" si="21"/>
        <v>0.20000000298023224</v>
      </c>
      <c r="AI129" s="18">
        <f t="shared" si="22"/>
        <v>0.50999999046325684</v>
      </c>
      <c r="AJ129" s="18">
        <f t="shared" si="23"/>
        <v>0</v>
      </c>
      <c r="AK129" s="20">
        <f>IF(OR(Ruas_Per_Kecamatan!$B$4="Semua",ISNUMBER(SEARCH(Ruas_Per_Kecamatan!$B$4,D129))),1,0)</f>
        <v>1</v>
      </c>
      <c r="AL129" s="20">
        <f>IF(AK129=1,COUNTIF($AK$2:AK129,1),"")</f>
        <v>128</v>
      </c>
      <c r="AM129" s="18">
        <f t="shared" si="24"/>
        <v>0.71</v>
      </c>
      <c r="AN129" s="18">
        <f t="shared" si="25"/>
        <v>0.20000000298023224</v>
      </c>
      <c r="AO129" s="18">
        <f t="shared" si="26"/>
        <v>0.50999999046325684</v>
      </c>
      <c r="AP129" s="18">
        <f t="shared" si="27"/>
        <v>0</v>
      </c>
    </row>
    <row r="130" spans="1:42" ht="30" x14ac:dyDescent="0.25">
      <c r="A130" s="17">
        <v>129</v>
      </c>
      <c r="B130" s="17" t="s">
        <v>578</v>
      </c>
      <c r="C130" s="21" t="s">
        <v>165</v>
      </c>
      <c r="D130" s="17" t="s">
        <v>532</v>
      </c>
      <c r="E130" s="18">
        <v>1.61</v>
      </c>
      <c r="F130" s="18">
        <v>3</v>
      </c>
      <c r="G130" s="18">
        <v>0</v>
      </c>
      <c r="H130" s="18"/>
      <c r="I130" s="18">
        <v>2025</v>
      </c>
      <c r="J130" s="18">
        <v>1.6100000143051147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9">
        <v>0</v>
      </c>
      <c r="Q130" s="18">
        <v>0</v>
      </c>
      <c r="R130" s="19">
        <v>0</v>
      </c>
      <c r="S130" s="18">
        <v>0</v>
      </c>
      <c r="T130" s="19">
        <v>0</v>
      </c>
      <c r="U130" s="18">
        <v>1.6100000143051147</v>
      </c>
      <c r="V130" s="19">
        <v>1.0000000088851644</v>
      </c>
      <c r="W130">
        <f t="shared" ref="W130:W193" si="28">O130+Q130</f>
        <v>0</v>
      </c>
      <c r="X130" s="19">
        <f t="shared" ref="X130:X193" si="29">IFERROR(W130/E130,0)</f>
        <v>0</v>
      </c>
      <c r="Y130">
        <f t="shared" ref="Y130:Y193" si="30">S130+U130</f>
        <v>1.6100000143051147</v>
      </c>
      <c r="Z130" s="19">
        <f t="shared" ref="Z130:Z193" si="31">IFERROR(Y130/E130,0)</f>
        <v>1.0000000088851644</v>
      </c>
      <c r="AA130" s="19">
        <f t="shared" ref="AA130:AA193" si="32">0.25*R130+0.6*T130+V130</f>
        <v>1.0000000088851644</v>
      </c>
      <c r="AB130" t="str">
        <f t="shared" ref="AB130:AB193" si="33">IF(V130&gt;=0.2,"Rusak Berat Dominan",IF(Z130&gt;=0.5,"Tidak Mantap Tinggi",IF(Z130&gt;=0.2,"Tidak Mantap Sedang","Relatif Mantap")))</f>
        <v>Rusak Berat Dominan</v>
      </c>
      <c r="AC130" s="19">
        <f>IF(Dashboard!$B$7="Mantap (%)",X130,IF(Dashboard!$B$7="Tidak Mantap (%)",Z130,IF(Dashboard!$B$7="Baik (%)",P130,IF(Dashboard!$B$7="Sedang (%)",R130,IF(Dashboard!$B$7="Rusak Ringan (%)",T130,IF(Dashboard!$B$7="Rusak Berat (%)",V130,AA130))))))</f>
        <v>1.0000000088851644</v>
      </c>
      <c r="AD130" s="20">
        <f>IF(AND(AF130=1,E130&gt;=Dashboard!$B$10,IF(Dashboard!$B$9="≤ Maksimum",AC130&lt;=Dashboard!$B$8,AC130&gt;=Dashboard!$B$8)),1,0)</f>
        <v>1</v>
      </c>
      <c r="AE130" s="20">
        <f>IF(AD130=1,COUNTIFS($AD$2:$AD$351,1,$AC$2:$AC$351,"&gt;"&amp;AC130)+COUNTIFS($AD$2:AD130,1,$AC$2:AC130,AC130),"")</f>
        <v>22</v>
      </c>
      <c r="AF130" s="20">
        <f>IF(OR(Dashboard!$B$6="Semua",ISNUMBER(SEARCH(Dashboard!$B$6,D130))),1,0)</f>
        <v>1</v>
      </c>
      <c r="AG130" s="18">
        <f t="shared" ref="AG130:AG193" si="34">AF130*E130</f>
        <v>1.61</v>
      </c>
      <c r="AH130" s="18">
        <f t="shared" ref="AH130:AH193" si="35">AF130*W130</f>
        <v>0</v>
      </c>
      <c r="AI130" s="18">
        <f t="shared" ref="AI130:AI193" si="36">AF130*Y130</f>
        <v>1.6100000143051147</v>
      </c>
      <c r="AJ130" s="18">
        <f t="shared" ref="AJ130:AJ193" si="37">AF130*U130</f>
        <v>1.6100000143051147</v>
      </c>
      <c r="AK130" s="20">
        <f>IF(OR(Ruas_Per_Kecamatan!$B$4="Semua",ISNUMBER(SEARCH(Ruas_Per_Kecamatan!$B$4,D130))),1,0)</f>
        <v>1</v>
      </c>
      <c r="AL130" s="20">
        <f>IF(AK130=1,COUNTIF($AK$2:AK130,1),"")</f>
        <v>129</v>
      </c>
      <c r="AM130" s="18">
        <f t="shared" ref="AM130:AM193" si="38">AK130*E130</f>
        <v>1.61</v>
      </c>
      <c r="AN130" s="18">
        <f t="shared" ref="AN130:AN193" si="39">AK130*W130</f>
        <v>0</v>
      </c>
      <c r="AO130" s="18">
        <f t="shared" ref="AO130:AO193" si="40">AK130*Y130</f>
        <v>1.6100000143051147</v>
      </c>
      <c r="AP130" s="18">
        <f t="shared" ref="AP130:AP193" si="41">AK130*U130</f>
        <v>1.6100000143051147</v>
      </c>
    </row>
    <row r="131" spans="1:42" ht="30" x14ac:dyDescent="0.25">
      <c r="A131" s="17">
        <v>130</v>
      </c>
      <c r="B131" s="17" t="s">
        <v>579</v>
      </c>
      <c r="C131" s="21" t="s">
        <v>166</v>
      </c>
      <c r="D131" s="17" t="s">
        <v>532</v>
      </c>
      <c r="E131" s="18">
        <v>0.82</v>
      </c>
      <c r="F131" s="18">
        <v>3.5</v>
      </c>
      <c r="G131" s="18">
        <v>0</v>
      </c>
      <c r="H131" s="18"/>
      <c r="I131" s="18">
        <v>2025</v>
      </c>
      <c r="J131" s="18">
        <v>0</v>
      </c>
      <c r="K131" s="18">
        <v>0</v>
      </c>
      <c r="L131" s="18">
        <v>0</v>
      </c>
      <c r="M131" s="18">
        <v>0.81999999284744263</v>
      </c>
      <c r="N131" s="18">
        <v>0</v>
      </c>
      <c r="O131" s="18">
        <v>0</v>
      </c>
      <c r="P131" s="19">
        <v>0</v>
      </c>
      <c r="Q131" s="18">
        <v>0</v>
      </c>
      <c r="R131" s="19">
        <v>0</v>
      </c>
      <c r="S131" s="18">
        <v>0</v>
      </c>
      <c r="T131" s="19">
        <v>0</v>
      </c>
      <c r="U131" s="18">
        <v>0.81999999284744263</v>
      </c>
      <c r="V131" s="19">
        <v>0.99999999127736916</v>
      </c>
      <c r="W131">
        <f t="shared" si="28"/>
        <v>0</v>
      </c>
      <c r="X131" s="19">
        <f t="shared" si="29"/>
        <v>0</v>
      </c>
      <c r="Y131">
        <f t="shared" si="30"/>
        <v>0.81999999284744263</v>
      </c>
      <c r="Z131" s="19">
        <f t="shared" si="31"/>
        <v>0.99999999127736916</v>
      </c>
      <c r="AA131" s="19">
        <f t="shared" si="32"/>
        <v>0.99999999127736916</v>
      </c>
      <c r="AB131" t="str">
        <f t="shared" si="33"/>
        <v>Rusak Berat Dominan</v>
      </c>
      <c r="AC131" s="19">
        <f>IF(Dashboard!$B$7="Mantap (%)",X131,IF(Dashboard!$B$7="Tidak Mantap (%)",Z131,IF(Dashboard!$B$7="Baik (%)",P131,IF(Dashboard!$B$7="Sedang (%)",R131,IF(Dashboard!$B$7="Rusak Ringan (%)",T131,IF(Dashboard!$B$7="Rusak Berat (%)",V131,AA131))))))</f>
        <v>0.99999999127736916</v>
      </c>
      <c r="AD131" s="20">
        <f>IF(AND(AF131=1,E131&gt;=Dashboard!$B$10,IF(Dashboard!$B$9="≤ Maksimum",AC131&lt;=Dashboard!$B$8,AC131&gt;=Dashboard!$B$8)),1,0)</f>
        <v>1</v>
      </c>
      <c r="AE131" s="20">
        <f>IF(AD131=1,COUNTIFS($AD$2:$AD$351,1,$AC$2:$AC$351,"&gt;"&amp;AC131)+COUNTIFS($AD$2:AD131,1,$AC$2:AC131,AC131),"")</f>
        <v>32</v>
      </c>
      <c r="AF131" s="20">
        <f>IF(OR(Dashboard!$B$6="Semua",ISNUMBER(SEARCH(Dashboard!$B$6,D131))),1,0)</f>
        <v>1</v>
      </c>
      <c r="AG131" s="18">
        <f t="shared" si="34"/>
        <v>0.82</v>
      </c>
      <c r="AH131" s="18">
        <f t="shared" si="35"/>
        <v>0</v>
      </c>
      <c r="AI131" s="18">
        <f t="shared" si="36"/>
        <v>0.81999999284744263</v>
      </c>
      <c r="AJ131" s="18">
        <f t="shared" si="37"/>
        <v>0.81999999284744263</v>
      </c>
      <c r="AK131" s="20">
        <f>IF(OR(Ruas_Per_Kecamatan!$B$4="Semua",ISNUMBER(SEARCH(Ruas_Per_Kecamatan!$B$4,D131))),1,0)</f>
        <v>1</v>
      </c>
      <c r="AL131" s="20">
        <f>IF(AK131=1,COUNTIF($AK$2:AK131,1),"")</f>
        <v>130</v>
      </c>
      <c r="AM131" s="18">
        <f t="shared" si="38"/>
        <v>0.82</v>
      </c>
      <c r="AN131" s="18">
        <f t="shared" si="39"/>
        <v>0</v>
      </c>
      <c r="AO131" s="18">
        <f t="shared" si="40"/>
        <v>0.81999999284744263</v>
      </c>
      <c r="AP131" s="18">
        <f t="shared" si="41"/>
        <v>0.81999999284744263</v>
      </c>
    </row>
    <row r="132" spans="1:42" x14ac:dyDescent="0.25">
      <c r="A132" s="17">
        <v>131</v>
      </c>
      <c r="B132" s="17" t="s">
        <v>580</v>
      </c>
      <c r="C132" s="21" t="s">
        <v>167</v>
      </c>
      <c r="D132" s="17" t="s">
        <v>532</v>
      </c>
      <c r="E132" s="18">
        <v>1.28</v>
      </c>
      <c r="F132" s="18">
        <v>3.5</v>
      </c>
      <c r="G132" s="18">
        <v>0</v>
      </c>
      <c r="H132" s="18"/>
      <c r="I132" s="18">
        <v>2025</v>
      </c>
      <c r="J132" s="18">
        <v>0</v>
      </c>
      <c r="K132" s="18">
        <v>0</v>
      </c>
      <c r="L132" s="18">
        <v>0</v>
      </c>
      <c r="M132" s="18">
        <v>1.2799999713897705</v>
      </c>
      <c r="N132" s="18">
        <v>0</v>
      </c>
      <c r="O132" s="18">
        <v>0</v>
      </c>
      <c r="P132" s="19">
        <v>0</v>
      </c>
      <c r="Q132" s="18">
        <v>0</v>
      </c>
      <c r="R132" s="19">
        <v>0</v>
      </c>
      <c r="S132" s="18">
        <v>0</v>
      </c>
      <c r="T132" s="19">
        <v>0</v>
      </c>
      <c r="U132" s="18">
        <v>1.2799999713897705</v>
      </c>
      <c r="V132" s="19">
        <v>0.99999997764825821</v>
      </c>
      <c r="W132">
        <f t="shared" si="28"/>
        <v>0</v>
      </c>
      <c r="X132" s="19">
        <f t="shared" si="29"/>
        <v>0</v>
      </c>
      <c r="Y132">
        <f t="shared" si="30"/>
        <v>1.2799999713897705</v>
      </c>
      <c r="Z132" s="19">
        <f t="shared" si="31"/>
        <v>0.99999997764825821</v>
      </c>
      <c r="AA132" s="19">
        <f t="shared" si="32"/>
        <v>0.99999997764825821</v>
      </c>
      <c r="AB132" t="str">
        <f t="shared" si="33"/>
        <v>Rusak Berat Dominan</v>
      </c>
      <c r="AC132" s="19">
        <f>IF(Dashboard!$B$7="Mantap (%)",X132,IF(Dashboard!$B$7="Tidak Mantap (%)",Z132,IF(Dashboard!$B$7="Baik (%)",P132,IF(Dashboard!$B$7="Sedang (%)",R132,IF(Dashboard!$B$7="Rusak Ringan (%)",T132,IF(Dashboard!$B$7="Rusak Berat (%)",V132,AA132))))))</f>
        <v>0.99999997764825821</v>
      </c>
      <c r="AD132" s="20">
        <f>IF(AND(AF132=1,E132&gt;=Dashboard!$B$10,IF(Dashboard!$B$9="≤ Maksimum",AC132&lt;=Dashboard!$B$8,AC132&gt;=Dashboard!$B$8)),1,0)</f>
        <v>1</v>
      </c>
      <c r="AE132" s="20">
        <f>IF(AD132=1,COUNTIFS($AD$2:$AD$351,1,$AC$2:$AC$351,"&gt;"&amp;AC132)+COUNTIFS($AD$2:AD132,1,$AC$2:AC132,AC132),"")</f>
        <v>40</v>
      </c>
      <c r="AF132" s="20">
        <f>IF(OR(Dashboard!$B$6="Semua",ISNUMBER(SEARCH(Dashboard!$B$6,D132))),1,0)</f>
        <v>1</v>
      </c>
      <c r="AG132" s="18">
        <f t="shared" si="34"/>
        <v>1.28</v>
      </c>
      <c r="AH132" s="18">
        <f t="shared" si="35"/>
        <v>0</v>
      </c>
      <c r="AI132" s="18">
        <f t="shared" si="36"/>
        <v>1.2799999713897705</v>
      </c>
      <c r="AJ132" s="18">
        <f t="shared" si="37"/>
        <v>1.2799999713897705</v>
      </c>
      <c r="AK132" s="20">
        <f>IF(OR(Ruas_Per_Kecamatan!$B$4="Semua",ISNUMBER(SEARCH(Ruas_Per_Kecamatan!$B$4,D132))),1,0)</f>
        <v>1</v>
      </c>
      <c r="AL132" s="20">
        <f>IF(AK132=1,COUNTIF($AK$2:AK132,1),"")</f>
        <v>131</v>
      </c>
      <c r="AM132" s="18">
        <f t="shared" si="38"/>
        <v>1.28</v>
      </c>
      <c r="AN132" s="18">
        <f t="shared" si="39"/>
        <v>0</v>
      </c>
      <c r="AO132" s="18">
        <f t="shared" si="40"/>
        <v>1.2799999713897705</v>
      </c>
      <c r="AP132" s="18">
        <f t="shared" si="41"/>
        <v>1.2799999713897705</v>
      </c>
    </row>
    <row r="133" spans="1:42" x14ac:dyDescent="0.25">
      <c r="A133" s="17">
        <v>132</v>
      </c>
      <c r="B133" s="17" t="s">
        <v>581</v>
      </c>
      <c r="C133" s="21" t="s">
        <v>168</v>
      </c>
      <c r="D133" s="17" t="s">
        <v>532</v>
      </c>
      <c r="E133" s="18">
        <v>0.85</v>
      </c>
      <c r="F133" s="18">
        <v>6</v>
      </c>
      <c r="G133" s="18">
        <v>0</v>
      </c>
      <c r="H133" s="18"/>
      <c r="I133" s="18">
        <v>2025</v>
      </c>
      <c r="J133" s="18">
        <v>0.85000002384185791</v>
      </c>
      <c r="K133" s="18">
        <v>0</v>
      </c>
      <c r="L133" s="18">
        <v>0</v>
      </c>
      <c r="M133" s="18">
        <v>0</v>
      </c>
      <c r="N133" s="18">
        <v>0</v>
      </c>
      <c r="O133" s="18">
        <v>0.64999997615814209</v>
      </c>
      <c r="P133" s="19">
        <v>0.76470585430369664</v>
      </c>
      <c r="Q133" s="18">
        <v>0.20000000298023224</v>
      </c>
      <c r="R133" s="19">
        <v>0.23529412115321441</v>
      </c>
      <c r="S133" s="18">
        <v>0</v>
      </c>
      <c r="T133" s="19">
        <v>0</v>
      </c>
      <c r="U133" s="18">
        <v>0</v>
      </c>
      <c r="V133" s="19">
        <v>0</v>
      </c>
      <c r="W133">
        <f t="shared" si="28"/>
        <v>0.84999997913837433</v>
      </c>
      <c r="X133" s="19">
        <f t="shared" si="29"/>
        <v>0.99999997545691099</v>
      </c>
      <c r="Y133">
        <f t="shared" si="30"/>
        <v>0</v>
      </c>
      <c r="Z133" s="19">
        <f t="shared" si="31"/>
        <v>0</v>
      </c>
      <c r="AA133" s="19">
        <f t="shared" si="32"/>
        <v>5.8823530288303602E-2</v>
      </c>
      <c r="AB133" t="str">
        <f t="shared" si="33"/>
        <v>Relatif Mantap</v>
      </c>
      <c r="AC133" s="19">
        <f>IF(Dashboard!$B$7="Mantap (%)",X133,IF(Dashboard!$B$7="Tidak Mantap (%)",Z133,IF(Dashboard!$B$7="Baik (%)",P133,IF(Dashboard!$B$7="Sedang (%)",R133,IF(Dashboard!$B$7="Rusak Ringan (%)",T133,IF(Dashboard!$B$7="Rusak Berat (%)",V133,AA133))))))</f>
        <v>0</v>
      </c>
      <c r="AD133" s="20">
        <f>IF(AND(AF133=1,E133&gt;=Dashboard!$B$10,IF(Dashboard!$B$9="≤ Maksimum",AC133&lt;=Dashboard!$B$8,AC133&gt;=Dashboard!$B$8)),1,0)</f>
        <v>0</v>
      </c>
      <c r="AE133" s="20" t="str">
        <f>IF(AD133=1,COUNTIFS($AD$2:$AD$351,1,$AC$2:$AC$351,"&gt;"&amp;AC133)+COUNTIFS($AD$2:AD133,1,$AC$2:AC133,AC133),"")</f>
        <v/>
      </c>
      <c r="AF133" s="20">
        <f>IF(OR(Dashboard!$B$6="Semua",ISNUMBER(SEARCH(Dashboard!$B$6,D133))),1,0)</f>
        <v>1</v>
      </c>
      <c r="AG133" s="18">
        <f t="shared" si="34"/>
        <v>0.85</v>
      </c>
      <c r="AH133" s="18">
        <f t="shared" si="35"/>
        <v>0.84999997913837433</v>
      </c>
      <c r="AI133" s="18">
        <f t="shared" si="36"/>
        <v>0</v>
      </c>
      <c r="AJ133" s="18">
        <f t="shared" si="37"/>
        <v>0</v>
      </c>
      <c r="AK133" s="20">
        <f>IF(OR(Ruas_Per_Kecamatan!$B$4="Semua",ISNUMBER(SEARCH(Ruas_Per_Kecamatan!$B$4,D133))),1,0)</f>
        <v>1</v>
      </c>
      <c r="AL133" s="20">
        <f>IF(AK133=1,COUNTIF($AK$2:AK133,1),"")</f>
        <v>132</v>
      </c>
      <c r="AM133" s="18">
        <f t="shared" si="38"/>
        <v>0.85</v>
      </c>
      <c r="AN133" s="18">
        <f t="shared" si="39"/>
        <v>0.84999997913837433</v>
      </c>
      <c r="AO133" s="18">
        <f t="shared" si="40"/>
        <v>0</v>
      </c>
      <c r="AP133" s="18">
        <f t="shared" si="41"/>
        <v>0</v>
      </c>
    </row>
    <row r="134" spans="1:42" ht="30" x14ac:dyDescent="0.25">
      <c r="A134" s="17">
        <v>133</v>
      </c>
      <c r="B134" s="17" t="s">
        <v>582</v>
      </c>
      <c r="C134" s="21" t="s">
        <v>169</v>
      </c>
      <c r="D134" s="17" t="s">
        <v>532</v>
      </c>
      <c r="E134" s="18">
        <v>0.95</v>
      </c>
      <c r="F134" s="18">
        <v>3</v>
      </c>
      <c r="G134" s="18">
        <v>0</v>
      </c>
      <c r="H134" s="18"/>
      <c r="I134" s="18">
        <v>2025</v>
      </c>
      <c r="J134" s="18">
        <v>0.94999998807907104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9">
        <v>0</v>
      </c>
      <c r="Q134" s="18">
        <v>0.34999999403953552</v>
      </c>
      <c r="R134" s="19">
        <v>0.36842104635740586</v>
      </c>
      <c r="S134" s="18">
        <v>0.40000000596046448</v>
      </c>
      <c r="T134" s="19">
        <v>0.42105263785312053</v>
      </c>
      <c r="U134" s="18">
        <v>0.20000000298023224</v>
      </c>
      <c r="V134" s="19">
        <v>0.21052631892656026</v>
      </c>
      <c r="W134">
        <f t="shared" si="28"/>
        <v>0.34999999403953552</v>
      </c>
      <c r="X134" s="19">
        <f t="shared" si="29"/>
        <v>0.36842104635740586</v>
      </c>
      <c r="Y134">
        <f t="shared" si="30"/>
        <v>0.60000000894069672</v>
      </c>
      <c r="Z134" s="19">
        <f t="shared" si="31"/>
        <v>0.63157895677968079</v>
      </c>
      <c r="AA134" s="19">
        <f t="shared" si="32"/>
        <v>0.55526316322778402</v>
      </c>
      <c r="AB134" t="str">
        <f t="shared" si="33"/>
        <v>Rusak Berat Dominan</v>
      </c>
      <c r="AC134" s="19">
        <f>IF(Dashboard!$B$7="Mantap (%)",X134,IF(Dashboard!$B$7="Tidak Mantap (%)",Z134,IF(Dashboard!$B$7="Baik (%)",P134,IF(Dashboard!$B$7="Sedang (%)",R134,IF(Dashboard!$B$7="Rusak Ringan (%)",T134,IF(Dashboard!$B$7="Rusak Berat (%)",V134,AA134))))))</f>
        <v>0.63157895677968079</v>
      </c>
      <c r="AD134" s="20">
        <f>IF(AND(AF134=1,E134&gt;=Dashboard!$B$10,IF(Dashboard!$B$9="≤ Maksimum",AC134&lt;=Dashboard!$B$8,AC134&gt;=Dashboard!$B$8)),1,0)</f>
        <v>1</v>
      </c>
      <c r="AE134" s="20">
        <f>IF(AD134=1,COUNTIFS($AD$2:$AD$351,1,$AC$2:$AC$351,"&gt;"&amp;AC134)+COUNTIFS($AD$2:AD134,1,$AC$2:AC134,AC134),"")</f>
        <v>102</v>
      </c>
      <c r="AF134" s="20">
        <f>IF(OR(Dashboard!$B$6="Semua",ISNUMBER(SEARCH(Dashboard!$B$6,D134))),1,0)</f>
        <v>1</v>
      </c>
      <c r="AG134" s="18">
        <f t="shared" si="34"/>
        <v>0.95</v>
      </c>
      <c r="AH134" s="18">
        <f t="shared" si="35"/>
        <v>0.34999999403953552</v>
      </c>
      <c r="AI134" s="18">
        <f t="shared" si="36"/>
        <v>0.60000000894069672</v>
      </c>
      <c r="AJ134" s="18">
        <f t="shared" si="37"/>
        <v>0.20000000298023224</v>
      </c>
      <c r="AK134" s="20">
        <f>IF(OR(Ruas_Per_Kecamatan!$B$4="Semua",ISNUMBER(SEARCH(Ruas_Per_Kecamatan!$B$4,D134))),1,0)</f>
        <v>1</v>
      </c>
      <c r="AL134" s="20">
        <f>IF(AK134=1,COUNTIF($AK$2:AK134,1),"")</f>
        <v>133</v>
      </c>
      <c r="AM134" s="18">
        <f t="shared" si="38"/>
        <v>0.95</v>
      </c>
      <c r="AN134" s="18">
        <f t="shared" si="39"/>
        <v>0.34999999403953552</v>
      </c>
      <c r="AO134" s="18">
        <f t="shared" si="40"/>
        <v>0.60000000894069672</v>
      </c>
      <c r="AP134" s="18">
        <f t="shared" si="41"/>
        <v>0.20000000298023224</v>
      </c>
    </row>
    <row r="135" spans="1:42" ht="30" x14ac:dyDescent="0.25">
      <c r="A135" s="17">
        <v>134</v>
      </c>
      <c r="B135" s="17" t="s">
        <v>583</v>
      </c>
      <c r="C135" s="21" t="s">
        <v>170</v>
      </c>
      <c r="D135" s="17" t="s">
        <v>532</v>
      </c>
      <c r="E135" s="18">
        <v>0.43</v>
      </c>
      <c r="F135" s="18">
        <v>3</v>
      </c>
      <c r="G135" s="18">
        <v>0</v>
      </c>
      <c r="H135" s="18"/>
      <c r="I135" s="18">
        <v>2025</v>
      </c>
      <c r="J135" s="18">
        <v>0</v>
      </c>
      <c r="K135" s="18">
        <v>0</v>
      </c>
      <c r="L135" s="18">
        <v>0</v>
      </c>
      <c r="M135" s="18">
        <v>0.43000000715255737</v>
      </c>
      <c r="N135" s="18">
        <v>0</v>
      </c>
      <c r="O135" s="18">
        <v>0</v>
      </c>
      <c r="P135" s="19">
        <v>0</v>
      </c>
      <c r="Q135" s="18">
        <v>0</v>
      </c>
      <c r="R135" s="19">
        <v>0</v>
      </c>
      <c r="S135" s="18">
        <v>0</v>
      </c>
      <c r="T135" s="19">
        <v>0</v>
      </c>
      <c r="U135" s="18">
        <v>0.43000000715255737</v>
      </c>
      <c r="V135" s="19">
        <v>1.0000000166338543</v>
      </c>
      <c r="W135">
        <f t="shared" si="28"/>
        <v>0</v>
      </c>
      <c r="X135" s="19">
        <f t="shared" si="29"/>
        <v>0</v>
      </c>
      <c r="Y135">
        <f t="shared" si="30"/>
        <v>0.43000000715255737</v>
      </c>
      <c r="Z135" s="19">
        <f t="shared" si="31"/>
        <v>1.0000000166338543</v>
      </c>
      <c r="AA135" s="19">
        <f t="shared" si="32"/>
        <v>1.0000000166338543</v>
      </c>
      <c r="AB135" t="str">
        <f t="shared" si="33"/>
        <v>Rusak Berat Dominan</v>
      </c>
      <c r="AC135" s="19">
        <f>IF(Dashboard!$B$7="Mantap (%)",X135,IF(Dashboard!$B$7="Tidak Mantap (%)",Z135,IF(Dashboard!$B$7="Baik (%)",P135,IF(Dashboard!$B$7="Sedang (%)",R135,IF(Dashboard!$B$7="Rusak Ringan (%)",T135,IF(Dashboard!$B$7="Rusak Berat (%)",V135,AA135))))))</f>
        <v>1.0000000166338543</v>
      </c>
      <c r="AD135" s="20">
        <f>IF(AND(AF135=1,E135&gt;=Dashboard!$B$10,IF(Dashboard!$B$9="≤ Maksimum",AC135&lt;=Dashboard!$B$8,AC135&gt;=Dashboard!$B$8)),1,0)</f>
        <v>1</v>
      </c>
      <c r="AE135" s="20">
        <f>IF(AD135=1,COUNTIFS($AD$2:$AD$351,1,$AC$2:$AC$351,"&gt;"&amp;AC135)+COUNTIFS($AD$2:AD135,1,$AC$2:AC135,AC135),"")</f>
        <v>16</v>
      </c>
      <c r="AF135" s="20">
        <f>IF(OR(Dashboard!$B$6="Semua",ISNUMBER(SEARCH(Dashboard!$B$6,D135))),1,0)</f>
        <v>1</v>
      </c>
      <c r="AG135" s="18">
        <f t="shared" si="34"/>
        <v>0.43</v>
      </c>
      <c r="AH135" s="18">
        <f t="shared" si="35"/>
        <v>0</v>
      </c>
      <c r="AI135" s="18">
        <f t="shared" si="36"/>
        <v>0.43000000715255737</v>
      </c>
      <c r="AJ135" s="18">
        <f t="shared" si="37"/>
        <v>0.43000000715255737</v>
      </c>
      <c r="AK135" s="20">
        <f>IF(OR(Ruas_Per_Kecamatan!$B$4="Semua",ISNUMBER(SEARCH(Ruas_Per_Kecamatan!$B$4,D135))),1,0)</f>
        <v>1</v>
      </c>
      <c r="AL135" s="20">
        <f>IF(AK135=1,COUNTIF($AK$2:AK135,1),"")</f>
        <v>134</v>
      </c>
      <c r="AM135" s="18">
        <f t="shared" si="38"/>
        <v>0.43</v>
      </c>
      <c r="AN135" s="18">
        <f t="shared" si="39"/>
        <v>0</v>
      </c>
      <c r="AO135" s="18">
        <f t="shared" si="40"/>
        <v>0.43000000715255737</v>
      </c>
      <c r="AP135" s="18">
        <f t="shared" si="41"/>
        <v>0.43000000715255737</v>
      </c>
    </row>
    <row r="136" spans="1:42" x14ac:dyDescent="0.25">
      <c r="A136" s="17">
        <v>135</v>
      </c>
      <c r="B136" s="17" t="s">
        <v>584</v>
      </c>
      <c r="C136" s="21" t="s">
        <v>171</v>
      </c>
      <c r="D136" s="17" t="s">
        <v>172</v>
      </c>
      <c r="E136" s="18">
        <v>2.1800000000000002</v>
      </c>
      <c r="F136" s="18">
        <v>3.5</v>
      </c>
      <c r="G136" s="18">
        <v>0</v>
      </c>
      <c r="H136" s="18"/>
      <c r="I136" s="18">
        <v>2025</v>
      </c>
      <c r="J136" s="18">
        <v>2.1800000667572021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9">
        <v>0</v>
      </c>
      <c r="Q136" s="18">
        <v>1.2000000476837158</v>
      </c>
      <c r="R136" s="19">
        <v>0.55045873746959439</v>
      </c>
      <c r="S136" s="18">
        <v>0.98000001907348633</v>
      </c>
      <c r="T136" s="19">
        <v>0.44954129315297536</v>
      </c>
      <c r="U136" s="18">
        <v>0</v>
      </c>
      <c r="V136" s="19">
        <v>0</v>
      </c>
      <c r="W136">
        <f t="shared" si="28"/>
        <v>1.2000000476837158</v>
      </c>
      <c r="X136" s="19">
        <f t="shared" si="29"/>
        <v>0.55045873746959439</v>
      </c>
      <c r="Y136">
        <f t="shared" si="30"/>
        <v>0.98000001907348633</v>
      </c>
      <c r="Z136" s="19">
        <f t="shared" si="31"/>
        <v>0.44954129315297536</v>
      </c>
      <c r="AA136" s="19">
        <f t="shared" si="32"/>
        <v>0.40733946025918383</v>
      </c>
      <c r="AB136" t="str">
        <f t="shared" si="33"/>
        <v>Tidak Mantap Sedang</v>
      </c>
      <c r="AC136" s="19">
        <f>IF(Dashboard!$B$7="Mantap (%)",X136,IF(Dashboard!$B$7="Tidak Mantap (%)",Z136,IF(Dashboard!$B$7="Baik (%)",P136,IF(Dashboard!$B$7="Sedang (%)",R136,IF(Dashboard!$B$7="Rusak Ringan (%)",T136,IF(Dashboard!$B$7="Rusak Berat (%)",V136,AA136))))))</f>
        <v>0.44954129315297536</v>
      </c>
      <c r="AD136" s="20">
        <f>IF(AND(AF136=1,E136&gt;=Dashboard!$B$10,IF(Dashboard!$B$9="≤ Maksimum",AC136&lt;=Dashboard!$B$8,AC136&gt;=Dashboard!$B$8)),1,0)</f>
        <v>1</v>
      </c>
      <c r="AE136" s="20">
        <f>IF(AD136=1,COUNTIFS($AD$2:$AD$351,1,$AC$2:$AC$351,"&gt;"&amp;AC136)+COUNTIFS($AD$2:AD136,1,$AC$2:AC136,AC136),"")</f>
        <v>137</v>
      </c>
      <c r="AF136" s="20">
        <f>IF(OR(Dashboard!$B$6="Semua",ISNUMBER(SEARCH(Dashboard!$B$6,D136))),1,0)</f>
        <v>1</v>
      </c>
      <c r="AG136" s="18">
        <f t="shared" si="34"/>
        <v>2.1800000000000002</v>
      </c>
      <c r="AH136" s="18">
        <f t="shared" si="35"/>
        <v>1.2000000476837158</v>
      </c>
      <c r="AI136" s="18">
        <f t="shared" si="36"/>
        <v>0.98000001907348633</v>
      </c>
      <c r="AJ136" s="18">
        <f t="shared" si="37"/>
        <v>0</v>
      </c>
      <c r="AK136" s="20">
        <f>IF(OR(Ruas_Per_Kecamatan!$B$4="Semua",ISNUMBER(SEARCH(Ruas_Per_Kecamatan!$B$4,D136))),1,0)</f>
        <v>1</v>
      </c>
      <c r="AL136" s="20">
        <f>IF(AK136=1,COUNTIF($AK$2:AK136,1),"")</f>
        <v>135</v>
      </c>
      <c r="AM136" s="18">
        <f t="shared" si="38"/>
        <v>2.1800000000000002</v>
      </c>
      <c r="AN136" s="18">
        <f t="shared" si="39"/>
        <v>1.2000000476837158</v>
      </c>
      <c r="AO136" s="18">
        <f t="shared" si="40"/>
        <v>0.98000001907348633</v>
      </c>
      <c r="AP136" s="18">
        <f t="shared" si="41"/>
        <v>0</v>
      </c>
    </row>
    <row r="137" spans="1:42" x14ac:dyDescent="0.25">
      <c r="A137" s="17">
        <v>136</v>
      </c>
      <c r="B137" s="17" t="s">
        <v>585</v>
      </c>
      <c r="C137" s="21" t="s">
        <v>173</v>
      </c>
      <c r="D137" s="17" t="s">
        <v>172</v>
      </c>
      <c r="E137" s="18">
        <v>1.61</v>
      </c>
      <c r="F137" s="18">
        <v>3.5</v>
      </c>
      <c r="G137" s="18">
        <v>0</v>
      </c>
      <c r="H137" s="18"/>
      <c r="I137" s="18">
        <v>2025</v>
      </c>
      <c r="J137" s="18">
        <v>1.6100000143051147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9">
        <v>0</v>
      </c>
      <c r="Q137" s="18">
        <v>1.2100000381469727</v>
      </c>
      <c r="R137" s="19">
        <v>0.75155281872482771</v>
      </c>
      <c r="S137" s="18">
        <v>0.30000001192092896</v>
      </c>
      <c r="T137" s="19">
        <v>0.18633541113101176</v>
      </c>
      <c r="U137" s="18">
        <v>0.10000000149011612</v>
      </c>
      <c r="V137" s="19">
        <v>6.2111802167773983E-2</v>
      </c>
      <c r="W137">
        <f t="shared" si="28"/>
        <v>1.2100000381469727</v>
      </c>
      <c r="X137" s="19">
        <f t="shared" si="29"/>
        <v>0.75155281872482771</v>
      </c>
      <c r="Y137">
        <f t="shared" si="30"/>
        <v>0.40000001341104507</v>
      </c>
      <c r="Z137" s="19">
        <f t="shared" si="31"/>
        <v>0.24844721329878575</v>
      </c>
      <c r="AA137" s="19">
        <f t="shared" si="32"/>
        <v>0.36180125352758796</v>
      </c>
      <c r="AB137" t="str">
        <f t="shared" si="33"/>
        <v>Tidak Mantap Sedang</v>
      </c>
      <c r="AC137" s="19">
        <f>IF(Dashboard!$B$7="Mantap (%)",X137,IF(Dashboard!$B$7="Tidak Mantap (%)",Z137,IF(Dashboard!$B$7="Baik (%)",P137,IF(Dashboard!$B$7="Sedang (%)",R137,IF(Dashboard!$B$7="Rusak Ringan (%)",T137,IF(Dashboard!$B$7="Rusak Berat (%)",V137,AA137))))))</f>
        <v>0.24844721329878575</v>
      </c>
      <c r="AD137" s="20">
        <f>IF(AND(AF137=1,E137&gt;=Dashboard!$B$10,IF(Dashboard!$B$9="≤ Maksimum",AC137&lt;=Dashboard!$B$8,AC137&gt;=Dashboard!$B$8)),1,0)</f>
        <v>1</v>
      </c>
      <c r="AE137" s="20">
        <f>IF(AD137=1,COUNTIFS($AD$2:$AD$351,1,$AC$2:$AC$351,"&gt;"&amp;AC137)+COUNTIFS($AD$2:AD137,1,$AC$2:AC137,AC137),"")</f>
        <v>176</v>
      </c>
      <c r="AF137" s="20">
        <f>IF(OR(Dashboard!$B$6="Semua",ISNUMBER(SEARCH(Dashboard!$B$6,D137))),1,0)</f>
        <v>1</v>
      </c>
      <c r="AG137" s="18">
        <f t="shared" si="34"/>
        <v>1.61</v>
      </c>
      <c r="AH137" s="18">
        <f t="shared" si="35"/>
        <v>1.2100000381469727</v>
      </c>
      <c r="AI137" s="18">
        <f t="shared" si="36"/>
        <v>0.40000001341104507</v>
      </c>
      <c r="AJ137" s="18">
        <f t="shared" si="37"/>
        <v>0.10000000149011612</v>
      </c>
      <c r="AK137" s="20">
        <f>IF(OR(Ruas_Per_Kecamatan!$B$4="Semua",ISNUMBER(SEARCH(Ruas_Per_Kecamatan!$B$4,D137))),1,0)</f>
        <v>1</v>
      </c>
      <c r="AL137" s="20">
        <f>IF(AK137=1,COUNTIF($AK$2:AK137,1),"")</f>
        <v>136</v>
      </c>
      <c r="AM137" s="18">
        <f t="shared" si="38"/>
        <v>1.61</v>
      </c>
      <c r="AN137" s="18">
        <f t="shared" si="39"/>
        <v>1.2100000381469727</v>
      </c>
      <c r="AO137" s="18">
        <f t="shared" si="40"/>
        <v>0.40000001341104507</v>
      </c>
      <c r="AP137" s="18">
        <f t="shared" si="41"/>
        <v>0.10000000149011612</v>
      </c>
    </row>
    <row r="138" spans="1:42" x14ac:dyDescent="0.25">
      <c r="A138" s="17">
        <v>137</v>
      </c>
      <c r="B138" s="17" t="s">
        <v>586</v>
      </c>
      <c r="C138" s="21" t="s">
        <v>174</v>
      </c>
      <c r="D138" s="17" t="s">
        <v>175</v>
      </c>
      <c r="E138" s="18">
        <v>8.65</v>
      </c>
      <c r="F138" s="18">
        <v>4</v>
      </c>
      <c r="G138" s="18">
        <v>0</v>
      </c>
      <c r="H138" s="18"/>
      <c r="I138" s="18">
        <v>2025</v>
      </c>
      <c r="J138" s="18">
        <v>8.6499996185302734</v>
      </c>
      <c r="K138" s="18">
        <v>0</v>
      </c>
      <c r="L138" s="18">
        <v>0</v>
      </c>
      <c r="M138" s="18">
        <v>0</v>
      </c>
      <c r="N138" s="18">
        <v>0</v>
      </c>
      <c r="O138" s="18">
        <v>2.75</v>
      </c>
      <c r="P138" s="19">
        <v>0.31791907514450868</v>
      </c>
      <c r="Q138" s="18">
        <v>5.5999999046325684</v>
      </c>
      <c r="R138" s="19">
        <v>0.64739883290549916</v>
      </c>
      <c r="S138" s="18">
        <v>0.30000001192092896</v>
      </c>
      <c r="T138" s="19">
        <v>3.4682082302997568E-2</v>
      </c>
      <c r="U138" s="18">
        <v>0</v>
      </c>
      <c r="V138" s="19">
        <v>0</v>
      </c>
      <c r="W138">
        <f t="shared" si="28"/>
        <v>8.3499999046325684</v>
      </c>
      <c r="X138" s="19">
        <f t="shared" si="29"/>
        <v>0.96531790805000783</v>
      </c>
      <c r="Y138">
        <f t="shared" si="30"/>
        <v>0.30000001192092896</v>
      </c>
      <c r="Z138" s="19">
        <f t="shared" si="31"/>
        <v>3.4682082302997568E-2</v>
      </c>
      <c r="AA138" s="19">
        <f t="shared" si="32"/>
        <v>0.18265895760817333</v>
      </c>
      <c r="AB138" t="str">
        <f t="shared" si="33"/>
        <v>Relatif Mantap</v>
      </c>
      <c r="AC138" s="19">
        <f>IF(Dashboard!$B$7="Mantap (%)",X138,IF(Dashboard!$B$7="Tidak Mantap (%)",Z138,IF(Dashboard!$B$7="Baik (%)",P138,IF(Dashboard!$B$7="Sedang (%)",R138,IF(Dashboard!$B$7="Rusak Ringan (%)",T138,IF(Dashboard!$B$7="Rusak Berat (%)",V138,AA138))))))</f>
        <v>3.4682082302997568E-2</v>
      </c>
      <c r="AD138" s="20">
        <f>IF(AND(AF138=1,E138&gt;=Dashboard!$B$10,IF(Dashboard!$B$9="≤ Maksimum",AC138&lt;=Dashboard!$B$8,AC138&gt;=Dashboard!$B$8)),1,0)</f>
        <v>0</v>
      </c>
      <c r="AE138" s="20" t="str">
        <f>IF(AD138=1,COUNTIFS($AD$2:$AD$351,1,$AC$2:$AC$351,"&gt;"&amp;AC138)+COUNTIFS($AD$2:AD138,1,$AC$2:AC138,AC138),"")</f>
        <v/>
      </c>
      <c r="AF138" s="20">
        <f>IF(OR(Dashboard!$B$6="Semua",ISNUMBER(SEARCH(Dashboard!$B$6,D138))),1,0)</f>
        <v>1</v>
      </c>
      <c r="AG138" s="18">
        <f t="shared" si="34"/>
        <v>8.65</v>
      </c>
      <c r="AH138" s="18">
        <f t="shared" si="35"/>
        <v>8.3499999046325684</v>
      </c>
      <c r="AI138" s="18">
        <f t="shared" si="36"/>
        <v>0.30000001192092896</v>
      </c>
      <c r="AJ138" s="18">
        <f t="shared" si="37"/>
        <v>0</v>
      </c>
      <c r="AK138" s="20">
        <f>IF(OR(Ruas_Per_Kecamatan!$B$4="Semua",ISNUMBER(SEARCH(Ruas_Per_Kecamatan!$B$4,D138))),1,0)</f>
        <v>1</v>
      </c>
      <c r="AL138" s="20">
        <f>IF(AK138=1,COUNTIF($AK$2:AK138,1),"")</f>
        <v>137</v>
      </c>
      <c r="AM138" s="18">
        <f t="shared" si="38"/>
        <v>8.65</v>
      </c>
      <c r="AN138" s="18">
        <f t="shared" si="39"/>
        <v>8.3499999046325684</v>
      </c>
      <c r="AO138" s="18">
        <f t="shared" si="40"/>
        <v>0.30000001192092896</v>
      </c>
      <c r="AP138" s="18">
        <f t="shared" si="41"/>
        <v>0</v>
      </c>
    </row>
    <row r="139" spans="1:42" ht="30" x14ac:dyDescent="0.25">
      <c r="A139" s="17">
        <v>138</v>
      </c>
      <c r="B139" s="17" t="s">
        <v>587</v>
      </c>
      <c r="C139" s="21" t="s">
        <v>176</v>
      </c>
      <c r="D139" s="17" t="s">
        <v>172</v>
      </c>
      <c r="E139" s="18">
        <v>4.04</v>
      </c>
      <c r="F139" s="18">
        <v>3.5</v>
      </c>
      <c r="G139" s="18">
        <v>0</v>
      </c>
      <c r="H139" s="18"/>
      <c r="I139" s="18">
        <v>2025</v>
      </c>
      <c r="J139" s="18">
        <v>4.0399999618530273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9">
        <v>0</v>
      </c>
      <c r="Q139" s="18">
        <v>1.8400000333786011</v>
      </c>
      <c r="R139" s="19">
        <v>0.45544555281648541</v>
      </c>
      <c r="S139" s="18">
        <v>1.3999999761581421</v>
      </c>
      <c r="T139" s="19">
        <v>0.34653464756389657</v>
      </c>
      <c r="U139" s="18">
        <v>0.80000001192092896</v>
      </c>
      <c r="V139" s="19">
        <v>0.198019804930923</v>
      </c>
      <c r="W139">
        <f t="shared" si="28"/>
        <v>1.8400000333786011</v>
      </c>
      <c r="X139" s="19">
        <f t="shared" si="29"/>
        <v>0.45544555281648541</v>
      </c>
      <c r="Y139">
        <f t="shared" si="30"/>
        <v>2.199999988079071</v>
      </c>
      <c r="Z139" s="19">
        <f t="shared" si="31"/>
        <v>0.5445544524948196</v>
      </c>
      <c r="AA139" s="19">
        <f t="shared" si="32"/>
        <v>0.51980198167338232</v>
      </c>
      <c r="AB139" t="str">
        <f t="shared" si="33"/>
        <v>Tidak Mantap Tinggi</v>
      </c>
      <c r="AC139" s="19">
        <f>IF(Dashboard!$B$7="Mantap (%)",X139,IF(Dashboard!$B$7="Tidak Mantap (%)",Z139,IF(Dashboard!$B$7="Baik (%)",P139,IF(Dashboard!$B$7="Sedang (%)",R139,IF(Dashboard!$B$7="Rusak Ringan (%)",T139,IF(Dashboard!$B$7="Rusak Berat (%)",V139,AA139))))))</f>
        <v>0.5445544524948196</v>
      </c>
      <c r="AD139" s="20">
        <f>IF(AND(AF139=1,E139&gt;=Dashboard!$B$10,IF(Dashboard!$B$9="≤ Maksimum",AC139&lt;=Dashboard!$B$8,AC139&gt;=Dashboard!$B$8)),1,0)</f>
        <v>1</v>
      </c>
      <c r="AE139" s="20">
        <f>IF(AD139=1,COUNTIFS($AD$2:$AD$351,1,$AC$2:$AC$351,"&gt;"&amp;AC139)+COUNTIFS($AD$2:AD139,1,$AC$2:AC139,AC139),"")</f>
        <v>117</v>
      </c>
      <c r="AF139" s="20">
        <f>IF(OR(Dashboard!$B$6="Semua",ISNUMBER(SEARCH(Dashboard!$B$6,D139))),1,0)</f>
        <v>1</v>
      </c>
      <c r="AG139" s="18">
        <f t="shared" si="34"/>
        <v>4.04</v>
      </c>
      <c r="AH139" s="18">
        <f t="shared" si="35"/>
        <v>1.8400000333786011</v>
      </c>
      <c r="AI139" s="18">
        <f t="shared" si="36"/>
        <v>2.199999988079071</v>
      </c>
      <c r="AJ139" s="18">
        <f t="shared" si="37"/>
        <v>0.80000001192092896</v>
      </c>
      <c r="AK139" s="20">
        <f>IF(OR(Ruas_Per_Kecamatan!$B$4="Semua",ISNUMBER(SEARCH(Ruas_Per_Kecamatan!$B$4,D139))),1,0)</f>
        <v>1</v>
      </c>
      <c r="AL139" s="20">
        <f>IF(AK139=1,COUNTIF($AK$2:AK139,1),"")</f>
        <v>138</v>
      </c>
      <c r="AM139" s="18">
        <f t="shared" si="38"/>
        <v>4.04</v>
      </c>
      <c r="AN139" s="18">
        <f t="shared" si="39"/>
        <v>1.8400000333786011</v>
      </c>
      <c r="AO139" s="18">
        <f t="shared" si="40"/>
        <v>2.199999988079071</v>
      </c>
      <c r="AP139" s="18">
        <f t="shared" si="41"/>
        <v>0.80000001192092896</v>
      </c>
    </row>
    <row r="140" spans="1:42" x14ac:dyDescent="0.25">
      <c r="A140" s="17">
        <v>139</v>
      </c>
      <c r="B140" s="17" t="s">
        <v>588</v>
      </c>
      <c r="C140" s="21" t="s">
        <v>177</v>
      </c>
      <c r="D140" s="17" t="s">
        <v>172</v>
      </c>
      <c r="E140" s="18">
        <v>1.74</v>
      </c>
      <c r="F140" s="18">
        <v>3.5</v>
      </c>
      <c r="G140" s="18">
        <v>0</v>
      </c>
      <c r="H140" s="18"/>
      <c r="I140" s="18">
        <v>2025</v>
      </c>
      <c r="J140" s="18">
        <v>1.7400000095367432</v>
      </c>
      <c r="K140" s="18">
        <v>0</v>
      </c>
      <c r="L140" s="18">
        <v>0</v>
      </c>
      <c r="M140" s="18">
        <v>0</v>
      </c>
      <c r="N140" s="18">
        <v>0</v>
      </c>
      <c r="O140" s="18">
        <v>1.3400000333786011</v>
      </c>
      <c r="P140" s="19">
        <v>0.77011496171183969</v>
      </c>
      <c r="Q140" s="18">
        <v>0.40000000596046448</v>
      </c>
      <c r="R140" s="19">
        <v>0.22988506089681868</v>
      </c>
      <c r="S140" s="18">
        <v>0</v>
      </c>
      <c r="T140" s="19">
        <v>0</v>
      </c>
      <c r="U140" s="18">
        <v>0</v>
      </c>
      <c r="V140" s="19">
        <v>0</v>
      </c>
      <c r="W140">
        <f t="shared" si="28"/>
        <v>1.7400000393390656</v>
      </c>
      <c r="X140" s="19">
        <f t="shared" si="29"/>
        <v>1.0000000226086583</v>
      </c>
      <c r="Y140">
        <f t="shared" si="30"/>
        <v>0</v>
      </c>
      <c r="Z140" s="19">
        <f t="shared" si="31"/>
        <v>0</v>
      </c>
      <c r="AA140" s="19">
        <f t="shared" si="32"/>
        <v>5.7471265224204669E-2</v>
      </c>
      <c r="AB140" t="str">
        <f t="shared" si="33"/>
        <v>Relatif Mantap</v>
      </c>
      <c r="AC140" s="19">
        <f>IF(Dashboard!$B$7="Mantap (%)",X140,IF(Dashboard!$B$7="Tidak Mantap (%)",Z140,IF(Dashboard!$B$7="Baik (%)",P140,IF(Dashboard!$B$7="Sedang (%)",R140,IF(Dashboard!$B$7="Rusak Ringan (%)",T140,IF(Dashboard!$B$7="Rusak Berat (%)",V140,AA140))))))</f>
        <v>0</v>
      </c>
      <c r="AD140" s="20">
        <f>IF(AND(AF140=1,E140&gt;=Dashboard!$B$10,IF(Dashboard!$B$9="≤ Maksimum",AC140&lt;=Dashboard!$B$8,AC140&gt;=Dashboard!$B$8)),1,0)</f>
        <v>0</v>
      </c>
      <c r="AE140" s="20" t="str">
        <f>IF(AD140=1,COUNTIFS($AD$2:$AD$351,1,$AC$2:$AC$351,"&gt;"&amp;AC140)+COUNTIFS($AD$2:AD140,1,$AC$2:AC140,AC140),"")</f>
        <v/>
      </c>
      <c r="AF140" s="20">
        <f>IF(OR(Dashboard!$B$6="Semua",ISNUMBER(SEARCH(Dashboard!$B$6,D140))),1,0)</f>
        <v>1</v>
      </c>
      <c r="AG140" s="18">
        <f t="shared" si="34"/>
        <v>1.74</v>
      </c>
      <c r="AH140" s="18">
        <f t="shared" si="35"/>
        <v>1.7400000393390656</v>
      </c>
      <c r="AI140" s="18">
        <f t="shared" si="36"/>
        <v>0</v>
      </c>
      <c r="AJ140" s="18">
        <f t="shared" si="37"/>
        <v>0</v>
      </c>
      <c r="AK140" s="20">
        <f>IF(OR(Ruas_Per_Kecamatan!$B$4="Semua",ISNUMBER(SEARCH(Ruas_Per_Kecamatan!$B$4,D140))),1,0)</f>
        <v>1</v>
      </c>
      <c r="AL140" s="20">
        <f>IF(AK140=1,COUNTIF($AK$2:AK140,1),"")</f>
        <v>139</v>
      </c>
      <c r="AM140" s="18">
        <f t="shared" si="38"/>
        <v>1.74</v>
      </c>
      <c r="AN140" s="18">
        <f t="shared" si="39"/>
        <v>1.7400000393390656</v>
      </c>
      <c r="AO140" s="18">
        <f t="shared" si="40"/>
        <v>0</v>
      </c>
      <c r="AP140" s="18">
        <f t="shared" si="41"/>
        <v>0</v>
      </c>
    </row>
    <row r="141" spans="1:42" x14ac:dyDescent="0.25">
      <c r="A141" s="17">
        <v>140</v>
      </c>
      <c r="B141" s="17" t="s">
        <v>589</v>
      </c>
      <c r="C141" s="21" t="s">
        <v>178</v>
      </c>
      <c r="D141" s="17" t="s">
        <v>172</v>
      </c>
      <c r="E141" s="18">
        <v>8.8800000000000008</v>
      </c>
      <c r="F141" s="18">
        <v>3.5</v>
      </c>
      <c r="G141" s="18">
        <v>0</v>
      </c>
      <c r="H141" s="18"/>
      <c r="I141" s="18">
        <v>2025</v>
      </c>
      <c r="J141" s="18">
        <v>8.880000114440918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9">
        <v>0</v>
      </c>
      <c r="Q141" s="18">
        <v>2.4800000190734863</v>
      </c>
      <c r="R141" s="19">
        <v>0.27927928142719438</v>
      </c>
      <c r="S141" s="18">
        <v>1.8999999761581421</v>
      </c>
      <c r="T141" s="19">
        <v>0.21396396127907003</v>
      </c>
      <c r="U141" s="18">
        <v>4.5</v>
      </c>
      <c r="V141" s="19">
        <v>0.50675675675675669</v>
      </c>
      <c r="W141">
        <f t="shared" si="28"/>
        <v>2.4800000190734863</v>
      </c>
      <c r="X141" s="19">
        <f t="shared" si="29"/>
        <v>0.27927928142719438</v>
      </c>
      <c r="Y141">
        <f t="shared" si="30"/>
        <v>6.3999999761581421</v>
      </c>
      <c r="Z141" s="19">
        <f t="shared" si="31"/>
        <v>0.72072071803582671</v>
      </c>
      <c r="AA141" s="19">
        <f t="shared" si="32"/>
        <v>0.70495495388099727</v>
      </c>
      <c r="AB141" t="str">
        <f t="shared" si="33"/>
        <v>Rusak Berat Dominan</v>
      </c>
      <c r="AC141" s="19">
        <f>IF(Dashboard!$B$7="Mantap (%)",X141,IF(Dashboard!$B$7="Tidak Mantap (%)",Z141,IF(Dashboard!$B$7="Baik (%)",P141,IF(Dashboard!$B$7="Sedang (%)",R141,IF(Dashboard!$B$7="Rusak Ringan (%)",T141,IF(Dashboard!$B$7="Rusak Berat (%)",V141,AA141))))))</f>
        <v>0.72072071803582671</v>
      </c>
      <c r="AD141" s="20">
        <f>IF(AND(AF141=1,E141&gt;=Dashboard!$B$10,IF(Dashboard!$B$9="≤ Maksimum",AC141&lt;=Dashboard!$B$8,AC141&gt;=Dashboard!$B$8)),1,0)</f>
        <v>1</v>
      </c>
      <c r="AE141" s="20">
        <f>IF(AD141=1,COUNTIFS($AD$2:$AD$351,1,$AC$2:$AC$351,"&gt;"&amp;AC141)+COUNTIFS($AD$2:AD141,1,$AC$2:AC141,AC141),"")</f>
        <v>82</v>
      </c>
      <c r="AF141" s="20">
        <f>IF(OR(Dashboard!$B$6="Semua",ISNUMBER(SEARCH(Dashboard!$B$6,D141))),1,0)</f>
        <v>1</v>
      </c>
      <c r="AG141" s="18">
        <f t="shared" si="34"/>
        <v>8.8800000000000008</v>
      </c>
      <c r="AH141" s="18">
        <f t="shared" si="35"/>
        <v>2.4800000190734863</v>
      </c>
      <c r="AI141" s="18">
        <f t="shared" si="36"/>
        <v>6.3999999761581421</v>
      </c>
      <c r="AJ141" s="18">
        <f t="shared" si="37"/>
        <v>4.5</v>
      </c>
      <c r="AK141" s="20">
        <f>IF(OR(Ruas_Per_Kecamatan!$B$4="Semua",ISNUMBER(SEARCH(Ruas_Per_Kecamatan!$B$4,D141))),1,0)</f>
        <v>1</v>
      </c>
      <c r="AL141" s="20">
        <f>IF(AK141=1,COUNTIF($AK$2:AK141,1),"")</f>
        <v>140</v>
      </c>
      <c r="AM141" s="18">
        <f t="shared" si="38"/>
        <v>8.8800000000000008</v>
      </c>
      <c r="AN141" s="18">
        <f t="shared" si="39"/>
        <v>2.4800000190734863</v>
      </c>
      <c r="AO141" s="18">
        <f t="shared" si="40"/>
        <v>6.3999999761581421</v>
      </c>
      <c r="AP141" s="18">
        <f t="shared" si="41"/>
        <v>4.5</v>
      </c>
    </row>
    <row r="142" spans="1:42" x14ac:dyDescent="0.25">
      <c r="A142" s="17">
        <v>141</v>
      </c>
      <c r="B142" s="17" t="s">
        <v>590</v>
      </c>
      <c r="C142" s="21" t="s">
        <v>179</v>
      </c>
      <c r="D142" s="17" t="s">
        <v>172</v>
      </c>
      <c r="E142" s="18">
        <v>10.66</v>
      </c>
      <c r="F142" s="18">
        <v>3.0099999904632568</v>
      </c>
      <c r="G142" s="18">
        <v>0</v>
      </c>
      <c r="H142" s="18"/>
      <c r="I142" s="18">
        <v>2025</v>
      </c>
      <c r="J142" s="18">
        <v>7.5999999046325684</v>
      </c>
      <c r="K142" s="18">
        <v>0</v>
      </c>
      <c r="L142" s="18">
        <v>1.3600000143051147</v>
      </c>
      <c r="M142" s="18">
        <v>1.7000000476837158</v>
      </c>
      <c r="N142" s="18">
        <v>0</v>
      </c>
      <c r="O142" s="18">
        <v>6.4000000953674316</v>
      </c>
      <c r="P142" s="19">
        <v>0.60037524346786408</v>
      </c>
      <c r="Q142" s="18">
        <v>1.8999999761581421</v>
      </c>
      <c r="R142" s="19">
        <v>0.17823639551202083</v>
      </c>
      <c r="S142" s="18">
        <v>0.20000000298023224</v>
      </c>
      <c r="T142" s="19">
        <v>1.8761726358370753E-2</v>
      </c>
      <c r="U142" s="18">
        <v>2.1600000560283661</v>
      </c>
      <c r="V142" s="19">
        <v>0.20262664690697618</v>
      </c>
      <c r="W142">
        <f t="shared" si="28"/>
        <v>8.3000000715255737</v>
      </c>
      <c r="X142" s="19">
        <f t="shared" si="29"/>
        <v>0.77861163897988495</v>
      </c>
      <c r="Y142">
        <f t="shared" si="30"/>
        <v>2.3600000590085983</v>
      </c>
      <c r="Z142" s="19">
        <f t="shared" si="31"/>
        <v>0.22138837326534694</v>
      </c>
      <c r="AA142" s="19">
        <f t="shared" si="32"/>
        <v>0.25844278160000383</v>
      </c>
      <c r="AB142" t="str">
        <f t="shared" si="33"/>
        <v>Rusak Berat Dominan</v>
      </c>
      <c r="AC142" s="19">
        <f>IF(Dashboard!$B$7="Mantap (%)",X142,IF(Dashboard!$B$7="Tidak Mantap (%)",Z142,IF(Dashboard!$B$7="Baik (%)",P142,IF(Dashboard!$B$7="Sedang (%)",R142,IF(Dashboard!$B$7="Rusak Ringan (%)",T142,IF(Dashboard!$B$7="Rusak Berat (%)",V142,AA142))))))</f>
        <v>0.22138837326534694</v>
      </c>
      <c r="AD142" s="20">
        <f>IF(AND(AF142=1,E142&gt;=Dashboard!$B$10,IF(Dashboard!$B$9="≤ Maksimum",AC142&lt;=Dashboard!$B$8,AC142&gt;=Dashboard!$B$8)),1,0)</f>
        <v>1</v>
      </c>
      <c r="AE142" s="20">
        <f>IF(AD142=1,COUNTIFS($AD$2:$AD$351,1,$AC$2:$AC$351,"&gt;"&amp;AC142)+COUNTIFS($AD$2:AD142,1,$AC$2:AC142,AC142),"")</f>
        <v>186</v>
      </c>
      <c r="AF142" s="20">
        <f>IF(OR(Dashboard!$B$6="Semua",ISNUMBER(SEARCH(Dashboard!$B$6,D142))),1,0)</f>
        <v>1</v>
      </c>
      <c r="AG142" s="18">
        <f t="shared" si="34"/>
        <v>10.66</v>
      </c>
      <c r="AH142" s="18">
        <f t="shared" si="35"/>
        <v>8.3000000715255737</v>
      </c>
      <c r="AI142" s="18">
        <f t="shared" si="36"/>
        <v>2.3600000590085983</v>
      </c>
      <c r="AJ142" s="18">
        <f t="shared" si="37"/>
        <v>2.1600000560283661</v>
      </c>
      <c r="AK142" s="20">
        <f>IF(OR(Ruas_Per_Kecamatan!$B$4="Semua",ISNUMBER(SEARCH(Ruas_Per_Kecamatan!$B$4,D142))),1,0)</f>
        <v>1</v>
      </c>
      <c r="AL142" s="20">
        <f>IF(AK142=1,COUNTIF($AK$2:AK142,1),"")</f>
        <v>141</v>
      </c>
      <c r="AM142" s="18">
        <f t="shared" si="38"/>
        <v>10.66</v>
      </c>
      <c r="AN142" s="18">
        <f t="shared" si="39"/>
        <v>8.3000000715255737</v>
      </c>
      <c r="AO142" s="18">
        <f t="shared" si="40"/>
        <v>2.3600000590085983</v>
      </c>
      <c r="AP142" s="18">
        <f t="shared" si="41"/>
        <v>2.1600000560283661</v>
      </c>
    </row>
    <row r="143" spans="1:42" x14ac:dyDescent="0.25">
      <c r="A143" s="17">
        <v>142</v>
      </c>
      <c r="B143" s="17" t="s">
        <v>591</v>
      </c>
      <c r="C143" s="21" t="s">
        <v>180</v>
      </c>
      <c r="D143" s="17" t="s">
        <v>175</v>
      </c>
      <c r="E143" s="18">
        <v>14.22</v>
      </c>
      <c r="F143" s="18">
        <v>4</v>
      </c>
      <c r="G143" s="18">
        <v>0</v>
      </c>
      <c r="H143" s="18"/>
      <c r="I143" s="18">
        <v>2025</v>
      </c>
      <c r="J143" s="18">
        <v>14.220000267028809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9">
        <v>0</v>
      </c>
      <c r="Q143" s="18">
        <v>8.119999885559082</v>
      </c>
      <c r="R143" s="19">
        <v>0.57102671487757251</v>
      </c>
      <c r="S143" s="18">
        <v>4.5999999046325684</v>
      </c>
      <c r="T143" s="19">
        <v>0.32348803830046191</v>
      </c>
      <c r="U143" s="18">
        <v>1.5</v>
      </c>
      <c r="V143" s="19">
        <v>0.10548523206751054</v>
      </c>
      <c r="W143">
        <f t="shared" si="28"/>
        <v>8.119999885559082</v>
      </c>
      <c r="X143" s="19">
        <f t="shared" si="29"/>
        <v>0.57102671487757251</v>
      </c>
      <c r="Y143">
        <f t="shared" si="30"/>
        <v>6.0999999046325684</v>
      </c>
      <c r="Z143" s="19">
        <f t="shared" si="31"/>
        <v>0.42897327036797245</v>
      </c>
      <c r="AA143" s="19">
        <f t="shared" si="32"/>
        <v>0.4423347337671808</v>
      </c>
      <c r="AB143" t="str">
        <f t="shared" si="33"/>
        <v>Tidak Mantap Sedang</v>
      </c>
      <c r="AC143" s="19">
        <f>IF(Dashboard!$B$7="Mantap (%)",X143,IF(Dashboard!$B$7="Tidak Mantap (%)",Z143,IF(Dashboard!$B$7="Baik (%)",P143,IF(Dashboard!$B$7="Sedang (%)",R143,IF(Dashboard!$B$7="Rusak Ringan (%)",T143,IF(Dashboard!$B$7="Rusak Berat (%)",V143,AA143))))))</f>
        <v>0.42897327036797245</v>
      </c>
      <c r="AD143" s="20">
        <f>IF(AND(AF143=1,E143&gt;=Dashboard!$B$10,IF(Dashboard!$B$9="≤ Maksimum",AC143&lt;=Dashboard!$B$8,AC143&gt;=Dashboard!$B$8)),1,0)</f>
        <v>1</v>
      </c>
      <c r="AE143" s="20">
        <f>IF(AD143=1,COUNTIFS($AD$2:$AD$351,1,$AC$2:$AC$351,"&gt;"&amp;AC143)+COUNTIFS($AD$2:AD143,1,$AC$2:AC143,AC143),"")</f>
        <v>144</v>
      </c>
      <c r="AF143" s="20">
        <f>IF(OR(Dashboard!$B$6="Semua",ISNUMBER(SEARCH(Dashboard!$B$6,D143))),1,0)</f>
        <v>1</v>
      </c>
      <c r="AG143" s="18">
        <f t="shared" si="34"/>
        <v>14.22</v>
      </c>
      <c r="AH143" s="18">
        <f t="shared" si="35"/>
        <v>8.119999885559082</v>
      </c>
      <c r="AI143" s="18">
        <f t="shared" si="36"/>
        <v>6.0999999046325684</v>
      </c>
      <c r="AJ143" s="18">
        <f t="shared" si="37"/>
        <v>1.5</v>
      </c>
      <c r="AK143" s="20">
        <f>IF(OR(Ruas_Per_Kecamatan!$B$4="Semua",ISNUMBER(SEARCH(Ruas_Per_Kecamatan!$B$4,D143))),1,0)</f>
        <v>1</v>
      </c>
      <c r="AL143" s="20">
        <f>IF(AK143=1,COUNTIF($AK$2:AK143,1),"")</f>
        <v>142</v>
      </c>
      <c r="AM143" s="18">
        <f t="shared" si="38"/>
        <v>14.22</v>
      </c>
      <c r="AN143" s="18">
        <f t="shared" si="39"/>
        <v>8.119999885559082</v>
      </c>
      <c r="AO143" s="18">
        <f t="shared" si="40"/>
        <v>6.0999999046325684</v>
      </c>
      <c r="AP143" s="18">
        <f t="shared" si="41"/>
        <v>1.5</v>
      </c>
    </row>
    <row r="144" spans="1:42" x14ac:dyDescent="0.25">
      <c r="A144" s="17">
        <v>143</v>
      </c>
      <c r="B144" s="17" t="s">
        <v>592</v>
      </c>
      <c r="C144" s="21" t="s">
        <v>181</v>
      </c>
      <c r="D144" s="17" t="s">
        <v>172</v>
      </c>
      <c r="E144" s="18">
        <v>5.82</v>
      </c>
      <c r="F144" s="18">
        <v>3.5</v>
      </c>
      <c r="G144" s="18">
        <v>0</v>
      </c>
      <c r="H144" s="18"/>
      <c r="I144" s="18">
        <v>2025</v>
      </c>
      <c r="J144" s="18">
        <v>5.820000171661377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9">
        <v>0</v>
      </c>
      <c r="Q144" s="18">
        <v>2.9200000762939453</v>
      </c>
      <c r="R144" s="19">
        <v>0.50171822616734452</v>
      </c>
      <c r="S144" s="18">
        <v>1.7999999523162842</v>
      </c>
      <c r="T144" s="19">
        <v>0.3092783423223856</v>
      </c>
      <c r="U144" s="18">
        <v>1.1000000238418579</v>
      </c>
      <c r="V144" s="19">
        <v>0.189003440522656</v>
      </c>
      <c r="W144">
        <f t="shared" si="28"/>
        <v>2.9200000762939453</v>
      </c>
      <c r="X144" s="19">
        <f t="shared" si="29"/>
        <v>0.50171822616734452</v>
      </c>
      <c r="Y144">
        <f t="shared" si="30"/>
        <v>2.8999999761581421</v>
      </c>
      <c r="Z144" s="19">
        <f t="shared" si="31"/>
        <v>0.4982817828450416</v>
      </c>
      <c r="AA144" s="19">
        <f t="shared" si="32"/>
        <v>0.50000000245792342</v>
      </c>
      <c r="AB144" t="str">
        <f t="shared" si="33"/>
        <v>Tidak Mantap Sedang</v>
      </c>
      <c r="AC144" s="19">
        <f>IF(Dashboard!$B$7="Mantap (%)",X144,IF(Dashboard!$B$7="Tidak Mantap (%)",Z144,IF(Dashboard!$B$7="Baik (%)",P144,IF(Dashboard!$B$7="Sedang (%)",R144,IF(Dashboard!$B$7="Rusak Ringan (%)",T144,IF(Dashboard!$B$7="Rusak Berat (%)",V144,AA144))))))</f>
        <v>0.4982817828450416</v>
      </c>
      <c r="AD144" s="20">
        <f>IF(AND(AF144=1,E144&gt;=Dashboard!$B$10,IF(Dashboard!$B$9="≤ Maksimum",AC144&lt;=Dashboard!$B$8,AC144&gt;=Dashboard!$B$8)),1,0)</f>
        <v>1</v>
      </c>
      <c r="AE144" s="20">
        <f>IF(AD144=1,COUNTIFS($AD$2:$AD$351,1,$AC$2:$AC$351,"&gt;"&amp;AC144)+COUNTIFS($AD$2:AD144,1,$AC$2:AC144,AC144),"")</f>
        <v>124</v>
      </c>
      <c r="AF144" s="20">
        <f>IF(OR(Dashboard!$B$6="Semua",ISNUMBER(SEARCH(Dashboard!$B$6,D144))),1,0)</f>
        <v>1</v>
      </c>
      <c r="AG144" s="18">
        <f t="shared" si="34"/>
        <v>5.82</v>
      </c>
      <c r="AH144" s="18">
        <f t="shared" si="35"/>
        <v>2.9200000762939453</v>
      </c>
      <c r="AI144" s="18">
        <f t="shared" si="36"/>
        <v>2.8999999761581421</v>
      </c>
      <c r="AJ144" s="18">
        <f t="shared" si="37"/>
        <v>1.1000000238418579</v>
      </c>
      <c r="AK144" s="20">
        <f>IF(OR(Ruas_Per_Kecamatan!$B$4="Semua",ISNUMBER(SEARCH(Ruas_Per_Kecamatan!$B$4,D144))),1,0)</f>
        <v>1</v>
      </c>
      <c r="AL144" s="20">
        <f>IF(AK144=1,COUNTIF($AK$2:AK144,1),"")</f>
        <v>143</v>
      </c>
      <c r="AM144" s="18">
        <f t="shared" si="38"/>
        <v>5.82</v>
      </c>
      <c r="AN144" s="18">
        <f t="shared" si="39"/>
        <v>2.9200000762939453</v>
      </c>
      <c r="AO144" s="18">
        <f t="shared" si="40"/>
        <v>2.8999999761581421</v>
      </c>
      <c r="AP144" s="18">
        <f t="shared" si="41"/>
        <v>1.1000000238418579</v>
      </c>
    </row>
    <row r="145" spans="1:42" x14ac:dyDescent="0.25">
      <c r="A145" s="17">
        <v>144</v>
      </c>
      <c r="B145" s="17" t="s">
        <v>593</v>
      </c>
      <c r="C145" s="21" t="s">
        <v>182</v>
      </c>
      <c r="D145" s="17" t="s">
        <v>172</v>
      </c>
      <c r="E145" s="18">
        <v>4.5</v>
      </c>
      <c r="F145" s="18">
        <v>3</v>
      </c>
      <c r="G145" s="18">
        <v>0</v>
      </c>
      <c r="H145" s="18"/>
      <c r="I145" s="18">
        <v>2025</v>
      </c>
      <c r="J145" s="18">
        <v>4.5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9">
        <v>0</v>
      </c>
      <c r="Q145" s="18">
        <v>2.4000000953674316</v>
      </c>
      <c r="R145" s="19">
        <v>0.53333335452609587</v>
      </c>
      <c r="S145" s="18">
        <v>1.3999999761581421</v>
      </c>
      <c r="T145" s="19">
        <v>0.31111110581292045</v>
      </c>
      <c r="U145" s="18">
        <v>0.69999998807907104</v>
      </c>
      <c r="V145" s="19">
        <v>0.15555555290646023</v>
      </c>
      <c r="W145">
        <f t="shared" si="28"/>
        <v>2.4000000953674316</v>
      </c>
      <c r="X145" s="19">
        <f t="shared" si="29"/>
        <v>0.53333335452609587</v>
      </c>
      <c r="Y145">
        <f t="shared" si="30"/>
        <v>2.0999999642372131</v>
      </c>
      <c r="Z145" s="19">
        <f t="shared" si="31"/>
        <v>0.46666665871938068</v>
      </c>
      <c r="AA145" s="19">
        <f t="shared" si="32"/>
        <v>0.47555555502573649</v>
      </c>
      <c r="AB145" t="str">
        <f t="shared" si="33"/>
        <v>Tidak Mantap Sedang</v>
      </c>
      <c r="AC145" s="19">
        <f>IF(Dashboard!$B$7="Mantap (%)",X145,IF(Dashboard!$B$7="Tidak Mantap (%)",Z145,IF(Dashboard!$B$7="Baik (%)",P145,IF(Dashboard!$B$7="Sedang (%)",R145,IF(Dashboard!$B$7="Rusak Ringan (%)",T145,IF(Dashboard!$B$7="Rusak Berat (%)",V145,AA145))))))</f>
        <v>0.46666665871938068</v>
      </c>
      <c r="AD145" s="20">
        <f>IF(AND(AF145=1,E145&gt;=Dashboard!$B$10,IF(Dashboard!$B$9="≤ Maksimum",AC145&lt;=Dashboard!$B$8,AC145&gt;=Dashboard!$B$8)),1,0)</f>
        <v>1</v>
      </c>
      <c r="AE145" s="20">
        <f>IF(AD145=1,COUNTIFS($AD$2:$AD$351,1,$AC$2:$AC$351,"&gt;"&amp;AC145)+COUNTIFS($AD$2:AD145,1,$AC$2:AC145,AC145),"")</f>
        <v>131</v>
      </c>
      <c r="AF145" s="20">
        <f>IF(OR(Dashboard!$B$6="Semua",ISNUMBER(SEARCH(Dashboard!$B$6,D145))),1,0)</f>
        <v>1</v>
      </c>
      <c r="AG145" s="18">
        <f t="shared" si="34"/>
        <v>4.5</v>
      </c>
      <c r="AH145" s="18">
        <f t="shared" si="35"/>
        <v>2.4000000953674316</v>
      </c>
      <c r="AI145" s="18">
        <f t="shared" si="36"/>
        <v>2.0999999642372131</v>
      </c>
      <c r="AJ145" s="18">
        <f t="shared" si="37"/>
        <v>0.69999998807907104</v>
      </c>
      <c r="AK145" s="20">
        <f>IF(OR(Ruas_Per_Kecamatan!$B$4="Semua",ISNUMBER(SEARCH(Ruas_Per_Kecamatan!$B$4,D145))),1,0)</f>
        <v>1</v>
      </c>
      <c r="AL145" s="20">
        <f>IF(AK145=1,COUNTIF($AK$2:AK145,1),"")</f>
        <v>144</v>
      </c>
      <c r="AM145" s="18">
        <f t="shared" si="38"/>
        <v>4.5</v>
      </c>
      <c r="AN145" s="18">
        <f t="shared" si="39"/>
        <v>2.4000000953674316</v>
      </c>
      <c r="AO145" s="18">
        <f t="shared" si="40"/>
        <v>2.0999999642372131</v>
      </c>
      <c r="AP145" s="18">
        <f t="shared" si="41"/>
        <v>0.69999998807907104</v>
      </c>
    </row>
    <row r="146" spans="1:42" x14ac:dyDescent="0.25">
      <c r="A146" s="17">
        <v>145</v>
      </c>
      <c r="B146" s="17" t="s">
        <v>594</v>
      </c>
      <c r="C146" s="21" t="s">
        <v>183</v>
      </c>
      <c r="D146" s="17" t="s">
        <v>172</v>
      </c>
      <c r="E146" s="18">
        <v>0.22</v>
      </c>
      <c r="F146" s="18">
        <v>3.5</v>
      </c>
      <c r="G146" s="18">
        <v>0</v>
      </c>
      <c r="H146" s="18"/>
      <c r="I146" s="18">
        <v>2025</v>
      </c>
      <c r="J146" s="18">
        <v>0.2199999988079071</v>
      </c>
      <c r="K146" s="18">
        <v>0</v>
      </c>
      <c r="L146" s="18">
        <v>0</v>
      </c>
      <c r="M146" s="18">
        <v>0</v>
      </c>
      <c r="N146" s="18">
        <v>0</v>
      </c>
      <c r="O146" s="18">
        <v>0.2199999988079071</v>
      </c>
      <c r="P146" s="19">
        <v>0.99999999458139588</v>
      </c>
      <c r="Q146" s="18">
        <v>0</v>
      </c>
      <c r="R146" s="19">
        <v>0</v>
      </c>
      <c r="S146" s="18">
        <v>0</v>
      </c>
      <c r="T146" s="19">
        <v>0</v>
      </c>
      <c r="U146" s="18">
        <v>0</v>
      </c>
      <c r="V146" s="19">
        <v>0</v>
      </c>
      <c r="W146">
        <f t="shared" si="28"/>
        <v>0.2199999988079071</v>
      </c>
      <c r="X146" s="19">
        <f t="shared" si="29"/>
        <v>0.99999999458139588</v>
      </c>
      <c r="Y146">
        <f t="shared" si="30"/>
        <v>0</v>
      </c>
      <c r="Z146" s="19">
        <f t="shared" si="31"/>
        <v>0</v>
      </c>
      <c r="AA146" s="19">
        <f t="shared" si="32"/>
        <v>0</v>
      </c>
      <c r="AB146" t="str">
        <f t="shared" si="33"/>
        <v>Relatif Mantap</v>
      </c>
      <c r="AC146" s="19">
        <f>IF(Dashboard!$B$7="Mantap (%)",X146,IF(Dashboard!$B$7="Tidak Mantap (%)",Z146,IF(Dashboard!$B$7="Baik (%)",P146,IF(Dashboard!$B$7="Sedang (%)",R146,IF(Dashboard!$B$7="Rusak Ringan (%)",T146,IF(Dashboard!$B$7="Rusak Berat (%)",V146,AA146))))))</f>
        <v>0</v>
      </c>
      <c r="AD146" s="20">
        <f>IF(AND(AF146=1,E146&gt;=Dashboard!$B$10,IF(Dashboard!$B$9="≤ Maksimum",AC146&lt;=Dashboard!$B$8,AC146&gt;=Dashboard!$B$8)),1,0)</f>
        <v>0</v>
      </c>
      <c r="AE146" s="20" t="str">
        <f>IF(AD146=1,COUNTIFS($AD$2:$AD$351,1,$AC$2:$AC$351,"&gt;"&amp;AC146)+COUNTIFS($AD$2:AD146,1,$AC$2:AC146,AC146),"")</f>
        <v/>
      </c>
      <c r="AF146" s="20">
        <f>IF(OR(Dashboard!$B$6="Semua",ISNUMBER(SEARCH(Dashboard!$B$6,D146))),1,0)</f>
        <v>1</v>
      </c>
      <c r="AG146" s="18">
        <f t="shared" si="34"/>
        <v>0.22</v>
      </c>
      <c r="AH146" s="18">
        <f t="shared" si="35"/>
        <v>0.2199999988079071</v>
      </c>
      <c r="AI146" s="18">
        <f t="shared" si="36"/>
        <v>0</v>
      </c>
      <c r="AJ146" s="18">
        <f t="shared" si="37"/>
        <v>0</v>
      </c>
      <c r="AK146" s="20">
        <f>IF(OR(Ruas_Per_Kecamatan!$B$4="Semua",ISNUMBER(SEARCH(Ruas_Per_Kecamatan!$B$4,D146))),1,0)</f>
        <v>1</v>
      </c>
      <c r="AL146" s="20">
        <f>IF(AK146=1,COUNTIF($AK$2:AK146,1),"")</f>
        <v>145</v>
      </c>
      <c r="AM146" s="18">
        <f t="shared" si="38"/>
        <v>0.22</v>
      </c>
      <c r="AN146" s="18">
        <f t="shared" si="39"/>
        <v>0.2199999988079071</v>
      </c>
      <c r="AO146" s="18">
        <f t="shared" si="40"/>
        <v>0</v>
      </c>
      <c r="AP146" s="18">
        <f t="shared" si="41"/>
        <v>0</v>
      </c>
    </row>
    <row r="147" spans="1:42" x14ac:dyDescent="0.25">
      <c r="A147" s="17">
        <v>146</v>
      </c>
      <c r="B147" s="17" t="s">
        <v>595</v>
      </c>
      <c r="C147" s="21" t="s">
        <v>184</v>
      </c>
      <c r="D147" s="17" t="s">
        <v>185</v>
      </c>
      <c r="E147" s="18">
        <v>4.51</v>
      </c>
      <c r="F147" s="18">
        <v>3</v>
      </c>
      <c r="G147" s="18">
        <v>0</v>
      </c>
      <c r="H147" s="18"/>
      <c r="I147" s="18">
        <v>2025</v>
      </c>
      <c r="J147" s="18">
        <v>0</v>
      </c>
      <c r="K147" s="18">
        <v>0</v>
      </c>
      <c r="L147" s="18">
        <v>0</v>
      </c>
      <c r="M147" s="18">
        <v>1.7999999523162842</v>
      </c>
      <c r="N147" s="18">
        <v>2.7100000381469727</v>
      </c>
      <c r="O147" s="18">
        <v>0</v>
      </c>
      <c r="P147" s="19">
        <v>0</v>
      </c>
      <c r="Q147" s="18">
        <v>0</v>
      </c>
      <c r="R147" s="19">
        <v>0</v>
      </c>
      <c r="S147" s="18">
        <v>0</v>
      </c>
      <c r="T147" s="19">
        <v>0</v>
      </c>
      <c r="U147" s="18">
        <v>4.5100002288818359</v>
      </c>
      <c r="V147" s="19">
        <v>1.0000000507498528</v>
      </c>
      <c r="W147">
        <f t="shared" si="28"/>
        <v>0</v>
      </c>
      <c r="X147" s="19">
        <f t="shared" si="29"/>
        <v>0</v>
      </c>
      <c r="Y147">
        <f t="shared" si="30"/>
        <v>4.5100002288818359</v>
      </c>
      <c r="Z147" s="19">
        <f t="shared" si="31"/>
        <v>1.0000000507498528</v>
      </c>
      <c r="AA147" s="19">
        <f t="shared" si="32"/>
        <v>1.0000000507498528</v>
      </c>
      <c r="AB147" t="str">
        <f t="shared" si="33"/>
        <v>Rusak Berat Dominan</v>
      </c>
      <c r="AC147" s="19">
        <f>IF(Dashboard!$B$7="Mantap (%)",X147,IF(Dashboard!$B$7="Tidak Mantap (%)",Z147,IF(Dashboard!$B$7="Baik (%)",P147,IF(Dashboard!$B$7="Sedang (%)",R147,IF(Dashboard!$B$7="Rusak Ringan (%)",T147,IF(Dashboard!$B$7="Rusak Berat (%)",V147,AA147))))))</f>
        <v>1.0000000507498528</v>
      </c>
      <c r="AD147" s="20">
        <f>IF(AND(AF147=1,E147&gt;=Dashboard!$B$10,IF(Dashboard!$B$9="≤ Maksimum",AC147&lt;=Dashboard!$B$8,AC147&gt;=Dashboard!$B$8)),1,0)</f>
        <v>1</v>
      </c>
      <c r="AE147" s="20">
        <f>IF(AD147=1,COUNTIFS($AD$2:$AD$351,1,$AC$2:$AC$351,"&gt;"&amp;AC147)+COUNTIFS($AD$2:AD147,1,$AC$2:AC147,AC147),"")</f>
        <v>1</v>
      </c>
      <c r="AF147" s="20">
        <f>IF(OR(Dashboard!$B$6="Semua",ISNUMBER(SEARCH(Dashboard!$B$6,D147))),1,0)</f>
        <v>1</v>
      </c>
      <c r="AG147" s="18">
        <f t="shared" si="34"/>
        <v>4.51</v>
      </c>
      <c r="AH147" s="18">
        <f t="shared" si="35"/>
        <v>0</v>
      </c>
      <c r="AI147" s="18">
        <f t="shared" si="36"/>
        <v>4.5100002288818359</v>
      </c>
      <c r="AJ147" s="18">
        <f t="shared" si="37"/>
        <v>4.5100002288818359</v>
      </c>
      <c r="AK147" s="20">
        <f>IF(OR(Ruas_Per_Kecamatan!$B$4="Semua",ISNUMBER(SEARCH(Ruas_Per_Kecamatan!$B$4,D147))),1,0)</f>
        <v>1</v>
      </c>
      <c r="AL147" s="20">
        <f>IF(AK147=1,COUNTIF($AK$2:AK147,1),"")</f>
        <v>146</v>
      </c>
      <c r="AM147" s="18">
        <f t="shared" si="38"/>
        <v>4.51</v>
      </c>
      <c r="AN147" s="18">
        <f t="shared" si="39"/>
        <v>0</v>
      </c>
      <c r="AO147" s="18">
        <f t="shared" si="40"/>
        <v>4.5100002288818359</v>
      </c>
      <c r="AP147" s="18">
        <f t="shared" si="41"/>
        <v>4.5100002288818359</v>
      </c>
    </row>
    <row r="148" spans="1:42" x14ac:dyDescent="0.25">
      <c r="A148" s="17">
        <v>147</v>
      </c>
      <c r="B148" s="17" t="s">
        <v>596</v>
      </c>
      <c r="C148" s="21" t="s">
        <v>186</v>
      </c>
      <c r="D148" s="17" t="s">
        <v>172</v>
      </c>
      <c r="E148" s="18">
        <v>2.87</v>
      </c>
      <c r="F148" s="18">
        <v>3.9200000762939453</v>
      </c>
      <c r="G148" s="18">
        <v>0</v>
      </c>
      <c r="H148" s="18"/>
      <c r="I148" s="18">
        <v>2025</v>
      </c>
      <c r="J148" s="18">
        <v>2.869999885559082</v>
      </c>
      <c r="K148" s="18">
        <v>0</v>
      </c>
      <c r="L148" s="18">
        <v>0</v>
      </c>
      <c r="M148" s="18">
        <v>0</v>
      </c>
      <c r="N148" s="18">
        <v>0</v>
      </c>
      <c r="O148" s="18">
        <v>0.80000001192092896</v>
      </c>
      <c r="P148" s="19">
        <v>0.27874564875293689</v>
      </c>
      <c r="Q148" s="18">
        <v>1</v>
      </c>
      <c r="R148" s="19">
        <v>0.34843205574912889</v>
      </c>
      <c r="S148" s="18">
        <v>0.76999998092651367</v>
      </c>
      <c r="T148" s="19">
        <v>0.26829267628101522</v>
      </c>
      <c r="U148" s="18">
        <v>0.30000001192092896</v>
      </c>
      <c r="V148" s="19">
        <v>0.10452962087837245</v>
      </c>
      <c r="W148">
        <f t="shared" si="28"/>
        <v>1.800000011920929</v>
      </c>
      <c r="X148" s="19">
        <f t="shared" si="29"/>
        <v>0.62717770450206578</v>
      </c>
      <c r="Y148">
        <f t="shared" si="30"/>
        <v>1.0699999928474426</v>
      </c>
      <c r="Z148" s="19">
        <f t="shared" si="31"/>
        <v>0.37282229715938764</v>
      </c>
      <c r="AA148" s="19">
        <f t="shared" si="32"/>
        <v>0.3526132405842638</v>
      </c>
      <c r="AB148" t="str">
        <f t="shared" si="33"/>
        <v>Tidak Mantap Sedang</v>
      </c>
      <c r="AC148" s="19">
        <f>IF(Dashboard!$B$7="Mantap (%)",X148,IF(Dashboard!$B$7="Tidak Mantap (%)",Z148,IF(Dashboard!$B$7="Baik (%)",P148,IF(Dashboard!$B$7="Sedang (%)",R148,IF(Dashboard!$B$7="Rusak Ringan (%)",T148,IF(Dashboard!$B$7="Rusak Berat (%)",V148,AA148))))))</f>
        <v>0.37282229715938764</v>
      </c>
      <c r="AD148" s="20">
        <f>IF(AND(AF148=1,E148&gt;=Dashboard!$B$10,IF(Dashboard!$B$9="≤ Maksimum",AC148&lt;=Dashboard!$B$8,AC148&gt;=Dashboard!$B$8)),1,0)</f>
        <v>1</v>
      </c>
      <c r="AE148" s="20">
        <f>IF(AD148=1,COUNTIFS($AD$2:$AD$351,1,$AC$2:$AC$351,"&gt;"&amp;AC148)+COUNTIFS($AD$2:AD148,1,$AC$2:AC148,AC148),"")</f>
        <v>155</v>
      </c>
      <c r="AF148" s="20">
        <f>IF(OR(Dashboard!$B$6="Semua",ISNUMBER(SEARCH(Dashboard!$B$6,D148))),1,0)</f>
        <v>1</v>
      </c>
      <c r="AG148" s="18">
        <f t="shared" si="34"/>
        <v>2.87</v>
      </c>
      <c r="AH148" s="18">
        <f t="shared" si="35"/>
        <v>1.800000011920929</v>
      </c>
      <c r="AI148" s="18">
        <f t="shared" si="36"/>
        <v>1.0699999928474426</v>
      </c>
      <c r="AJ148" s="18">
        <f t="shared" si="37"/>
        <v>0.30000001192092896</v>
      </c>
      <c r="AK148" s="20">
        <f>IF(OR(Ruas_Per_Kecamatan!$B$4="Semua",ISNUMBER(SEARCH(Ruas_Per_Kecamatan!$B$4,D148))),1,0)</f>
        <v>1</v>
      </c>
      <c r="AL148" s="20">
        <f>IF(AK148=1,COUNTIF($AK$2:AK148,1),"")</f>
        <v>147</v>
      </c>
      <c r="AM148" s="18">
        <f t="shared" si="38"/>
        <v>2.87</v>
      </c>
      <c r="AN148" s="18">
        <f t="shared" si="39"/>
        <v>1.800000011920929</v>
      </c>
      <c r="AO148" s="18">
        <f t="shared" si="40"/>
        <v>1.0699999928474426</v>
      </c>
      <c r="AP148" s="18">
        <f t="shared" si="41"/>
        <v>0.30000001192092896</v>
      </c>
    </row>
    <row r="149" spans="1:42" x14ac:dyDescent="0.25">
      <c r="A149" s="17">
        <v>148</v>
      </c>
      <c r="B149" s="17" t="s">
        <v>597</v>
      </c>
      <c r="C149" s="21" t="s">
        <v>187</v>
      </c>
      <c r="D149" s="17" t="s">
        <v>172</v>
      </c>
      <c r="E149" s="18">
        <v>3.27</v>
      </c>
      <c r="F149" s="18">
        <v>3.5</v>
      </c>
      <c r="G149" s="18">
        <v>0</v>
      </c>
      <c r="H149" s="18"/>
      <c r="I149" s="18">
        <v>2025</v>
      </c>
      <c r="J149" s="18">
        <v>2.9700000286102295</v>
      </c>
      <c r="K149" s="18">
        <v>0</v>
      </c>
      <c r="L149" s="18">
        <v>0</v>
      </c>
      <c r="M149" s="18">
        <v>0.30000001192092896</v>
      </c>
      <c r="N149" s="18">
        <v>0</v>
      </c>
      <c r="O149" s="18">
        <v>0</v>
      </c>
      <c r="P149" s="19">
        <v>0</v>
      </c>
      <c r="Q149" s="18">
        <v>2.5699999332427979</v>
      </c>
      <c r="R149" s="19">
        <v>0.78593270129749171</v>
      </c>
      <c r="S149" s="18">
        <v>0.30000001192092896</v>
      </c>
      <c r="T149" s="19">
        <v>9.174312291159907E-2</v>
      </c>
      <c r="U149" s="18">
        <v>0.40000001341104507</v>
      </c>
      <c r="V149" s="19">
        <v>0.12232416312264376</v>
      </c>
      <c r="W149">
        <f t="shared" si="28"/>
        <v>2.5699999332427979</v>
      </c>
      <c r="X149" s="19">
        <f t="shared" si="29"/>
        <v>0.78593270129749171</v>
      </c>
      <c r="Y149">
        <f t="shared" si="30"/>
        <v>0.70000002533197403</v>
      </c>
      <c r="Z149" s="19">
        <f t="shared" si="31"/>
        <v>0.21406728603424283</v>
      </c>
      <c r="AA149" s="19">
        <f t="shared" si="32"/>
        <v>0.37385321219397616</v>
      </c>
      <c r="AB149" t="str">
        <f t="shared" si="33"/>
        <v>Tidak Mantap Sedang</v>
      </c>
      <c r="AC149" s="19">
        <f>IF(Dashboard!$B$7="Mantap (%)",X149,IF(Dashboard!$B$7="Tidak Mantap (%)",Z149,IF(Dashboard!$B$7="Baik (%)",P149,IF(Dashboard!$B$7="Sedang (%)",R149,IF(Dashboard!$B$7="Rusak Ringan (%)",T149,IF(Dashboard!$B$7="Rusak Berat (%)",V149,AA149))))))</f>
        <v>0.21406728603424283</v>
      </c>
      <c r="AD149" s="20">
        <f>IF(AND(AF149=1,E149&gt;=Dashboard!$B$10,IF(Dashboard!$B$9="≤ Maksimum",AC149&lt;=Dashboard!$B$8,AC149&gt;=Dashboard!$B$8)),1,0)</f>
        <v>1</v>
      </c>
      <c r="AE149" s="20">
        <f>IF(AD149=1,COUNTIFS($AD$2:$AD$351,1,$AC$2:$AC$351,"&gt;"&amp;AC149)+COUNTIFS($AD$2:AD149,1,$AC$2:AC149,AC149),"")</f>
        <v>189</v>
      </c>
      <c r="AF149" s="20">
        <f>IF(OR(Dashboard!$B$6="Semua",ISNUMBER(SEARCH(Dashboard!$B$6,D149))),1,0)</f>
        <v>1</v>
      </c>
      <c r="AG149" s="18">
        <f t="shared" si="34"/>
        <v>3.27</v>
      </c>
      <c r="AH149" s="18">
        <f t="shared" si="35"/>
        <v>2.5699999332427979</v>
      </c>
      <c r="AI149" s="18">
        <f t="shared" si="36"/>
        <v>0.70000002533197403</v>
      </c>
      <c r="AJ149" s="18">
        <f t="shared" si="37"/>
        <v>0.40000001341104507</v>
      </c>
      <c r="AK149" s="20">
        <f>IF(OR(Ruas_Per_Kecamatan!$B$4="Semua",ISNUMBER(SEARCH(Ruas_Per_Kecamatan!$B$4,D149))),1,0)</f>
        <v>1</v>
      </c>
      <c r="AL149" s="20">
        <f>IF(AK149=1,COUNTIF($AK$2:AK149,1),"")</f>
        <v>148</v>
      </c>
      <c r="AM149" s="18">
        <f t="shared" si="38"/>
        <v>3.27</v>
      </c>
      <c r="AN149" s="18">
        <f t="shared" si="39"/>
        <v>2.5699999332427979</v>
      </c>
      <c r="AO149" s="18">
        <f t="shared" si="40"/>
        <v>0.70000002533197403</v>
      </c>
      <c r="AP149" s="18">
        <f t="shared" si="41"/>
        <v>0.40000001341104507</v>
      </c>
    </row>
    <row r="150" spans="1:42" x14ac:dyDescent="0.25">
      <c r="A150" s="17">
        <v>149</v>
      </c>
      <c r="B150" s="17" t="s">
        <v>598</v>
      </c>
      <c r="C150" s="21" t="s">
        <v>188</v>
      </c>
      <c r="D150" s="17" t="s">
        <v>189</v>
      </c>
      <c r="E150" s="18">
        <v>1.88</v>
      </c>
      <c r="F150" s="18">
        <v>3</v>
      </c>
      <c r="G150" s="18">
        <v>0</v>
      </c>
      <c r="H150" s="18"/>
      <c r="I150" s="18">
        <v>2025</v>
      </c>
      <c r="J150" s="18">
        <v>1.8799999952316284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9">
        <v>0</v>
      </c>
      <c r="Q150" s="18">
        <v>0</v>
      </c>
      <c r="R150" s="19">
        <v>0</v>
      </c>
      <c r="S150" s="18">
        <v>1.5800000429153442</v>
      </c>
      <c r="T150" s="19">
        <v>0.84042555474220448</v>
      </c>
      <c r="U150" s="18">
        <v>0.30000001192092896</v>
      </c>
      <c r="V150" s="19">
        <v>0.15957447442602604</v>
      </c>
      <c r="W150">
        <f t="shared" si="28"/>
        <v>0</v>
      </c>
      <c r="X150" s="19">
        <f t="shared" si="29"/>
        <v>0</v>
      </c>
      <c r="Y150">
        <f t="shared" si="30"/>
        <v>1.8800000548362732</v>
      </c>
      <c r="Z150" s="19">
        <f t="shared" si="31"/>
        <v>1.0000000291682305</v>
      </c>
      <c r="AA150" s="19">
        <f t="shared" si="32"/>
        <v>0.66382980727134866</v>
      </c>
      <c r="AB150" t="str">
        <f t="shared" si="33"/>
        <v>Tidak Mantap Tinggi</v>
      </c>
      <c r="AC150" s="19">
        <f>IF(Dashboard!$B$7="Mantap (%)",X150,IF(Dashboard!$B$7="Tidak Mantap (%)",Z150,IF(Dashboard!$B$7="Baik (%)",P150,IF(Dashboard!$B$7="Sedang (%)",R150,IF(Dashboard!$B$7="Rusak Ringan (%)",T150,IF(Dashboard!$B$7="Rusak Berat (%)",V150,AA150))))))</f>
        <v>1.0000000291682305</v>
      </c>
      <c r="AD150" s="20">
        <f>IF(AND(AF150=1,E150&gt;=Dashboard!$B$10,IF(Dashboard!$B$9="≤ Maksimum",AC150&lt;=Dashboard!$B$8,AC150&gt;=Dashboard!$B$8)),1,0)</f>
        <v>1</v>
      </c>
      <c r="AE150" s="20">
        <f>IF(AD150=1,COUNTIFS($AD$2:$AD$351,1,$AC$2:$AC$351,"&gt;"&amp;AC150)+COUNTIFS($AD$2:AD150,1,$AC$2:AC150,AC150),"")</f>
        <v>8</v>
      </c>
      <c r="AF150" s="20">
        <f>IF(OR(Dashboard!$B$6="Semua",ISNUMBER(SEARCH(Dashboard!$B$6,D150))),1,0)</f>
        <v>1</v>
      </c>
      <c r="AG150" s="18">
        <f t="shared" si="34"/>
        <v>1.88</v>
      </c>
      <c r="AH150" s="18">
        <f t="shared" si="35"/>
        <v>0</v>
      </c>
      <c r="AI150" s="18">
        <f t="shared" si="36"/>
        <v>1.8800000548362732</v>
      </c>
      <c r="AJ150" s="18">
        <f t="shared" si="37"/>
        <v>0.30000001192092896</v>
      </c>
      <c r="AK150" s="20">
        <f>IF(OR(Ruas_Per_Kecamatan!$B$4="Semua",ISNUMBER(SEARCH(Ruas_Per_Kecamatan!$B$4,D150))),1,0)</f>
        <v>1</v>
      </c>
      <c r="AL150" s="20">
        <f>IF(AK150=1,COUNTIF($AK$2:AK150,1),"")</f>
        <v>149</v>
      </c>
      <c r="AM150" s="18">
        <f t="shared" si="38"/>
        <v>1.88</v>
      </c>
      <c r="AN150" s="18">
        <f t="shared" si="39"/>
        <v>0</v>
      </c>
      <c r="AO150" s="18">
        <f t="shared" si="40"/>
        <v>1.8800000548362732</v>
      </c>
      <c r="AP150" s="18">
        <f t="shared" si="41"/>
        <v>0.30000001192092896</v>
      </c>
    </row>
    <row r="151" spans="1:42" x14ac:dyDescent="0.25">
      <c r="A151" s="17">
        <v>150</v>
      </c>
      <c r="B151" s="17" t="s">
        <v>599</v>
      </c>
      <c r="C151" s="21" t="s">
        <v>190</v>
      </c>
      <c r="D151" s="17" t="s">
        <v>175</v>
      </c>
      <c r="E151" s="18">
        <v>3.12</v>
      </c>
      <c r="F151" s="18">
        <v>3</v>
      </c>
      <c r="G151" s="18">
        <v>0</v>
      </c>
      <c r="H151" s="18"/>
      <c r="I151" s="18">
        <v>2025</v>
      </c>
      <c r="J151" s="18">
        <v>2.7200000286102295</v>
      </c>
      <c r="K151" s="18">
        <v>0</v>
      </c>
      <c r="L151" s="18">
        <v>0</v>
      </c>
      <c r="M151" s="18">
        <v>0.40000000596046448</v>
      </c>
      <c r="N151" s="18">
        <v>0</v>
      </c>
      <c r="O151" s="18">
        <v>0</v>
      </c>
      <c r="P151" s="19">
        <v>0</v>
      </c>
      <c r="Q151" s="18">
        <v>1</v>
      </c>
      <c r="R151" s="19">
        <v>0.32051282051282048</v>
      </c>
      <c r="S151" s="18">
        <v>0.92000001668930054</v>
      </c>
      <c r="T151" s="19">
        <v>0.29487180022092963</v>
      </c>
      <c r="U151" s="18">
        <v>1.2000000178813934</v>
      </c>
      <c r="V151" s="19">
        <v>0.38461539034660047</v>
      </c>
      <c r="W151">
        <f t="shared" si="28"/>
        <v>1</v>
      </c>
      <c r="X151" s="19">
        <f t="shared" si="29"/>
        <v>0.32051282051282048</v>
      </c>
      <c r="Y151">
        <f t="shared" si="30"/>
        <v>2.120000034570694</v>
      </c>
      <c r="Z151" s="19">
        <f t="shared" si="31"/>
        <v>0.67948719056753004</v>
      </c>
      <c r="AA151" s="19">
        <f t="shared" si="32"/>
        <v>0.64166667560736346</v>
      </c>
      <c r="AB151" t="str">
        <f t="shared" si="33"/>
        <v>Rusak Berat Dominan</v>
      </c>
      <c r="AC151" s="19">
        <f>IF(Dashboard!$B$7="Mantap (%)",X151,IF(Dashboard!$B$7="Tidak Mantap (%)",Z151,IF(Dashboard!$B$7="Baik (%)",P151,IF(Dashboard!$B$7="Sedang (%)",R151,IF(Dashboard!$B$7="Rusak Ringan (%)",T151,IF(Dashboard!$B$7="Rusak Berat (%)",V151,AA151))))))</f>
        <v>0.67948719056753004</v>
      </c>
      <c r="AD151" s="20">
        <f>IF(AND(AF151=1,E151&gt;=Dashboard!$B$10,IF(Dashboard!$B$9="≤ Maksimum",AC151&lt;=Dashboard!$B$8,AC151&gt;=Dashboard!$B$8)),1,0)</f>
        <v>1</v>
      </c>
      <c r="AE151" s="20">
        <f>IF(AD151=1,COUNTIFS($AD$2:$AD$351,1,$AC$2:$AC$351,"&gt;"&amp;AC151)+COUNTIFS($AD$2:AD151,1,$AC$2:AC151,AC151),"")</f>
        <v>92</v>
      </c>
      <c r="AF151" s="20">
        <f>IF(OR(Dashboard!$B$6="Semua",ISNUMBER(SEARCH(Dashboard!$B$6,D151))),1,0)</f>
        <v>1</v>
      </c>
      <c r="AG151" s="18">
        <f t="shared" si="34"/>
        <v>3.12</v>
      </c>
      <c r="AH151" s="18">
        <f t="shared" si="35"/>
        <v>1</v>
      </c>
      <c r="AI151" s="18">
        <f t="shared" si="36"/>
        <v>2.120000034570694</v>
      </c>
      <c r="AJ151" s="18">
        <f t="shared" si="37"/>
        <v>1.2000000178813934</v>
      </c>
      <c r="AK151" s="20">
        <f>IF(OR(Ruas_Per_Kecamatan!$B$4="Semua",ISNUMBER(SEARCH(Ruas_Per_Kecamatan!$B$4,D151))),1,0)</f>
        <v>1</v>
      </c>
      <c r="AL151" s="20">
        <f>IF(AK151=1,COUNTIF($AK$2:AK151,1),"")</f>
        <v>150</v>
      </c>
      <c r="AM151" s="18">
        <f t="shared" si="38"/>
        <v>3.12</v>
      </c>
      <c r="AN151" s="18">
        <f t="shared" si="39"/>
        <v>1</v>
      </c>
      <c r="AO151" s="18">
        <f t="shared" si="40"/>
        <v>2.120000034570694</v>
      </c>
      <c r="AP151" s="18">
        <f t="shared" si="41"/>
        <v>1.2000000178813934</v>
      </c>
    </row>
    <row r="152" spans="1:42" x14ac:dyDescent="0.25">
      <c r="A152" s="17">
        <v>151</v>
      </c>
      <c r="B152" s="17" t="s">
        <v>600</v>
      </c>
      <c r="C152" s="21" t="s">
        <v>191</v>
      </c>
      <c r="D152" s="17" t="s">
        <v>172</v>
      </c>
      <c r="E152" s="18">
        <v>3.39</v>
      </c>
      <c r="F152" s="18">
        <v>3</v>
      </c>
      <c r="G152" s="18">
        <v>0</v>
      </c>
      <c r="H152" s="18"/>
      <c r="I152" s="18">
        <v>2025</v>
      </c>
      <c r="J152" s="18">
        <v>0.60000002384185791</v>
      </c>
      <c r="K152" s="18">
        <v>0</v>
      </c>
      <c r="L152" s="18">
        <v>0</v>
      </c>
      <c r="M152" s="18">
        <v>0</v>
      </c>
      <c r="N152" s="18">
        <v>2.7899999618530273</v>
      </c>
      <c r="O152" s="18">
        <v>0</v>
      </c>
      <c r="P152" s="19">
        <v>0</v>
      </c>
      <c r="Q152" s="18">
        <v>0.60000002384185791</v>
      </c>
      <c r="R152" s="19">
        <v>0.17699115747547431</v>
      </c>
      <c r="S152" s="18">
        <v>0</v>
      </c>
      <c r="T152" s="19">
        <v>0</v>
      </c>
      <c r="U152" s="18">
        <v>2.7899999618530273</v>
      </c>
      <c r="V152" s="19">
        <v>0.82300883830472782</v>
      </c>
      <c r="W152">
        <f t="shared" si="28"/>
        <v>0.60000002384185791</v>
      </c>
      <c r="X152" s="19">
        <f t="shared" si="29"/>
        <v>0.17699115747547431</v>
      </c>
      <c r="Y152">
        <f t="shared" si="30"/>
        <v>2.7899999618530273</v>
      </c>
      <c r="Z152" s="19">
        <f t="shared" si="31"/>
        <v>0.82300883830472782</v>
      </c>
      <c r="AA152" s="19">
        <f t="shared" si="32"/>
        <v>0.86725662767359635</v>
      </c>
      <c r="AB152" t="str">
        <f t="shared" si="33"/>
        <v>Rusak Berat Dominan</v>
      </c>
      <c r="AC152" s="19">
        <f>IF(Dashboard!$B$7="Mantap (%)",X152,IF(Dashboard!$B$7="Tidak Mantap (%)",Z152,IF(Dashboard!$B$7="Baik (%)",P152,IF(Dashboard!$B$7="Sedang (%)",R152,IF(Dashboard!$B$7="Rusak Ringan (%)",T152,IF(Dashboard!$B$7="Rusak Berat (%)",V152,AA152))))))</f>
        <v>0.82300883830472782</v>
      </c>
      <c r="AD152" s="20">
        <f>IF(AND(AF152=1,E152&gt;=Dashboard!$B$10,IF(Dashboard!$B$9="≤ Maksimum",AC152&lt;=Dashboard!$B$8,AC152&gt;=Dashboard!$B$8)),1,0)</f>
        <v>1</v>
      </c>
      <c r="AE152" s="20">
        <f>IF(AD152=1,COUNTIFS($AD$2:$AD$351,1,$AC$2:$AC$351,"&gt;"&amp;AC152)+COUNTIFS($AD$2:AD152,1,$AC$2:AC152,AC152),"")</f>
        <v>63</v>
      </c>
      <c r="AF152" s="20">
        <f>IF(OR(Dashboard!$B$6="Semua",ISNUMBER(SEARCH(Dashboard!$B$6,D152))),1,0)</f>
        <v>1</v>
      </c>
      <c r="AG152" s="18">
        <f t="shared" si="34"/>
        <v>3.39</v>
      </c>
      <c r="AH152" s="18">
        <f t="shared" si="35"/>
        <v>0.60000002384185791</v>
      </c>
      <c r="AI152" s="18">
        <f t="shared" si="36"/>
        <v>2.7899999618530273</v>
      </c>
      <c r="AJ152" s="18">
        <f t="shared" si="37"/>
        <v>2.7899999618530273</v>
      </c>
      <c r="AK152" s="20">
        <f>IF(OR(Ruas_Per_Kecamatan!$B$4="Semua",ISNUMBER(SEARCH(Ruas_Per_Kecamatan!$B$4,D152))),1,0)</f>
        <v>1</v>
      </c>
      <c r="AL152" s="20">
        <f>IF(AK152=1,COUNTIF($AK$2:AK152,1),"")</f>
        <v>151</v>
      </c>
      <c r="AM152" s="18">
        <f t="shared" si="38"/>
        <v>3.39</v>
      </c>
      <c r="AN152" s="18">
        <f t="shared" si="39"/>
        <v>0.60000002384185791</v>
      </c>
      <c r="AO152" s="18">
        <f t="shared" si="40"/>
        <v>2.7899999618530273</v>
      </c>
      <c r="AP152" s="18">
        <f t="shared" si="41"/>
        <v>2.7899999618530273</v>
      </c>
    </row>
    <row r="153" spans="1:42" x14ac:dyDescent="0.25">
      <c r="A153" s="17">
        <v>152</v>
      </c>
      <c r="B153" s="17" t="s">
        <v>601</v>
      </c>
      <c r="C153" s="21" t="s">
        <v>192</v>
      </c>
      <c r="D153" s="17" t="s">
        <v>175</v>
      </c>
      <c r="E153" s="18">
        <v>2.94</v>
      </c>
      <c r="F153" s="18">
        <v>3.5</v>
      </c>
      <c r="G153" s="18">
        <v>0</v>
      </c>
      <c r="H153" s="18"/>
      <c r="I153" s="18">
        <v>2025</v>
      </c>
      <c r="J153" s="18">
        <v>2.940000057220459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9">
        <v>0</v>
      </c>
      <c r="Q153" s="18">
        <v>2.0399999618530273</v>
      </c>
      <c r="R153" s="19">
        <v>0.69387753804524743</v>
      </c>
      <c r="S153" s="18">
        <v>0.80000001192092896</v>
      </c>
      <c r="T153" s="19">
        <v>0.2721088475921527</v>
      </c>
      <c r="U153" s="18">
        <v>0.10000000149011612</v>
      </c>
      <c r="V153" s="19">
        <v>3.4013605949019088E-2</v>
      </c>
      <c r="W153">
        <f t="shared" si="28"/>
        <v>2.0399999618530273</v>
      </c>
      <c r="X153" s="19">
        <f t="shared" si="29"/>
        <v>0.69387753804524743</v>
      </c>
      <c r="Y153">
        <f t="shared" si="30"/>
        <v>0.90000001341104507</v>
      </c>
      <c r="Z153" s="19">
        <f t="shared" si="31"/>
        <v>0.30612245354117179</v>
      </c>
      <c r="AA153" s="19">
        <f t="shared" si="32"/>
        <v>0.37074829901562256</v>
      </c>
      <c r="AB153" t="str">
        <f t="shared" si="33"/>
        <v>Tidak Mantap Sedang</v>
      </c>
      <c r="AC153" s="19">
        <f>IF(Dashboard!$B$7="Mantap (%)",X153,IF(Dashboard!$B$7="Tidak Mantap (%)",Z153,IF(Dashboard!$B$7="Baik (%)",P153,IF(Dashboard!$B$7="Sedang (%)",R153,IF(Dashboard!$B$7="Rusak Ringan (%)",T153,IF(Dashboard!$B$7="Rusak Berat (%)",V153,AA153))))))</f>
        <v>0.30612245354117179</v>
      </c>
      <c r="AD153" s="20">
        <f>IF(AND(AF153=1,E153&gt;=Dashboard!$B$10,IF(Dashboard!$B$9="≤ Maksimum",AC153&lt;=Dashboard!$B$8,AC153&gt;=Dashboard!$B$8)),1,0)</f>
        <v>1</v>
      </c>
      <c r="AE153" s="20">
        <f>IF(AD153=1,COUNTIFS($AD$2:$AD$351,1,$AC$2:$AC$351,"&gt;"&amp;AC153)+COUNTIFS($AD$2:AD153,1,$AC$2:AC153,AC153),"")</f>
        <v>167</v>
      </c>
      <c r="AF153" s="20">
        <f>IF(OR(Dashboard!$B$6="Semua",ISNUMBER(SEARCH(Dashboard!$B$6,D153))),1,0)</f>
        <v>1</v>
      </c>
      <c r="AG153" s="18">
        <f t="shared" si="34"/>
        <v>2.94</v>
      </c>
      <c r="AH153" s="18">
        <f t="shared" si="35"/>
        <v>2.0399999618530273</v>
      </c>
      <c r="AI153" s="18">
        <f t="shared" si="36"/>
        <v>0.90000001341104507</v>
      </c>
      <c r="AJ153" s="18">
        <f t="shared" si="37"/>
        <v>0.10000000149011612</v>
      </c>
      <c r="AK153" s="20">
        <f>IF(OR(Ruas_Per_Kecamatan!$B$4="Semua",ISNUMBER(SEARCH(Ruas_Per_Kecamatan!$B$4,D153))),1,0)</f>
        <v>1</v>
      </c>
      <c r="AL153" s="20">
        <f>IF(AK153=1,COUNTIF($AK$2:AK153,1),"")</f>
        <v>152</v>
      </c>
      <c r="AM153" s="18">
        <f t="shared" si="38"/>
        <v>2.94</v>
      </c>
      <c r="AN153" s="18">
        <f t="shared" si="39"/>
        <v>2.0399999618530273</v>
      </c>
      <c r="AO153" s="18">
        <f t="shared" si="40"/>
        <v>0.90000001341104507</v>
      </c>
      <c r="AP153" s="18">
        <f t="shared" si="41"/>
        <v>0.10000000149011612</v>
      </c>
    </row>
    <row r="154" spans="1:42" x14ac:dyDescent="0.25">
      <c r="A154" s="17">
        <v>153</v>
      </c>
      <c r="B154" s="17" t="s">
        <v>602</v>
      </c>
      <c r="C154" s="21" t="s">
        <v>193</v>
      </c>
      <c r="D154" s="17" t="s">
        <v>172</v>
      </c>
      <c r="E154" s="18">
        <v>0.06</v>
      </c>
      <c r="F154" s="18">
        <v>3.5</v>
      </c>
      <c r="G154" s="18">
        <v>0</v>
      </c>
      <c r="H154" s="18"/>
      <c r="I154" s="18">
        <v>2025</v>
      </c>
      <c r="J154" s="18">
        <v>5.9999998658895493E-2</v>
      </c>
      <c r="K154" s="18">
        <v>0</v>
      </c>
      <c r="L154" s="18">
        <v>0</v>
      </c>
      <c r="M154" s="18">
        <v>0</v>
      </c>
      <c r="N154" s="18">
        <v>0</v>
      </c>
      <c r="O154" s="18">
        <v>5.9999998658895493E-2</v>
      </c>
      <c r="P154" s="19">
        <v>0.99999997764825821</v>
      </c>
      <c r="Q154" s="18">
        <v>0</v>
      </c>
      <c r="R154" s="19">
        <v>0</v>
      </c>
      <c r="S154" s="18">
        <v>0</v>
      </c>
      <c r="T154" s="19">
        <v>0</v>
      </c>
      <c r="U154" s="18">
        <v>0</v>
      </c>
      <c r="V154" s="19">
        <v>0</v>
      </c>
      <c r="W154">
        <f t="shared" si="28"/>
        <v>5.9999998658895493E-2</v>
      </c>
      <c r="X154" s="19">
        <f t="shared" si="29"/>
        <v>0.99999997764825821</v>
      </c>
      <c r="Y154">
        <f t="shared" si="30"/>
        <v>0</v>
      </c>
      <c r="Z154" s="19">
        <f t="shared" si="31"/>
        <v>0</v>
      </c>
      <c r="AA154" s="19">
        <f t="shared" si="32"/>
        <v>0</v>
      </c>
      <c r="AB154" t="str">
        <f t="shared" si="33"/>
        <v>Relatif Mantap</v>
      </c>
      <c r="AC154" s="19">
        <f>IF(Dashboard!$B$7="Mantap (%)",X154,IF(Dashboard!$B$7="Tidak Mantap (%)",Z154,IF(Dashboard!$B$7="Baik (%)",P154,IF(Dashboard!$B$7="Sedang (%)",R154,IF(Dashboard!$B$7="Rusak Ringan (%)",T154,IF(Dashboard!$B$7="Rusak Berat (%)",V154,AA154))))))</f>
        <v>0</v>
      </c>
      <c r="AD154" s="20">
        <f>IF(AND(AF154=1,E154&gt;=Dashboard!$B$10,IF(Dashboard!$B$9="≤ Maksimum",AC154&lt;=Dashboard!$B$8,AC154&gt;=Dashboard!$B$8)),1,0)</f>
        <v>0</v>
      </c>
      <c r="AE154" s="20" t="str">
        <f>IF(AD154=1,COUNTIFS($AD$2:$AD$351,1,$AC$2:$AC$351,"&gt;"&amp;AC154)+COUNTIFS($AD$2:AD154,1,$AC$2:AC154,AC154),"")</f>
        <v/>
      </c>
      <c r="AF154" s="20">
        <f>IF(OR(Dashboard!$B$6="Semua",ISNUMBER(SEARCH(Dashboard!$B$6,D154))),1,0)</f>
        <v>1</v>
      </c>
      <c r="AG154" s="18">
        <f t="shared" si="34"/>
        <v>0.06</v>
      </c>
      <c r="AH154" s="18">
        <f t="shared" si="35"/>
        <v>5.9999998658895493E-2</v>
      </c>
      <c r="AI154" s="18">
        <f t="shared" si="36"/>
        <v>0</v>
      </c>
      <c r="AJ154" s="18">
        <f t="shared" si="37"/>
        <v>0</v>
      </c>
      <c r="AK154" s="20">
        <f>IF(OR(Ruas_Per_Kecamatan!$B$4="Semua",ISNUMBER(SEARCH(Ruas_Per_Kecamatan!$B$4,D154))),1,0)</f>
        <v>1</v>
      </c>
      <c r="AL154" s="20">
        <f>IF(AK154=1,COUNTIF($AK$2:AK154,1),"")</f>
        <v>153</v>
      </c>
      <c r="AM154" s="18">
        <f t="shared" si="38"/>
        <v>0.06</v>
      </c>
      <c r="AN154" s="18">
        <f t="shared" si="39"/>
        <v>5.9999998658895493E-2</v>
      </c>
      <c r="AO154" s="18">
        <f t="shared" si="40"/>
        <v>0</v>
      </c>
      <c r="AP154" s="18">
        <f t="shared" si="41"/>
        <v>0</v>
      </c>
    </row>
    <row r="155" spans="1:42" x14ac:dyDescent="0.25">
      <c r="A155" s="17">
        <v>154</v>
      </c>
      <c r="B155" s="17" t="s">
        <v>603</v>
      </c>
      <c r="C155" s="21" t="s">
        <v>194</v>
      </c>
      <c r="D155" s="17" t="s">
        <v>172</v>
      </c>
      <c r="E155" s="18">
        <v>4.2699999999999996</v>
      </c>
      <c r="F155" s="18">
        <v>3.5</v>
      </c>
      <c r="G155" s="18">
        <v>0</v>
      </c>
      <c r="H155" s="18"/>
      <c r="I155" s="18">
        <v>2025</v>
      </c>
      <c r="J155" s="18">
        <v>4.1700000762939453</v>
      </c>
      <c r="K155" s="18">
        <v>0</v>
      </c>
      <c r="L155" s="18">
        <v>0.10000000149011612</v>
      </c>
      <c r="M155" s="18">
        <v>0</v>
      </c>
      <c r="N155" s="18">
        <v>0</v>
      </c>
      <c r="O155" s="18">
        <v>0.60000002384185791</v>
      </c>
      <c r="P155" s="19">
        <v>0.14051522806600888</v>
      </c>
      <c r="Q155" s="18">
        <v>0.30000001192092896</v>
      </c>
      <c r="R155" s="19">
        <v>7.0257614033004442E-2</v>
      </c>
      <c r="S155" s="18">
        <v>0.40000000596046448</v>
      </c>
      <c r="T155" s="19">
        <v>9.3676816384183723E-2</v>
      </c>
      <c r="U155" s="18">
        <v>2.9700000286102295</v>
      </c>
      <c r="V155" s="19">
        <v>0.69555035798834419</v>
      </c>
      <c r="W155">
        <f t="shared" si="28"/>
        <v>0.90000003576278687</v>
      </c>
      <c r="X155" s="19">
        <f t="shared" si="29"/>
        <v>0.21077284209901334</v>
      </c>
      <c r="Y155">
        <f t="shared" si="30"/>
        <v>3.370000034570694</v>
      </c>
      <c r="Z155" s="19">
        <f t="shared" si="31"/>
        <v>0.78922717437252798</v>
      </c>
      <c r="AA155" s="19">
        <f t="shared" si="32"/>
        <v>0.76932085132710548</v>
      </c>
      <c r="AB155" t="str">
        <f t="shared" si="33"/>
        <v>Rusak Berat Dominan</v>
      </c>
      <c r="AC155" s="19">
        <f>IF(Dashboard!$B$7="Mantap (%)",X155,IF(Dashboard!$B$7="Tidak Mantap (%)",Z155,IF(Dashboard!$B$7="Baik (%)",P155,IF(Dashboard!$B$7="Sedang (%)",R155,IF(Dashboard!$B$7="Rusak Ringan (%)",T155,IF(Dashboard!$B$7="Rusak Berat (%)",V155,AA155))))))</f>
        <v>0.78922717437252798</v>
      </c>
      <c r="AD155" s="20">
        <f>IF(AND(AF155=1,E155&gt;=Dashboard!$B$10,IF(Dashboard!$B$9="≤ Maksimum",AC155&lt;=Dashboard!$B$8,AC155&gt;=Dashboard!$B$8)),1,0)</f>
        <v>1</v>
      </c>
      <c r="AE155" s="20">
        <f>IF(AD155=1,COUNTIFS($AD$2:$AD$351,1,$AC$2:$AC$351,"&gt;"&amp;AC155)+COUNTIFS($AD$2:AD155,1,$AC$2:AC155,AC155),"")</f>
        <v>70</v>
      </c>
      <c r="AF155" s="20">
        <f>IF(OR(Dashboard!$B$6="Semua",ISNUMBER(SEARCH(Dashboard!$B$6,D155))),1,0)</f>
        <v>1</v>
      </c>
      <c r="AG155" s="18">
        <f t="shared" si="34"/>
        <v>4.2699999999999996</v>
      </c>
      <c r="AH155" s="18">
        <f t="shared" si="35"/>
        <v>0.90000003576278687</v>
      </c>
      <c r="AI155" s="18">
        <f t="shared" si="36"/>
        <v>3.370000034570694</v>
      </c>
      <c r="AJ155" s="18">
        <f t="shared" si="37"/>
        <v>2.9700000286102295</v>
      </c>
      <c r="AK155" s="20">
        <f>IF(OR(Ruas_Per_Kecamatan!$B$4="Semua",ISNUMBER(SEARCH(Ruas_Per_Kecamatan!$B$4,D155))),1,0)</f>
        <v>1</v>
      </c>
      <c r="AL155" s="20">
        <f>IF(AK155=1,COUNTIF($AK$2:AK155,1),"")</f>
        <v>154</v>
      </c>
      <c r="AM155" s="18">
        <f t="shared" si="38"/>
        <v>4.2699999999999996</v>
      </c>
      <c r="AN155" s="18">
        <f t="shared" si="39"/>
        <v>0.90000003576278687</v>
      </c>
      <c r="AO155" s="18">
        <f t="shared" si="40"/>
        <v>3.370000034570694</v>
      </c>
      <c r="AP155" s="18">
        <f t="shared" si="41"/>
        <v>2.9700000286102295</v>
      </c>
    </row>
    <row r="156" spans="1:42" x14ac:dyDescent="0.25">
      <c r="A156" s="17">
        <v>155</v>
      </c>
      <c r="B156" s="17" t="s">
        <v>604</v>
      </c>
      <c r="C156" s="21" t="s">
        <v>195</v>
      </c>
      <c r="D156" s="17" t="s">
        <v>172</v>
      </c>
      <c r="E156" s="18">
        <v>4.6500000000000004</v>
      </c>
      <c r="F156" s="18">
        <v>3</v>
      </c>
      <c r="G156" s="18">
        <v>0</v>
      </c>
      <c r="H156" s="18"/>
      <c r="I156" s="18">
        <v>2025</v>
      </c>
      <c r="J156" s="18">
        <v>0.60000002384185791</v>
      </c>
      <c r="K156" s="18">
        <v>0</v>
      </c>
      <c r="L156" s="18">
        <v>0.89999997615814209</v>
      </c>
      <c r="M156" s="18">
        <v>3.1500000953674316</v>
      </c>
      <c r="N156" s="18">
        <v>0</v>
      </c>
      <c r="O156" s="18">
        <v>0</v>
      </c>
      <c r="P156" s="19">
        <v>0</v>
      </c>
      <c r="Q156" s="18">
        <v>0</v>
      </c>
      <c r="R156" s="19">
        <v>0</v>
      </c>
      <c r="S156" s="18">
        <v>0.40000000596046448</v>
      </c>
      <c r="T156" s="19">
        <v>8.6021506658164396E-2</v>
      </c>
      <c r="U156" s="18">
        <v>4.2500001192092896</v>
      </c>
      <c r="V156" s="19">
        <v>0.91397852026006221</v>
      </c>
      <c r="W156">
        <f t="shared" si="28"/>
        <v>0</v>
      </c>
      <c r="X156" s="19">
        <f t="shared" si="29"/>
        <v>0</v>
      </c>
      <c r="Y156">
        <f t="shared" si="30"/>
        <v>4.650000125169754</v>
      </c>
      <c r="Z156" s="19">
        <f t="shared" si="31"/>
        <v>1.0000000269182265</v>
      </c>
      <c r="AA156" s="19">
        <f t="shared" si="32"/>
        <v>0.96559142425496081</v>
      </c>
      <c r="AB156" t="str">
        <f t="shared" si="33"/>
        <v>Rusak Berat Dominan</v>
      </c>
      <c r="AC156" s="19">
        <f>IF(Dashboard!$B$7="Mantap (%)",X156,IF(Dashboard!$B$7="Tidak Mantap (%)",Z156,IF(Dashboard!$B$7="Baik (%)",P156,IF(Dashboard!$B$7="Sedang (%)",R156,IF(Dashboard!$B$7="Rusak Ringan (%)",T156,IF(Dashboard!$B$7="Rusak Berat (%)",V156,AA156))))))</f>
        <v>1.0000000269182265</v>
      </c>
      <c r="AD156" s="20">
        <f>IF(AND(AF156=1,E156&gt;=Dashboard!$B$10,IF(Dashboard!$B$9="≤ Maksimum",AC156&lt;=Dashboard!$B$8,AC156&gt;=Dashboard!$B$8)),1,0)</f>
        <v>1</v>
      </c>
      <c r="AE156" s="20">
        <f>IF(AD156=1,COUNTIFS($AD$2:$AD$351,1,$AC$2:$AC$351,"&gt;"&amp;AC156)+COUNTIFS($AD$2:AD156,1,$AC$2:AC156,AC156),"")</f>
        <v>10</v>
      </c>
      <c r="AF156" s="20">
        <f>IF(OR(Dashboard!$B$6="Semua",ISNUMBER(SEARCH(Dashboard!$B$6,D156))),1,0)</f>
        <v>1</v>
      </c>
      <c r="AG156" s="18">
        <f t="shared" si="34"/>
        <v>4.6500000000000004</v>
      </c>
      <c r="AH156" s="18">
        <f t="shared" si="35"/>
        <v>0</v>
      </c>
      <c r="AI156" s="18">
        <f t="shared" si="36"/>
        <v>4.650000125169754</v>
      </c>
      <c r="AJ156" s="18">
        <f t="shared" si="37"/>
        <v>4.2500001192092896</v>
      </c>
      <c r="AK156" s="20">
        <f>IF(OR(Ruas_Per_Kecamatan!$B$4="Semua",ISNUMBER(SEARCH(Ruas_Per_Kecamatan!$B$4,D156))),1,0)</f>
        <v>1</v>
      </c>
      <c r="AL156" s="20">
        <f>IF(AK156=1,COUNTIF($AK$2:AK156,1),"")</f>
        <v>155</v>
      </c>
      <c r="AM156" s="18">
        <f t="shared" si="38"/>
        <v>4.6500000000000004</v>
      </c>
      <c r="AN156" s="18">
        <f t="shared" si="39"/>
        <v>0</v>
      </c>
      <c r="AO156" s="18">
        <f t="shared" si="40"/>
        <v>4.650000125169754</v>
      </c>
      <c r="AP156" s="18">
        <f t="shared" si="41"/>
        <v>4.2500001192092896</v>
      </c>
    </row>
    <row r="157" spans="1:42" x14ac:dyDescent="0.25">
      <c r="A157" s="17">
        <v>156</v>
      </c>
      <c r="B157" s="17" t="s">
        <v>605</v>
      </c>
      <c r="C157" s="21" t="s">
        <v>196</v>
      </c>
      <c r="D157" s="17" t="s">
        <v>172</v>
      </c>
      <c r="E157" s="18">
        <v>4.88</v>
      </c>
      <c r="F157" s="18">
        <v>3.2799999713897705</v>
      </c>
      <c r="G157" s="18">
        <v>0</v>
      </c>
      <c r="H157" s="18"/>
      <c r="I157" s="18">
        <v>2025</v>
      </c>
      <c r="J157" s="18">
        <v>0</v>
      </c>
      <c r="K157" s="18">
        <v>0</v>
      </c>
      <c r="L157" s="18">
        <v>0.98000001907348633</v>
      </c>
      <c r="M157" s="18">
        <v>0</v>
      </c>
      <c r="N157" s="18">
        <v>3.9000000953674316</v>
      </c>
      <c r="O157" s="18">
        <v>0</v>
      </c>
      <c r="P157" s="19">
        <v>0</v>
      </c>
      <c r="Q157" s="18">
        <v>0.98000001907348633</v>
      </c>
      <c r="R157" s="19">
        <v>0.20081967603964884</v>
      </c>
      <c r="S157" s="18">
        <v>0</v>
      </c>
      <c r="T157" s="19">
        <v>0</v>
      </c>
      <c r="U157" s="18">
        <v>3.9000000953674316</v>
      </c>
      <c r="V157" s="19">
        <v>0.79918034741135902</v>
      </c>
      <c r="W157">
        <f t="shared" si="28"/>
        <v>0.98000001907348633</v>
      </c>
      <c r="X157" s="19">
        <f t="shared" si="29"/>
        <v>0.20081967603964884</v>
      </c>
      <c r="Y157">
        <f t="shared" si="30"/>
        <v>3.9000000953674316</v>
      </c>
      <c r="Z157" s="19">
        <f t="shared" si="31"/>
        <v>0.79918034741135902</v>
      </c>
      <c r="AA157" s="19">
        <f t="shared" si="32"/>
        <v>0.84938526642127121</v>
      </c>
      <c r="AB157" t="str">
        <f t="shared" si="33"/>
        <v>Rusak Berat Dominan</v>
      </c>
      <c r="AC157" s="19">
        <f>IF(Dashboard!$B$7="Mantap (%)",X157,IF(Dashboard!$B$7="Tidak Mantap (%)",Z157,IF(Dashboard!$B$7="Baik (%)",P157,IF(Dashboard!$B$7="Sedang (%)",R157,IF(Dashboard!$B$7="Rusak Ringan (%)",T157,IF(Dashboard!$B$7="Rusak Berat (%)",V157,AA157))))))</f>
        <v>0.79918034741135902</v>
      </c>
      <c r="AD157" s="20">
        <f>IF(AND(AF157=1,E157&gt;=Dashboard!$B$10,IF(Dashboard!$B$9="≤ Maksimum",AC157&lt;=Dashboard!$B$8,AC157&gt;=Dashboard!$B$8)),1,0)</f>
        <v>1</v>
      </c>
      <c r="AE157" s="20">
        <f>IF(AD157=1,COUNTIFS($AD$2:$AD$351,1,$AC$2:$AC$351,"&gt;"&amp;AC157)+COUNTIFS($AD$2:AD157,1,$AC$2:AC157,AC157),"")</f>
        <v>68</v>
      </c>
      <c r="AF157" s="20">
        <f>IF(OR(Dashboard!$B$6="Semua",ISNUMBER(SEARCH(Dashboard!$B$6,D157))),1,0)</f>
        <v>1</v>
      </c>
      <c r="AG157" s="18">
        <f t="shared" si="34"/>
        <v>4.88</v>
      </c>
      <c r="AH157" s="18">
        <f t="shared" si="35"/>
        <v>0.98000001907348633</v>
      </c>
      <c r="AI157" s="18">
        <f t="shared" si="36"/>
        <v>3.9000000953674316</v>
      </c>
      <c r="AJ157" s="18">
        <f t="shared" si="37"/>
        <v>3.9000000953674316</v>
      </c>
      <c r="AK157" s="20">
        <f>IF(OR(Ruas_Per_Kecamatan!$B$4="Semua",ISNUMBER(SEARCH(Ruas_Per_Kecamatan!$B$4,D157))),1,0)</f>
        <v>1</v>
      </c>
      <c r="AL157" s="20">
        <f>IF(AK157=1,COUNTIF($AK$2:AK157,1),"")</f>
        <v>156</v>
      </c>
      <c r="AM157" s="18">
        <f t="shared" si="38"/>
        <v>4.88</v>
      </c>
      <c r="AN157" s="18">
        <f t="shared" si="39"/>
        <v>0.98000001907348633</v>
      </c>
      <c r="AO157" s="18">
        <f t="shared" si="40"/>
        <v>3.9000000953674316</v>
      </c>
      <c r="AP157" s="18">
        <f t="shared" si="41"/>
        <v>3.9000000953674316</v>
      </c>
    </row>
    <row r="158" spans="1:42" x14ac:dyDescent="0.25">
      <c r="A158" s="17">
        <v>157</v>
      </c>
      <c r="B158" s="17" t="s">
        <v>606</v>
      </c>
      <c r="C158" s="21" t="s">
        <v>197</v>
      </c>
      <c r="D158" s="17" t="s">
        <v>172</v>
      </c>
      <c r="E158" s="18">
        <v>4.57</v>
      </c>
      <c r="F158" s="18">
        <v>4</v>
      </c>
      <c r="G158" s="18">
        <v>0</v>
      </c>
      <c r="H158" s="18"/>
      <c r="I158" s="18">
        <v>2025</v>
      </c>
      <c r="J158" s="18">
        <v>0</v>
      </c>
      <c r="K158" s="18">
        <v>0</v>
      </c>
      <c r="L158" s="18">
        <v>0</v>
      </c>
      <c r="M158" s="18">
        <v>0</v>
      </c>
      <c r="N158" s="18">
        <v>4.570000171661377</v>
      </c>
      <c r="O158" s="18">
        <v>0</v>
      </c>
      <c r="P158" s="19">
        <v>0</v>
      </c>
      <c r="Q158" s="18">
        <v>0</v>
      </c>
      <c r="R158" s="19">
        <v>0</v>
      </c>
      <c r="S158" s="18">
        <v>0</v>
      </c>
      <c r="T158" s="19">
        <v>0</v>
      </c>
      <c r="U158" s="18">
        <v>4.570000171661377</v>
      </c>
      <c r="V158" s="19">
        <v>1.0000000375626645</v>
      </c>
      <c r="W158">
        <f t="shared" si="28"/>
        <v>0</v>
      </c>
      <c r="X158" s="19">
        <f t="shared" si="29"/>
        <v>0</v>
      </c>
      <c r="Y158">
        <f t="shared" si="30"/>
        <v>4.570000171661377</v>
      </c>
      <c r="Z158" s="19">
        <f t="shared" si="31"/>
        <v>1.0000000375626645</v>
      </c>
      <c r="AA158" s="19">
        <f t="shared" si="32"/>
        <v>1.0000000375626645</v>
      </c>
      <c r="AB158" t="str">
        <f t="shared" si="33"/>
        <v>Rusak Berat Dominan</v>
      </c>
      <c r="AC158" s="19">
        <f>IF(Dashboard!$B$7="Mantap (%)",X158,IF(Dashboard!$B$7="Tidak Mantap (%)",Z158,IF(Dashboard!$B$7="Baik (%)",P158,IF(Dashboard!$B$7="Sedang (%)",R158,IF(Dashboard!$B$7="Rusak Ringan (%)",T158,IF(Dashboard!$B$7="Rusak Berat (%)",V158,AA158))))))</f>
        <v>1.0000000375626645</v>
      </c>
      <c r="AD158" s="20">
        <f>IF(AND(AF158=1,E158&gt;=Dashboard!$B$10,IF(Dashboard!$B$9="≤ Maksimum",AC158&lt;=Dashboard!$B$8,AC158&gt;=Dashboard!$B$8)),1,0)</f>
        <v>1</v>
      </c>
      <c r="AE158" s="20">
        <f>IF(AD158=1,COUNTIFS($AD$2:$AD$351,1,$AC$2:$AC$351,"&gt;"&amp;AC158)+COUNTIFS($AD$2:AD158,1,$AC$2:AC158,AC158),"")</f>
        <v>6</v>
      </c>
      <c r="AF158" s="20">
        <f>IF(OR(Dashboard!$B$6="Semua",ISNUMBER(SEARCH(Dashboard!$B$6,D158))),1,0)</f>
        <v>1</v>
      </c>
      <c r="AG158" s="18">
        <f t="shared" si="34"/>
        <v>4.57</v>
      </c>
      <c r="AH158" s="18">
        <f t="shared" si="35"/>
        <v>0</v>
      </c>
      <c r="AI158" s="18">
        <f t="shared" si="36"/>
        <v>4.570000171661377</v>
      </c>
      <c r="AJ158" s="18">
        <f t="shared" si="37"/>
        <v>4.570000171661377</v>
      </c>
      <c r="AK158" s="20">
        <f>IF(OR(Ruas_Per_Kecamatan!$B$4="Semua",ISNUMBER(SEARCH(Ruas_Per_Kecamatan!$B$4,D158))),1,0)</f>
        <v>1</v>
      </c>
      <c r="AL158" s="20">
        <f>IF(AK158=1,COUNTIF($AK$2:AK158,1),"")</f>
        <v>157</v>
      </c>
      <c r="AM158" s="18">
        <f t="shared" si="38"/>
        <v>4.57</v>
      </c>
      <c r="AN158" s="18">
        <f t="shared" si="39"/>
        <v>0</v>
      </c>
      <c r="AO158" s="18">
        <f t="shared" si="40"/>
        <v>4.570000171661377</v>
      </c>
      <c r="AP158" s="18">
        <f t="shared" si="41"/>
        <v>4.570000171661377</v>
      </c>
    </row>
    <row r="159" spans="1:42" x14ac:dyDescent="0.25">
      <c r="A159" s="17">
        <v>158</v>
      </c>
      <c r="B159" s="17" t="s">
        <v>607</v>
      </c>
      <c r="C159" s="21" t="s">
        <v>198</v>
      </c>
      <c r="D159" s="17" t="s">
        <v>172</v>
      </c>
      <c r="E159" s="18">
        <v>2.35</v>
      </c>
      <c r="F159" s="18">
        <v>3.5</v>
      </c>
      <c r="G159" s="18">
        <v>0</v>
      </c>
      <c r="H159" s="18"/>
      <c r="I159" s="18">
        <v>2025</v>
      </c>
      <c r="J159" s="18">
        <v>2.3499999046325684</v>
      </c>
      <c r="K159" s="18">
        <v>0</v>
      </c>
      <c r="L159" s="18">
        <v>0</v>
      </c>
      <c r="M159" s="18">
        <v>0</v>
      </c>
      <c r="N159" s="18">
        <v>0</v>
      </c>
      <c r="O159" s="18">
        <v>0.10000000149011612</v>
      </c>
      <c r="P159" s="19">
        <v>4.2553192123453668E-2</v>
      </c>
      <c r="Q159" s="18">
        <v>1.1499999761581421</v>
      </c>
      <c r="R159" s="19">
        <v>0.4893616919821881</v>
      </c>
      <c r="S159" s="18">
        <v>1</v>
      </c>
      <c r="T159" s="19">
        <v>0.42553191489361702</v>
      </c>
      <c r="U159" s="18">
        <v>0.10000000149011612</v>
      </c>
      <c r="V159" s="19">
        <v>4.2553192123453668E-2</v>
      </c>
      <c r="W159">
        <f t="shared" si="28"/>
        <v>1.2499999776482582</v>
      </c>
      <c r="X159" s="19">
        <f t="shared" si="29"/>
        <v>0.53191488410564181</v>
      </c>
      <c r="Y159">
        <f t="shared" si="30"/>
        <v>1.1000000014901161</v>
      </c>
      <c r="Z159" s="19">
        <f t="shared" si="31"/>
        <v>0.46808510701707068</v>
      </c>
      <c r="AA159" s="19">
        <f t="shared" si="32"/>
        <v>0.42021276405517088</v>
      </c>
      <c r="AB159" t="str">
        <f t="shared" si="33"/>
        <v>Tidak Mantap Sedang</v>
      </c>
      <c r="AC159" s="19">
        <f>IF(Dashboard!$B$7="Mantap (%)",X159,IF(Dashboard!$B$7="Tidak Mantap (%)",Z159,IF(Dashboard!$B$7="Baik (%)",P159,IF(Dashboard!$B$7="Sedang (%)",R159,IF(Dashboard!$B$7="Rusak Ringan (%)",T159,IF(Dashboard!$B$7="Rusak Berat (%)",V159,AA159))))))</f>
        <v>0.46808510701707068</v>
      </c>
      <c r="AD159" s="20">
        <f>IF(AND(AF159=1,E159&gt;=Dashboard!$B$10,IF(Dashboard!$B$9="≤ Maksimum",AC159&lt;=Dashboard!$B$8,AC159&gt;=Dashboard!$B$8)),1,0)</f>
        <v>1</v>
      </c>
      <c r="AE159" s="20">
        <f>IF(AD159=1,COUNTIFS($AD$2:$AD$351,1,$AC$2:$AC$351,"&gt;"&amp;AC159)+COUNTIFS($AD$2:AD159,1,$AC$2:AC159,AC159),"")</f>
        <v>130</v>
      </c>
      <c r="AF159" s="20">
        <f>IF(OR(Dashboard!$B$6="Semua",ISNUMBER(SEARCH(Dashboard!$B$6,D159))),1,0)</f>
        <v>1</v>
      </c>
      <c r="AG159" s="18">
        <f t="shared" si="34"/>
        <v>2.35</v>
      </c>
      <c r="AH159" s="18">
        <f t="shared" si="35"/>
        <v>1.2499999776482582</v>
      </c>
      <c r="AI159" s="18">
        <f t="shared" si="36"/>
        <v>1.1000000014901161</v>
      </c>
      <c r="AJ159" s="18">
        <f t="shared" si="37"/>
        <v>0.10000000149011612</v>
      </c>
      <c r="AK159" s="20">
        <f>IF(OR(Ruas_Per_Kecamatan!$B$4="Semua",ISNUMBER(SEARCH(Ruas_Per_Kecamatan!$B$4,D159))),1,0)</f>
        <v>1</v>
      </c>
      <c r="AL159" s="20">
        <f>IF(AK159=1,COUNTIF($AK$2:AK159,1),"")</f>
        <v>158</v>
      </c>
      <c r="AM159" s="18">
        <f t="shared" si="38"/>
        <v>2.35</v>
      </c>
      <c r="AN159" s="18">
        <f t="shared" si="39"/>
        <v>1.2499999776482582</v>
      </c>
      <c r="AO159" s="18">
        <f t="shared" si="40"/>
        <v>1.1000000014901161</v>
      </c>
      <c r="AP159" s="18">
        <f t="shared" si="41"/>
        <v>0.10000000149011612</v>
      </c>
    </row>
    <row r="160" spans="1:42" x14ac:dyDescent="0.25">
      <c r="A160" s="17">
        <v>159</v>
      </c>
      <c r="B160" s="17" t="s">
        <v>608</v>
      </c>
      <c r="C160" s="21" t="s">
        <v>199</v>
      </c>
      <c r="D160" s="17" t="s">
        <v>172</v>
      </c>
      <c r="E160" s="18">
        <v>1.62</v>
      </c>
      <c r="F160" s="18">
        <v>3</v>
      </c>
      <c r="G160" s="18">
        <v>0</v>
      </c>
      <c r="H160" s="18"/>
      <c r="I160" s="18">
        <v>2025</v>
      </c>
      <c r="J160" s="18">
        <v>1.6200000047683716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9">
        <v>0</v>
      </c>
      <c r="Q160" s="18">
        <v>1.5</v>
      </c>
      <c r="R160" s="19">
        <v>0.92592592592592582</v>
      </c>
      <c r="S160" s="18">
        <v>0.11999999731779099</v>
      </c>
      <c r="T160" s="19">
        <v>7.4074072418389494E-2</v>
      </c>
      <c r="U160" s="18">
        <v>0</v>
      </c>
      <c r="V160" s="19">
        <v>0</v>
      </c>
      <c r="W160">
        <f t="shared" si="28"/>
        <v>1.5</v>
      </c>
      <c r="X160" s="19">
        <f t="shared" si="29"/>
        <v>0.92592592592592582</v>
      </c>
      <c r="Y160">
        <f t="shared" si="30"/>
        <v>0.11999999731779099</v>
      </c>
      <c r="Z160" s="19">
        <f t="shared" si="31"/>
        <v>7.4074072418389494E-2</v>
      </c>
      <c r="AA160" s="19">
        <f t="shared" si="32"/>
        <v>0.27592592493251517</v>
      </c>
      <c r="AB160" t="str">
        <f t="shared" si="33"/>
        <v>Relatif Mantap</v>
      </c>
      <c r="AC160" s="19">
        <f>IF(Dashboard!$B$7="Mantap (%)",X160,IF(Dashboard!$B$7="Tidak Mantap (%)",Z160,IF(Dashboard!$B$7="Baik (%)",P160,IF(Dashboard!$B$7="Sedang (%)",R160,IF(Dashboard!$B$7="Rusak Ringan (%)",T160,IF(Dashboard!$B$7="Rusak Berat (%)",V160,AA160))))))</f>
        <v>7.4074072418389494E-2</v>
      </c>
      <c r="AD160" s="20">
        <f>IF(AND(AF160=1,E160&gt;=Dashboard!$B$10,IF(Dashboard!$B$9="≤ Maksimum",AC160&lt;=Dashboard!$B$8,AC160&gt;=Dashboard!$B$8)),1,0)</f>
        <v>0</v>
      </c>
      <c r="AE160" s="20" t="str">
        <f>IF(AD160=1,COUNTIFS($AD$2:$AD$351,1,$AC$2:$AC$351,"&gt;"&amp;AC160)+COUNTIFS($AD$2:AD160,1,$AC$2:AC160,AC160),"")</f>
        <v/>
      </c>
      <c r="AF160" s="20">
        <f>IF(OR(Dashboard!$B$6="Semua",ISNUMBER(SEARCH(Dashboard!$B$6,D160))),1,0)</f>
        <v>1</v>
      </c>
      <c r="AG160" s="18">
        <f t="shared" si="34"/>
        <v>1.62</v>
      </c>
      <c r="AH160" s="18">
        <f t="shared" si="35"/>
        <v>1.5</v>
      </c>
      <c r="AI160" s="18">
        <f t="shared" si="36"/>
        <v>0.11999999731779099</v>
      </c>
      <c r="AJ160" s="18">
        <f t="shared" si="37"/>
        <v>0</v>
      </c>
      <c r="AK160" s="20">
        <f>IF(OR(Ruas_Per_Kecamatan!$B$4="Semua",ISNUMBER(SEARCH(Ruas_Per_Kecamatan!$B$4,D160))),1,0)</f>
        <v>1</v>
      </c>
      <c r="AL160" s="20">
        <f>IF(AK160=1,COUNTIF($AK$2:AK160,1),"")</f>
        <v>159</v>
      </c>
      <c r="AM160" s="18">
        <f t="shared" si="38"/>
        <v>1.62</v>
      </c>
      <c r="AN160" s="18">
        <f t="shared" si="39"/>
        <v>1.5</v>
      </c>
      <c r="AO160" s="18">
        <f t="shared" si="40"/>
        <v>0.11999999731779099</v>
      </c>
      <c r="AP160" s="18">
        <f t="shared" si="41"/>
        <v>0</v>
      </c>
    </row>
    <row r="161" spans="1:42" x14ac:dyDescent="0.25">
      <c r="A161" s="17">
        <v>160</v>
      </c>
      <c r="B161" s="17" t="s">
        <v>609</v>
      </c>
      <c r="C161" s="21" t="s">
        <v>200</v>
      </c>
      <c r="D161" s="17" t="s">
        <v>172</v>
      </c>
      <c r="E161" s="18">
        <v>0.47</v>
      </c>
      <c r="F161" s="18">
        <v>3</v>
      </c>
      <c r="G161" s="18">
        <v>0</v>
      </c>
      <c r="H161" s="18"/>
      <c r="I161" s="18">
        <v>2025</v>
      </c>
      <c r="J161" s="18">
        <v>0.4699999988079071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9">
        <v>0</v>
      </c>
      <c r="Q161" s="18">
        <v>0.4699999988079071</v>
      </c>
      <c r="R161" s="19">
        <v>0.99999999746363222</v>
      </c>
      <c r="S161" s="18">
        <v>0</v>
      </c>
      <c r="T161" s="19">
        <v>0</v>
      </c>
      <c r="U161" s="18">
        <v>0</v>
      </c>
      <c r="V161" s="19">
        <v>0</v>
      </c>
      <c r="W161">
        <f t="shared" si="28"/>
        <v>0.4699999988079071</v>
      </c>
      <c r="X161" s="19">
        <f t="shared" si="29"/>
        <v>0.99999999746363222</v>
      </c>
      <c r="Y161">
        <f t="shared" si="30"/>
        <v>0</v>
      </c>
      <c r="Z161" s="19">
        <f t="shared" si="31"/>
        <v>0</v>
      </c>
      <c r="AA161" s="19">
        <f t="shared" si="32"/>
        <v>0.24999999936590805</v>
      </c>
      <c r="AB161" t="str">
        <f t="shared" si="33"/>
        <v>Relatif Mantap</v>
      </c>
      <c r="AC161" s="19">
        <f>IF(Dashboard!$B$7="Mantap (%)",X161,IF(Dashboard!$B$7="Tidak Mantap (%)",Z161,IF(Dashboard!$B$7="Baik (%)",P161,IF(Dashboard!$B$7="Sedang (%)",R161,IF(Dashboard!$B$7="Rusak Ringan (%)",T161,IF(Dashboard!$B$7="Rusak Berat (%)",V161,AA161))))))</f>
        <v>0</v>
      </c>
      <c r="AD161" s="20">
        <f>IF(AND(AF161=1,E161&gt;=Dashboard!$B$10,IF(Dashboard!$B$9="≤ Maksimum",AC161&lt;=Dashboard!$B$8,AC161&gt;=Dashboard!$B$8)),1,0)</f>
        <v>0</v>
      </c>
      <c r="AE161" s="20" t="str">
        <f>IF(AD161=1,COUNTIFS($AD$2:$AD$351,1,$AC$2:$AC$351,"&gt;"&amp;AC161)+COUNTIFS($AD$2:AD161,1,$AC$2:AC161,AC161),"")</f>
        <v/>
      </c>
      <c r="AF161" s="20">
        <f>IF(OR(Dashboard!$B$6="Semua",ISNUMBER(SEARCH(Dashboard!$B$6,D161))),1,0)</f>
        <v>1</v>
      </c>
      <c r="AG161" s="18">
        <f t="shared" si="34"/>
        <v>0.47</v>
      </c>
      <c r="AH161" s="18">
        <f t="shared" si="35"/>
        <v>0.4699999988079071</v>
      </c>
      <c r="AI161" s="18">
        <f t="shared" si="36"/>
        <v>0</v>
      </c>
      <c r="AJ161" s="18">
        <f t="shared" si="37"/>
        <v>0</v>
      </c>
      <c r="AK161" s="20">
        <f>IF(OR(Ruas_Per_Kecamatan!$B$4="Semua",ISNUMBER(SEARCH(Ruas_Per_Kecamatan!$B$4,D161))),1,0)</f>
        <v>1</v>
      </c>
      <c r="AL161" s="20">
        <f>IF(AK161=1,COUNTIF($AK$2:AK161,1),"")</f>
        <v>160</v>
      </c>
      <c r="AM161" s="18">
        <f t="shared" si="38"/>
        <v>0.47</v>
      </c>
      <c r="AN161" s="18">
        <f t="shared" si="39"/>
        <v>0.4699999988079071</v>
      </c>
      <c r="AO161" s="18">
        <f t="shared" si="40"/>
        <v>0</v>
      </c>
      <c r="AP161" s="18">
        <f t="shared" si="41"/>
        <v>0</v>
      </c>
    </row>
    <row r="162" spans="1:42" ht="30" x14ac:dyDescent="0.25">
      <c r="A162" s="17">
        <v>161</v>
      </c>
      <c r="B162" s="17" t="s">
        <v>610</v>
      </c>
      <c r="C162" s="21" t="s">
        <v>201</v>
      </c>
      <c r="D162" s="17" t="s">
        <v>172</v>
      </c>
      <c r="E162" s="18">
        <v>2.23</v>
      </c>
      <c r="F162" s="18">
        <v>3</v>
      </c>
      <c r="G162" s="18">
        <v>0</v>
      </c>
      <c r="H162" s="18"/>
      <c r="I162" s="18">
        <v>2025</v>
      </c>
      <c r="J162" s="18">
        <v>2.2300000190734863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9">
        <v>0</v>
      </c>
      <c r="Q162" s="18">
        <v>1.9299999475479126</v>
      </c>
      <c r="R162" s="19">
        <v>0.86547082849682178</v>
      </c>
      <c r="S162" s="18">
        <v>0.30000001192092896</v>
      </c>
      <c r="T162" s="19">
        <v>0.13452915332777082</v>
      </c>
      <c r="U162" s="18">
        <v>0</v>
      </c>
      <c r="V162" s="19">
        <v>0</v>
      </c>
      <c r="W162">
        <f t="shared" si="28"/>
        <v>1.9299999475479126</v>
      </c>
      <c r="X162" s="19">
        <f t="shared" si="29"/>
        <v>0.86547082849682178</v>
      </c>
      <c r="Y162">
        <f t="shared" si="30"/>
        <v>0.30000001192092896</v>
      </c>
      <c r="Z162" s="19">
        <f t="shared" si="31"/>
        <v>0.13452915332777082</v>
      </c>
      <c r="AA162" s="19">
        <f t="shared" si="32"/>
        <v>0.29708519912086795</v>
      </c>
      <c r="AB162" t="str">
        <f t="shared" si="33"/>
        <v>Relatif Mantap</v>
      </c>
      <c r="AC162" s="19">
        <f>IF(Dashboard!$B$7="Mantap (%)",X162,IF(Dashboard!$B$7="Tidak Mantap (%)",Z162,IF(Dashboard!$B$7="Baik (%)",P162,IF(Dashboard!$B$7="Sedang (%)",R162,IF(Dashboard!$B$7="Rusak Ringan (%)",T162,IF(Dashboard!$B$7="Rusak Berat (%)",V162,AA162))))))</f>
        <v>0.13452915332777082</v>
      </c>
      <c r="AD162" s="20">
        <f>IF(AND(AF162=1,E162&gt;=Dashboard!$B$10,IF(Dashboard!$B$9="≤ Maksimum",AC162&lt;=Dashboard!$B$8,AC162&gt;=Dashboard!$B$8)),1,0)</f>
        <v>0</v>
      </c>
      <c r="AE162" s="20" t="str">
        <f>IF(AD162=1,COUNTIFS($AD$2:$AD$351,1,$AC$2:$AC$351,"&gt;"&amp;AC162)+COUNTIFS($AD$2:AD162,1,$AC$2:AC162,AC162),"")</f>
        <v/>
      </c>
      <c r="AF162" s="20">
        <f>IF(OR(Dashboard!$B$6="Semua",ISNUMBER(SEARCH(Dashboard!$B$6,D162))),1,0)</f>
        <v>1</v>
      </c>
      <c r="AG162" s="18">
        <f t="shared" si="34"/>
        <v>2.23</v>
      </c>
      <c r="AH162" s="18">
        <f t="shared" si="35"/>
        <v>1.9299999475479126</v>
      </c>
      <c r="AI162" s="18">
        <f t="shared" si="36"/>
        <v>0.30000001192092896</v>
      </c>
      <c r="AJ162" s="18">
        <f t="shared" si="37"/>
        <v>0</v>
      </c>
      <c r="AK162" s="20">
        <f>IF(OR(Ruas_Per_Kecamatan!$B$4="Semua",ISNUMBER(SEARCH(Ruas_Per_Kecamatan!$B$4,D162))),1,0)</f>
        <v>1</v>
      </c>
      <c r="AL162" s="20">
        <f>IF(AK162=1,COUNTIF($AK$2:AK162,1),"")</f>
        <v>161</v>
      </c>
      <c r="AM162" s="18">
        <f t="shared" si="38"/>
        <v>2.23</v>
      </c>
      <c r="AN162" s="18">
        <f t="shared" si="39"/>
        <v>1.9299999475479126</v>
      </c>
      <c r="AO162" s="18">
        <f t="shared" si="40"/>
        <v>0.30000001192092896</v>
      </c>
      <c r="AP162" s="18">
        <f t="shared" si="41"/>
        <v>0</v>
      </c>
    </row>
    <row r="163" spans="1:42" x14ac:dyDescent="0.25">
      <c r="A163" s="17">
        <v>162</v>
      </c>
      <c r="B163" s="17" t="s">
        <v>611</v>
      </c>
      <c r="C163" s="21" t="s">
        <v>202</v>
      </c>
      <c r="D163" s="17" t="s">
        <v>172</v>
      </c>
      <c r="E163" s="18">
        <v>2.36</v>
      </c>
      <c r="F163" s="18">
        <v>3.5</v>
      </c>
      <c r="G163" s="18">
        <v>0</v>
      </c>
      <c r="H163" s="18"/>
      <c r="I163" s="18">
        <v>2025</v>
      </c>
      <c r="J163" s="18">
        <v>2.3599998950958252</v>
      </c>
      <c r="K163" s="18">
        <v>0</v>
      </c>
      <c r="L163" s="18">
        <v>0</v>
      </c>
      <c r="M163" s="18">
        <v>0</v>
      </c>
      <c r="N163" s="18">
        <v>0</v>
      </c>
      <c r="O163" s="18">
        <v>2.059999942779541</v>
      </c>
      <c r="P163" s="19">
        <v>0.87288133168624626</v>
      </c>
      <c r="Q163" s="18">
        <v>0.30000001192092896</v>
      </c>
      <c r="R163" s="19">
        <v>0.1271186491190377</v>
      </c>
      <c r="S163" s="18">
        <v>0</v>
      </c>
      <c r="T163" s="19">
        <v>0</v>
      </c>
      <c r="U163" s="18">
        <v>0</v>
      </c>
      <c r="V163" s="19">
        <v>0</v>
      </c>
      <c r="W163">
        <f t="shared" si="28"/>
        <v>2.35999995470047</v>
      </c>
      <c r="X163" s="19">
        <f t="shared" si="29"/>
        <v>0.99999998080528396</v>
      </c>
      <c r="Y163">
        <f t="shared" si="30"/>
        <v>0</v>
      </c>
      <c r="Z163" s="19">
        <f t="shared" si="31"/>
        <v>0</v>
      </c>
      <c r="AA163" s="19">
        <f t="shared" si="32"/>
        <v>3.1779662279759424E-2</v>
      </c>
      <c r="AB163" t="str">
        <f t="shared" si="33"/>
        <v>Relatif Mantap</v>
      </c>
      <c r="AC163" s="19">
        <f>IF(Dashboard!$B$7="Mantap (%)",X163,IF(Dashboard!$B$7="Tidak Mantap (%)",Z163,IF(Dashboard!$B$7="Baik (%)",P163,IF(Dashboard!$B$7="Sedang (%)",R163,IF(Dashboard!$B$7="Rusak Ringan (%)",T163,IF(Dashboard!$B$7="Rusak Berat (%)",V163,AA163))))))</f>
        <v>0</v>
      </c>
      <c r="AD163" s="20">
        <f>IF(AND(AF163=1,E163&gt;=Dashboard!$B$10,IF(Dashboard!$B$9="≤ Maksimum",AC163&lt;=Dashboard!$B$8,AC163&gt;=Dashboard!$B$8)),1,0)</f>
        <v>0</v>
      </c>
      <c r="AE163" s="20" t="str">
        <f>IF(AD163=1,COUNTIFS($AD$2:$AD$351,1,$AC$2:$AC$351,"&gt;"&amp;AC163)+COUNTIFS($AD$2:AD163,1,$AC$2:AC163,AC163),"")</f>
        <v/>
      </c>
      <c r="AF163" s="20">
        <f>IF(OR(Dashboard!$B$6="Semua",ISNUMBER(SEARCH(Dashboard!$B$6,D163))),1,0)</f>
        <v>1</v>
      </c>
      <c r="AG163" s="18">
        <f t="shared" si="34"/>
        <v>2.36</v>
      </c>
      <c r="AH163" s="18">
        <f t="shared" si="35"/>
        <v>2.35999995470047</v>
      </c>
      <c r="AI163" s="18">
        <f t="shared" si="36"/>
        <v>0</v>
      </c>
      <c r="AJ163" s="18">
        <f t="shared" si="37"/>
        <v>0</v>
      </c>
      <c r="AK163" s="20">
        <f>IF(OR(Ruas_Per_Kecamatan!$B$4="Semua",ISNUMBER(SEARCH(Ruas_Per_Kecamatan!$B$4,D163))),1,0)</f>
        <v>1</v>
      </c>
      <c r="AL163" s="20">
        <f>IF(AK163=1,COUNTIF($AK$2:AK163,1),"")</f>
        <v>162</v>
      </c>
      <c r="AM163" s="18">
        <f t="shared" si="38"/>
        <v>2.36</v>
      </c>
      <c r="AN163" s="18">
        <f t="shared" si="39"/>
        <v>2.35999995470047</v>
      </c>
      <c r="AO163" s="18">
        <f t="shared" si="40"/>
        <v>0</v>
      </c>
      <c r="AP163" s="18">
        <f t="shared" si="41"/>
        <v>0</v>
      </c>
    </row>
    <row r="164" spans="1:42" x14ac:dyDescent="0.25">
      <c r="A164" s="17">
        <v>163</v>
      </c>
      <c r="B164" s="17" t="s">
        <v>612</v>
      </c>
      <c r="C164" s="21" t="s">
        <v>203</v>
      </c>
      <c r="D164" s="17" t="s">
        <v>172</v>
      </c>
      <c r="E164" s="18">
        <v>0.45</v>
      </c>
      <c r="F164" s="18">
        <v>3</v>
      </c>
      <c r="G164" s="18">
        <v>0</v>
      </c>
      <c r="H164" s="18"/>
      <c r="I164" s="18">
        <v>2025</v>
      </c>
      <c r="J164" s="18">
        <v>0.44999998807907104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9">
        <v>0</v>
      </c>
      <c r="Q164" s="18">
        <v>0.34999999403953552</v>
      </c>
      <c r="R164" s="19">
        <v>0.77777776453230119</v>
      </c>
      <c r="S164" s="18">
        <v>0.10000000149011612</v>
      </c>
      <c r="T164" s="19">
        <v>0.22222222553359136</v>
      </c>
      <c r="U164" s="18">
        <v>0</v>
      </c>
      <c r="V164" s="19">
        <v>0</v>
      </c>
      <c r="W164">
        <f t="shared" si="28"/>
        <v>0.34999999403953552</v>
      </c>
      <c r="X164" s="19">
        <f t="shared" si="29"/>
        <v>0.77777776453230119</v>
      </c>
      <c r="Y164">
        <f t="shared" si="30"/>
        <v>0.10000000149011612</v>
      </c>
      <c r="Z164" s="19">
        <f t="shared" si="31"/>
        <v>0.22222222553359136</v>
      </c>
      <c r="AA164" s="19">
        <f t="shared" si="32"/>
        <v>0.32777777645323014</v>
      </c>
      <c r="AB164" t="str">
        <f t="shared" si="33"/>
        <v>Tidak Mantap Sedang</v>
      </c>
      <c r="AC164" s="19">
        <f>IF(Dashboard!$B$7="Mantap (%)",X164,IF(Dashboard!$B$7="Tidak Mantap (%)",Z164,IF(Dashboard!$B$7="Baik (%)",P164,IF(Dashboard!$B$7="Sedang (%)",R164,IF(Dashboard!$B$7="Rusak Ringan (%)",T164,IF(Dashboard!$B$7="Rusak Berat (%)",V164,AA164))))))</f>
        <v>0.22222222553359136</v>
      </c>
      <c r="AD164" s="20">
        <f>IF(AND(AF164=1,E164&gt;=Dashboard!$B$10,IF(Dashboard!$B$9="≤ Maksimum",AC164&lt;=Dashboard!$B$8,AC164&gt;=Dashboard!$B$8)),1,0)</f>
        <v>1</v>
      </c>
      <c r="AE164" s="20">
        <f>IF(AD164=1,COUNTIFS($AD$2:$AD$351,1,$AC$2:$AC$351,"&gt;"&amp;AC164)+COUNTIFS($AD$2:AD164,1,$AC$2:AC164,AC164),"")</f>
        <v>184</v>
      </c>
      <c r="AF164" s="20">
        <f>IF(OR(Dashboard!$B$6="Semua",ISNUMBER(SEARCH(Dashboard!$B$6,D164))),1,0)</f>
        <v>1</v>
      </c>
      <c r="AG164" s="18">
        <f t="shared" si="34"/>
        <v>0.45</v>
      </c>
      <c r="AH164" s="18">
        <f t="shared" si="35"/>
        <v>0.34999999403953552</v>
      </c>
      <c r="AI164" s="18">
        <f t="shared" si="36"/>
        <v>0.10000000149011612</v>
      </c>
      <c r="AJ164" s="18">
        <f t="shared" si="37"/>
        <v>0</v>
      </c>
      <c r="AK164" s="20">
        <f>IF(OR(Ruas_Per_Kecamatan!$B$4="Semua",ISNUMBER(SEARCH(Ruas_Per_Kecamatan!$B$4,D164))),1,0)</f>
        <v>1</v>
      </c>
      <c r="AL164" s="20">
        <f>IF(AK164=1,COUNTIF($AK$2:AK164,1),"")</f>
        <v>163</v>
      </c>
      <c r="AM164" s="18">
        <f t="shared" si="38"/>
        <v>0.45</v>
      </c>
      <c r="AN164" s="18">
        <f t="shared" si="39"/>
        <v>0.34999999403953552</v>
      </c>
      <c r="AO164" s="18">
        <f t="shared" si="40"/>
        <v>0.10000000149011612</v>
      </c>
      <c r="AP164" s="18">
        <f t="shared" si="41"/>
        <v>0</v>
      </c>
    </row>
    <row r="165" spans="1:42" x14ac:dyDescent="0.25">
      <c r="A165" s="17">
        <v>164</v>
      </c>
      <c r="B165" s="17" t="s">
        <v>613</v>
      </c>
      <c r="C165" s="21" t="s">
        <v>204</v>
      </c>
      <c r="D165" s="17" t="s">
        <v>172</v>
      </c>
      <c r="E165" s="18">
        <v>0.24</v>
      </c>
      <c r="F165" s="18">
        <v>3</v>
      </c>
      <c r="G165" s="18">
        <v>0</v>
      </c>
      <c r="H165" s="18"/>
      <c r="I165" s="18">
        <v>2025</v>
      </c>
      <c r="J165" s="18">
        <v>0.23999999463558197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9">
        <v>0</v>
      </c>
      <c r="Q165" s="18">
        <v>0.14000000059604645</v>
      </c>
      <c r="R165" s="19">
        <v>0.5833333358168602</v>
      </c>
      <c r="S165" s="18">
        <v>0.10000000149011612</v>
      </c>
      <c r="T165" s="19">
        <v>0.41666667287548387</v>
      </c>
      <c r="U165" s="18">
        <v>0</v>
      </c>
      <c r="V165" s="19">
        <v>0</v>
      </c>
      <c r="W165">
        <f t="shared" si="28"/>
        <v>0.14000000059604645</v>
      </c>
      <c r="X165" s="19">
        <f t="shared" si="29"/>
        <v>0.5833333358168602</v>
      </c>
      <c r="Y165">
        <f t="shared" si="30"/>
        <v>0.10000000149011612</v>
      </c>
      <c r="Z165" s="19">
        <f t="shared" si="31"/>
        <v>0.41666667287548387</v>
      </c>
      <c r="AA165" s="19">
        <f t="shared" si="32"/>
        <v>0.39583333767950535</v>
      </c>
      <c r="AB165" t="str">
        <f t="shared" si="33"/>
        <v>Tidak Mantap Sedang</v>
      </c>
      <c r="AC165" s="19">
        <f>IF(Dashboard!$B$7="Mantap (%)",X165,IF(Dashboard!$B$7="Tidak Mantap (%)",Z165,IF(Dashboard!$B$7="Baik (%)",P165,IF(Dashboard!$B$7="Sedang (%)",R165,IF(Dashboard!$B$7="Rusak Ringan (%)",T165,IF(Dashboard!$B$7="Rusak Berat (%)",V165,AA165))))))</f>
        <v>0.41666667287548387</v>
      </c>
      <c r="AD165" s="20">
        <f>IF(AND(AF165=1,E165&gt;=Dashboard!$B$10,IF(Dashboard!$B$9="≤ Maksimum",AC165&lt;=Dashboard!$B$8,AC165&gt;=Dashboard!$B$8)),1,0)</f>
        <v>1</v>
      </c>
      <c r="AE165" s="20">
        <f>IF(AD165=1,COUNTIFS($AD$2:$AD$351,1,$AC$2:$AC$351,"&gt;"&amp;AC165)+COUNTIFS($AD$2:AD165,1,$AC$2:AC165,AC165),"")</f>
        <v>146</v>
      </c>
      <c r="AF165" s="20">
        <f>IF(OR(Dashboard!$B$6="Semua",ISNUMBER(SEARCH(Dashboard!$B$6,D165))),1,0)</f>
        <v>1</v>
      </c>
      <c r="AG165" s="18">
        <f t="shared" si="34"/>
        <v>0.24</v>
      </c>
      <c r="AH165" s="18">
        <f t="shared" si="35"/>
        <v>0.14000000059604645</v>
      </c>
      <c r="AI165" s="18">
        <f t="shared" si="36"/>
        <v>0.10000000149011612</v>
      </c>
      <c r="AJ165" s="18">
        <f t="shared" si="37"/>
        <v>0</v>
      </c>
      <c r="AK165" s="20">
        <f>IF(OR(Ruas_Per_Kecamatan!$B$4="Semua",ISNUMBER(SEARCH(Ruas_Per_Kecamatan!$B$4,D165))),1,0)</f>
        <v>1</v>
      </c>
      <c r="AL165" s="20">
        <f>IF(AK165=1,COUNTIF($AK$2:AK165,1),"")</f>
        <v>164</v>
      </c>
      <c r="AM165" s="18">
        <f t="shared" si="38"/>
        <v>0.24</v>
      </c>
      <c r="AN165" s="18">
        <f t="shared" si="39"/>
        <v>0.14000000059604645</v>
      </c>
      <c r="AO165" s="18">
        <f t="shared" si="40"/>
        <v>0.10000000149011612</v>
      </c>
      <c r="AP165" s="18">
        <f t="shared" si="41"/>
        <v>0</v>
      </c>
    </row>
    <row r="166" spans="1:42" x14ac:dyDescent="0.25">
      <c r="A166" s="17">
        <v>165</v>
      </c>
      <c r="B166" s="17" t="s">
        <v>614</v>
      </c>
      <c r="C166" s="21" t="s">
        <v>205</v>
      </c>
      <c r="D166" s="17" t="s">
        <v>206</v>
      </c>
      <c r="E166" s="18">
        <v>4</v>
      </c>
      <c r="F166" s="18">
        <v>2</v>
      </c>
      <c r="G166" s="18">
        <v>0</v>
      </c>
      <c r="H166" s="18"/>
      <c r="I166" s="18">
        <v>2025</v>
      </c>
      <c r="J166" s="18">
        <v>0</v>
      </c>
      <c r="K166" s="18">
        <v>0</v>
      </c>
      <c r="L166" s="18">
        <v>0.70000001788139343</v>
      </c>
      <c r="M166" s="18">
        <v>0</v>
      </c>
      <c r="N166" s="18">
        <v>3.2999999523162842</v>
      </c>
      <c r="O166" s="18">
        <v>0</v>
      </c>
      <c r="P166" s="19">
        <v>0</v>
      </c>
      <c r="Q166" s="18">
        <v>0.30000001192092896</v>
      </c>
      <c r="R166" s="19">
        <v>7.5000002980232239E-2</v>
      </c>
      <c r="S166" s="18">
        <v>0</v>
      </c>
      <c r="T166" s="19">
        <v>0</v>
      </c>
      <c r="U166" s="18">
        <v>3.6999999582767487</v>
      </c>
      <c r="V166" s="19">
        <v>0.92499998956918716</v>
      </c>
      <c r="W166">
        <f t="shared" si="28"/>
        <v>0.30000001192092896</v>
      </c>
      <c r="X166" s="19">
        <f t="shared" si="29"/>
        <v>7.5000002980232239E-2</v>
      </c>
      <c r="Y166">
        <f t="shared" si="30"/>
        <v>3.6999999582767487</v>
      </c>
      <c r="Z166" s="19">
        <f t="shared" si="31"/>
        <v>0.92499998956918716</v>
      </c>
      <c r="AA166" s="19">
        <f t="shared" si="32"/>
        <v>0.94374999031424522</v>
      </c>
      <c r="AB166" t="str">
        <f t="shared" si="33"/>
        <v>Rusak Berat Dominan</v>
      </c>
      <c r="AC166" s="19">
        <f>IF(Dashboard!$B$7="Mantap (%)",X166,IF(Dashboard!$B$7="Tidak Mantap (%)",Z166,IF(Dashboard!$B$7="Baik (%)",P166,IF(Dashboard!$B$7="Sedang (%)",R166,IF(Dashboard!$B$7="Rusak Ringan (%)",T166,IF(Dashboard!$B$7="Rusak Berat (%)",V166,AA166))))))</f>
        <v>0.92499998956918716</v>
      </c>
      <c r="AD166" s="20">
        <f>IF(AND(AF166=1,E166&gt;=Dashboard!$B$10,IF(Dashboard!$B$9="≤ Maksimum",AC166&lt;=Dashboard!$B$8,AC166&gt;=Dashboard!$B$8)),1,0)</f>
        <v>1</v>
      </c>
      <c r="AE166" s="20">
        <f>IF(AD166=1,COUNTIFS($AD$2:$AD$351,1,$AC$2:$AC$351,"&gt;"&amp;AC166)+COUNTIFS($AD$2:AD166,1,$AC$2:AC166,AC166),"")</f>
        <v>57</v>
      </c>
      <c r="AF166" s="20">
        <f>IF(OR(Dashboard!$B$6="Semua",ISNUMBER(SEARCH(Dashboard!$B$6,D166))),1,0)</f>
        <v>1</v>
      </c>
      <c r="AG166" s="18">
        <f t="shared" si="34"/>
        <v>4</v>
      </c>
      <c r="AH166" s="18">
        <f t="shared" si="35"/>
        <v>0.30000001192092896</v>
      </c>
      <c r="AI166" s="18">
        <f t="shared" si="36"/>
        <v>3.6999999582767487</v>
      </c>
      <c r="AJ166" s="18">
        <f t="shared" si="37"/>
        <v>3.6999999582767487</v>
      </c>
      <c r="AK166" s="20">
        <f>IF(OR(Ruas_Per_Kecamatan!$B$4="Semua",ISNUMBER(SEARCH(Ruas_Per_Kecamatan!$B$4,D166))),1,0)</f>
        <v>1</v>
      </c>
      <c r="AL166" s="20">
        <f>IF(AK166=1,COUNTIF($AK$2:AK166,1),"")</f>
        <v>165</v>
      </c>
      <c r="AM166" s="18">
        <f t="shared" si="38"/>
        <v>4</v>
      </c>
      <c r="AN166" s="18">
        <f t="shared" si="39"/>
        <v>0.30000001192092896</v>
      </c>
      <c r="AO166" s="18">
        <f t="shared" si="40"/>
        <v>3.6999999582767487</v>
      </c>
      <c r="AP166" s="18">
        <f t="shared" si="41"/>
        <v>3.6999999582767487</v>
      </c>
    </row>
    <row r="167" spans="1:42" x14ac:dyDescent="0.25">
      <c r="A167" s="17">
        <v>166</v>
      </c>
      <c r="B167" s="17" t="s">
        <v>615</v>
      </c>
      <c r="C167" s="21" t="s">
        <v>207</v>
      </c>
      <c r="D167" s="17" t="s">
        <v>172</v>
      </c>
      <c r="E167" s="18">
        <v>1.98</v>
      </c>
      <c r="F167" s="18">
        <v>1.5</v>
      </c>
      <c r="G167" s="18">
        <v>0</v>
      </c>
      <c r="H167" s="18"/>
      <c r="I167" s="18">
        <v>2025</v>
      </c>
      <c r="J167" s="18">
        <v>0</v>
      </c>
      <c r="K167" s="18">
        <v>0</v>
      </c>
      <c r="L167" s="18">
        <v>1.9800000190734863</v>
      </c>
      <c r="M167" s="18">
        <v>0</v>
      </c>
      <c r="N167" s="18">
        <v>0</v>
      </c>
      <c r="O167" s="18">
        <v>0</v>
      </c>
      <c r="P167" s="19">
        <v>0</v>
      </c>
      <c r="Q167" s="18">
        <v>0</v>
      </c>
      <c r="R167" s="19">
        <v>0</v>
      </c>
      <c r="S167" s="18">
        <v>0</v>
      </c>
      <c r="T167" s="19">
        <v>0</v>
      </c>
      <c r="U167" s="18">
        <v>1.9800000190734863</v>
      </c>
      <c r="V167" s="19">
        <v>1.0000000096330739</v>
      </c>
      <c r="W167">
        <f t="shared" si="28"/>
        <v>0</v>
      </c>
      <c r="X167" s="19">
        <f t="shared" si="29"/>
        <v>0</v>
      </c>
      <c r="Y167">
        <f t="shared" si="30"/>
        <v>1.9800000190734863</v>
      </c>
      <c r="Z167" s="19">
        <f t="shared" si="31"/>
        <v>1.0000000096330739</v>
      </c>
      <c r="AA167" s="19">
        <f t="shared" si="32"/>
        <v>1.0000000096330739</v>
      </c>
      <c r="AB167" t="str">
        <f t="shared" si="33"/>
        <v>Rusak Berat Dominan</v>
      </c>
      <c r="AC167" s="19">
        <f>IF(Dashboard!$B$7="Mantap (%)",X167,IF(Dashboard!$B$7="Tidak Mantap (%)",Z167,IF(Dashboard!$B$7="Baik (%)",P167,IF(Dashboard!$B$7="Sedang (%)",R167,IF(Dashboard!$B$7="Rusak Ringan (%)",T167,IF(Dashboard!$B$7="Rusak Berat (%)",V167,AA167))))))</f>
        <v>1.0000000096330739</v>
      </c>
      <c r="AD167" s="20">
        <f>IF(AND(AF167=1,E167&gt;=Dashboard!$B$10,IF(Dashboard!$B$9="≤ Maksimum",AC167&lt;=Dashboard!$B$8,AC167&gt;=Dashboard!$B$8)),1,0)</f>
        <v>1</v>
      </c>
      <c r="AE167" s="20">
        <f>IF(AD167=1,COUNTIFS($AD$2:$AD$351,1,$AC$2:$AC$351,"&gt;"&amp;AC167)+COUNTIFS($AD$2:AD167,1,$AC$2:AC167,AC167),"")</f>
        <v>21</v>
      </c>
      <c r="AF167" s="20">
        <f>IF(OR(Dashboard!$B$6="Semua",ISNUMBER(SEARCH(Dashboard!$B$6,D167))),1,0)</f>
        <v>1</v>
      </c>
      <c r="AG167" s="18">
        <f t="shared" si="34"/>
        <v>1.98</v>
      </c>
      <c r="AH167" s="18">
        <f t="shared" si="35"/>
        <v>0</v>
      </c>
      <c r="AI167" s="18">
        <f t="shared" si="36"/>
        <v>1.9800000190734863</v>
      </c>
      <c r="AJ167" s="18">
        <f t="shared" si="37"/>
        <v>1.9800000190734863</v>
      </c>
      <c r="AK167" s="20">
        <f>IF(OR(Ruas_Per_Kecamatan!$B$4="Semua",ISNUMBER(SEARCH(Ruas_Per_Kecamatan!$B$4,D167))),1,0)</f>
        <v>1</v>
      </c>
      <c r="AL167" s="20">
        <f>IF(AK167=1,COUNTIF($AK$2:AK167,1),"")</f>
        <v>166</v>
      </c>
      <c r="AM167" s="18">
        <f t="shared" si="38"/>
        <v>1.98</v>
      </c>
      <c r="AN167" s="18">
        <f t="shared" si="39"/>
        <v>0</v>
      </c>
      <c r="AO167" s="18">
        <f t="shared" si="40"/>
        <v>1.9800000190734863</v>
      </c>
      <c r="AP167" s="18">
        <f t="shared" si="41"/>
        <v>1.9800000190734863</v>
      </c>
    </row>
    <row r="168" spans="1:42" x14ac:dyDescent="0.25">
      <c r="A168" s="17">
        <v>167</v>
      </c>
      <c r="B168" s="17" t="s">
        <v>616</v>
      </c>
      <c r="C168" s="21" t="s">
        <v>208</v>
      </c>
      <c r="D168" s="17" t="s">
        <v>209</v>
      </c>
      <c r="E168" s="18">
        <v>3.03</v>
      </c>
      <c r="F168" s="18">
        <v>3.5</v>
      </c>
      <c r="G168" s="18">
        <v>0</v>
      </c>
      <c r="H168" s="18"/>
      <c r="I168" s="18">
        <v>2025</v>
      </c>
      <c r="J168" s="18">
        <v>3.0299999713897705</v>
      </c>
      <c r="K168" s="18">
        <v>0</v>
      </c>
      <c r="L168" s="18">
        <v>0</v>
      </c>
      <c r="M168" s="18">
        <v>0</v>
      </c>
      <c r="N168" s="18">
        <v>0</v>
      </c>
      <c r="O168" s="18">
        <v>1</v>
      </c>
      <c r="P168" s="19">
        <v>0.33003300330033003</v>
      </c>
      <c r="Q168" s="18">
        <v>1.1299999952316284</v>
      </c>
      <c r="R168" s="19">
        <v>0.37293729215565297</v>
      </c>
      <c r="S168" s="18">
        <v>0.89999997615814209</v>
      </c>
      <c r="T168" s="19">
        <v>0.29702969510169708</v>
      </c>
      <c r="U168" s="18">
        <v>0</v>
      </c>
      <c r="V168" s="19">
        <v>0</v>
      </c>
      <c r="W168">
        <f t="shared" si="28"/>
        <v>2.1299999952316284</v>
      </c>
      <c r="X168" s="19">
        <f t="shared" si="29"/>
        <v>0.702970295455983</v>
      </c>
      <c r="Y168">
        <f t="shared" si="30"/>
        <v>0.89999997615814209</v>
      </c>
      <c r="Z168" s="19">
        <f t="shared" si="31"/>
        <v>0.29702969510169708</v>
      </c>
      <c r="AA168" s="19">
        <f t="shared" si="32"/>
        <v>0.27145214009993146</v>
      </c>
      <c r="AB168" t="str">
        <f t="shared" si="33"/>
        <v>Tidak Mantap Sedang</v>
      </c>
      <c r="AC168" s="19">
        <f>IF(Dashboard!$B$7="Mantap (%)",X168,IF(Dashboard!$B$7="Tidak Mantap (%)",Z168,IF(Dashboard!$B$7="Baik (%)",P168,IF(Dashboard!$B$7="Sedang (%)",R168,IF(Dashboard!$B$7="Rusak Ringan (%)",T168,IF(Dashboard!$B$7="Rusak Berat (%)",V168,AA168))))))</f>
        <v>0.29702969510169708</v>
      </c>
      <c r="AD168" s="20">
        <f>IF(AND(AF168=1,E168&gt;=Dashboard!$B$10,IF(Dashboard!$B$9="≤ Maksimum",AC168&lt;=Dashboard!$B$8,AC168&gt;=Dashboard!$B$8)),1,0)</f>
        <v>1</v>
      </c>
      <c r="AE168" s="20">
        <f>IF(AD168=1,COUNTIFS($AD$2:$AD$351,1,$AC$2:$AC$351,"&gt;"&amp;AC168)+COUNTIFS($AD$2:AD168,1,$AC$2:AC168,AC168),"")</f>
        <v>169</v>
      </c>
      <c r="AF168" s="20">
        <f>IF(OR(Dashboard!$B$6="Semua",ISNUMBER(SEARCH(Dashboard!$B$6,D168))),1,0)</f>
        <v>1</v>
      </c>
      <c r="AG168" s="18">
        <f t="shared" si="34"/>
        <v>3.03</v>
      </c>
      <c r="AH168" s="18">
        <f t="shared" si="35"/>
        <v>2.1299999952316284</v>
      </c>
      <c r="AI168" s="18">
        <f t="shared" si="36"/>
        <v>0.89999997615814209</v>
      </c>
      <c r="AJ168" s="18">
        <f t="shared" si="37"/>
        <v>0</v>
      </c>
      <c r="AK168" s="20">
        <f>IF(OR(Ruas_Per_Kecamatan!$B$4="Semua",ISNUMBER(SEARCH(Ruas_Per_Kecamatan!$B$4,D168))),1,0)</f>
        <v>1</v>
      </c>
      <c r="AL168" s="20">
        <f>IF(AK168=1,COUNTIF($AK$2:AK168,1),"")</f>
        <v>167</v>
      </c>
      <c r="AM168" s="18">
        <f t="shared" si="38"/>
        <v>3.03</v>
      </c>
      <c r="AN168" s="18">
        <f t="shared" si="39"/>
        <v>2.1299999952316284</v>
      </c>
      <c r="AO168" s="18">
        <f t="shared" si="40"/>
        <v>0.89999997615814209</v>
      </c>
      <c r="AP168" s="18">
        <f t="shared" si="41"/>
        <v>0</v>
      </c>
    </row>
    <row r="169" spans="1:42" x14ac:dyDescent="0.25">
      <c r="A169" s="17">
        <v>168</v>
      </c>
      <c r="B169" s="17" t="s">
        <v>617</v>
      </c>
      <c r="C169" s="21" t="s">
        <v>210</v>
      </c>
      <c r="D169" s="17" t="s">
        <v>209</v>
      </c>
      <c r="E169" s="18">
        <v>1.1100000000000001</v>
      </c>
      <c r="F169" s="18">
        <v>3</v>
      </c>
      <c r="G169" s="18">
        <v>0</v>
      </c>
      <c r="H169" s="18"/>
      <c r="I169" s="18">
        <v>2025</v>
      </c>
      <c r="J169" s="18">
        <v>1.1100000143051147</v>
      </c>
      <c r="K169" s="18">
        <v>0</v>
      </c>
      <c r="L169" s="18">
        <v>0</v>
      </c>
      <c r="M169" s="18">
        <v>0</v>
      </c>
      <c r="N169" s="18">
        <v>0</v>
      </c>
      <c r="O169" s="18">
        <v>0.9100000262260437</v>
      </c>
      <c r="P169" s="19">
        <v>0.81981984344688619</v>
      </c>
      <c r="Q169" s="18">
        <v>0.20000000298023224</v>
      </c>
      <c r="R169" s="19">
        <v>0.18018018286507406</v>
      </c>
      <c r="S169" s="18">
        <v>0</v>
      </c>
      <c r="T169" s="19">
        <v>0</v>
      </c>
      <c r="U169" s="18">
        <v>0</v>
      </c>
      <c r="V169" s="19">
        <v>0</v>
      </c>
      <c r="W169">
        <f t="shared" si="28"/>
        <v>1.1100000292062759</v>
      </c>
      <c r="X169" s="19">
        <f t="shared" si="29"/>
        <v>1.0000000263119602</v>
      </c>
      <c r="Y169">
        <f t="shared" si="30"/>
        <v>0</v>
      </c>
      <c r="Z169" s="19">
        <f t="shared" si="31"/>
        <v>0</v>
      </c>
      <c r="AA169" s="19">
        <f t="shared" si="32"/>
        <v>4.5045045716268516E-2</v>
      </c>
      <c r="AB169" t="str">
        <f t="shared" si="33"/>
        <v>Relatif Mantap</v>
      </c>
      <c r="AC169" s="19">
        <f>IF(Dashboard!$B$7="Mantap (%)",X169,IF(Dashboard!$B$7="Tidak Mantap (%)",Z169,IF(Dashboard!$B$7="Baik (%)",P169,IF(Dashboard!$B$7="Sedang (%)",R169,IF(Dashboard!$B$7="Rusak Ringan (%)",T169,IF(Dashboard!$B$7="Rusak Berat (%)",V169,AA169))))))</f>
        <v>0</v>
      </c>
      <c r="AD169" s="20">
        <f>IF(AND(AF169=1,E169&gt;=Dashboard!$B$10,IF(Dashboard!$B$9="≤ Maksimum",AC169&lt;=Dashboard!$B$8,AC169&gt;=Dashboard!$B$8)),1,0)</f>
        <v>0</v>
      </c>
      <c r="AE169" s="20" t="str">
        <f>IF(AD169=1,COUNTIFS($AD$2:$AD$351,1,$AC$2:$AC$351,"&gt;"&amp;AC169)+COUNTIFS($AD$2:AD169,1,$AC$2:AC169,AC169),"")</f>
        <v/>
      </c>
      <c r="AF169" s="20">
        <f>IF(OR(Dashboard!$B$6="Semua",ISNUMBER(SEARCH(Dashboard!$B$6,D169))),1,0)</f>
        <v>1</v>
      </c>
      <c r="AG169" s="18">
        <f t="shared" si="34"/>
        <v>1.1100000000000001</v>
      </c>
      <c r="AH169" s="18">
        <f t="shared" si="35"/>
        <v>1.1100000292062759</v>
      </c>
      <c r="AI169" s="18">
        <f t="shared" si="36"/>
        <v>0</v>
      </c>
      <c r="AJ169" s="18">
        <f t="shared" si="37"/>
        <v>0</v>
      </c>
      <c r="AK169" s="20">
        <f>IF(OR(Ruas_Per_Kecamatan!$B$4="Semua",ISNUMBER(SEARCH(Ruas_Per_Kecamatan!$B$4,D169))),1,0)</f>
        <v>1</v>
      </c>
      <c r="AL169" s="20">
        <f>IF(AK169=1,COUNTIF($AK$2:AK169,1),"")</f>
        <v>168</v>
      </c>
      <c r="AM169" s="18">
        <f t="shared" si="38"/>
        <v>1.1100000000000001</v>
      </c>
      <c r="AN169" s="18">
        <f t="shared" si="39"/>
        <v>1.1100000292062759</v>
      </c>
      <c r="AO169" s="18">
        <f t="shared" si="40"/>
        <v>0</v>
      </c>
      <c r="AP169" s="18">
        <f t="shared" si="41"/>
        <v>0</v>
      </c>
    </row>
    <row r="170" spans="1:42" x14ac:dyDescent="0.25">
      <c r="A170" s="17">
        <v>169</v>
      </c>
      <c r="B170" s="17" t="s">
        <v>618</v>
      </c>
      <c r="C170" s="21" t="s">
        <v>211</v>
      </c>
      <c r="D170" s="17" t="s">
        <v>212</v>
      </c>
      <c r="E170" s="18">
        <v>4.57</v>
      </c>
      <c r="F170" s="18">
        <v>3.5</v>
      </c>
      <c r="G170" s="18">
        <v>0</v>
      </c>
      <c r="H170" s="18"/>
      <c r="I170" s="18">
        <v>2025</v>
      </c>
      <c r="J170" s="18">
        <v>4.570000171661377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9">
        <v>0</v>
      </c>
      <c r="Q170" s="18">
        <v>2.5699999332427979</v>
      </c>
      <c r="R170" s="19">
        <v>0.56236322390433213</v>
      </c>
      <c r="S170" s="18">
        <v>2</v>
      </c>
      <c r="T170" s="19">
        <v>0.43763676148796499</v>
      </c>
      <c r="U170" s="18">
        <v>0</v>
      </c>
      <c r="V170" s="19">
        <v>0</v>
      </c>
      <c r="W170">
        <f t="shared" si="28"/>
        <v>2.5699999332427979</v>
      </c>
      <c r="X170" s="19">
        <f t="shared" si="29"/>
        <v>0.56236322390433213</v>
      </c>
      <c r="Y170">
        <f t="shared" si="30"/>
        <v>2</v>
      </c>
      <c r="Z170" s="19">
        <f t="shared" si="31"/>
        <v>0.43763676148796499</v>
      </c>
      <c r="AA170" s="19">
        <f t="shared" si="32"/>
        <v>0.403172862868862</v>
      </c>
      <c r="AB170" t="str">
        <f t="shared" si="33"/>
        <v>Tidak Mantap Sedang</v>
      </c>
      <c r="AC170" s="19">
        <f>IF(Dashboard!$B$7="Mantap (%)",X170,IF(Dashboard!$B$7="Tidak Mantap (%)",Z170,IF(Dashboard!$B$7="Baik (%)",P170,IF(Dashboard!$B$7="Sedang (%)",R170,IF(Dashboard!$B$7="Rusak Ringan (%)",T170,IF(Dashboard!$B$7="Rusak Berat (%)",V170,AA170))))))</f>
        <v>0.43763676148796499</v>
      </c>
      <c r="AD170" s="20">
        <f>IF(AND(AF170=1,E170&gt;=Dashboard!$B$10,IF(Dashboard!$B$9="≤ Maksimum",AC170&lt;=Dashboard!$B$8,AC170&gt;=Dashboard!$B$8)),1,0)</f>
        <v>1</v>
      </c>
      <c r="AE170" s="20">
        <f>IF(AD170=1,COUNTIFS($AD$2:$AD$351,1,$AC$2:$AC$351,"&gt;"&amp;AC170)+COUNTIFS($AD$2:AD170,1,$AC$2:AC170,AC170),"")</f>
        <v>140</v>
      </c>
      <c r="AF170" s="20">
        <f>IF(OR(Dashboard!$B$6="Semua",ISNUMBER(SEARCH(Dashboard!$B$6,D170))),1,0)</f>
        <v>1</v>
      </c>
      <c r="AG170" s="18">
        <f t="shared" si="34"/>
        <v>4.57</v>
      </c>
      <c r="AH170" s="18">
        <f t="shared" si="35"/>
        <v>2.5699999332427979</v>
      </c>
      <c r="AI170" s="18">
        <f t="shared" si="36"/>
        <v>2</v>
      </c>
      <c r="AJ170" s="18">
        <f t="shared" si="37"/>
        <v>0</v>
      </c>
      <c r="AK170" s="20">
        <f>IF(OR(Ruas_Per_Kecamatan!$B$4="Semua",ISNUMBER(SEARCH(Ruas_Per_Kecamatan!$B$4,D170))),1,0)</f>
        <v>1</v>
      </c>
      <c r="AL170" s="20">
        <f>IF(AK170=1,COUNTIF($AK$2:AK170,1),"")</f>
        <v>169</v>
      </c>
      <c r="AM170" s="18">
        <f t="shared" si="38"/>
        <v>4.57</v>
      </c>
      <c r="AN170" s="18">
        <f t="shared" si="39"/>
        <v>2.5699999332427979</v>
      </c>
      <c r="AO170" s="18">
        <f t="shared" si="40"/>
        <v>2</v>
      </c>
      <c r="AP170" s="18">
        <f t="shared" si="41"/>
        <v>0</v>
      </c>
    </row>
    <row r="171" spans="1:42" x14ac:dyDescent="0.25">
      <c r="A171" s="17">
        <v>170</v>
      </c>
      <c r="B171" s="17" t="s">
        <v>619</v>
      </c>
      <c r="C171" s="21" t="s">
        <v>213</v>
      </c>
      <c r="D171" s="17" t="s">
        <v>212</v>
      </c>
      <c r="E171" s="18">
        <v>1.07</v>
      </c>
      <c r="F171" s="18">
        <v>3</v>
      </c>
      <c r="G171" s="18">
        <v>0</v>
      </c>
      <c r="H171" s="18"/>
      <c r="I171" s="18">
        <v>2025</v>
      </c>
      <c r="J171" s="18">
        <v>1.0700000524520874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9">
        <v>0</v>
      </c>
      <c r="Q171" s="18">
        <v>7.0000000298023224E-2</v>
      </c>
      <c r="R171" s="19">
        <v>6.5420561026189927E-2</v>
      </c>
      <c r="S171" s="18">
        <v>0.5</v>
      </c>
      <c r="T171" s="19">
        <v>0.46728971962616822</v>
      </c>
      <c r="U171" s="18">
        <v>0.5</v>
      </c>
      <c r="V171" s="19">
        <v>0.46728971962616822</v>
      </c>
      <c r="W171">
        <f t="shared" si="28"/>
        <v>7.0000000298023224E-2</v>
      </c>
      <c r="X171" s="19">
        <f t="shared" si="29"/>
        <v>6.5420561026189927E-2</v>
      </c>
      <c r="Y171">
        <f t="shared" si="30"/>
        <v>1</v>
      </c>
      <c r="Z171" s="19">
        <f t="shared" si="31"/>
        <v>0.93457943925233644</v>
      </c>
      <c r="AA171" s="19">
        <f t="shared" si="32"/>
        <v>0.76401869165841663</v>
      </c>
      <c r="AB171" t="str">
        <f t="shared" si="33"/>
        <v>Rusak Berat Dominan</v>
      </c>
      <c r="AC171" s="19">
        <f>IF(Dashboard!$B$7="Mantap (%)",X171,IF(Dashboard!$B$7="Tidak Mantap (%)",Z171,IF(Dashboard!$B$7="Baik (%)",P171,IF(Dashboard!$B$7="Sedang (%)",R171,IF(Dashboard!$B$7="Rusak Ringan (%)",T171,IF(Dashboard!$B$7="Rusak Berat (%)",V171,AA171))))))</f>
        <v>0.93457943925233644</v>
      </c>
      <c r="AD171" s="20">
        <f>IF(AND(AF171=1,E171&gt;=Dashboard!$B$10,IF(Dashboard!$B$9="≤ Maksimum",AC171&lt;=Dashboard!$B$8,AC171&gt;=Dashboard!$B$8)),1,0)</f>
        <v>1</v>
      </c>
      <c r="AE171" s="20">
        <f>IF(AD171=1,COUNTIFS($AD$2:$AD$351,1,$AC$2:$AC$351,"&gt;"&amp;AC171)+COUNTIFS($AD$2:AD171,1,$AC$2:AC171,AC171),"")</f>
        <v>55</v>
      </c>
      <c r="AF171" s="20">
        <f>IF(OR(Dashboard!$B$6="Semua",ISNUMBER(SEARCH(Dashboard!$B$6,D171))),1,0)</f>
        <v>1</v>
      </c>
      <c r="AG171" s="18">
        <f t="shared" si="34"/>
        <v>1.07</v>
      </c>
      <c r="AH171" s="18">
        <f t="shared" si="35"/>
        <v>7.0000000298023224E-2</v>
      </c>
      <c r="AI171" s="18">
        <f t="shared" si="36"/>
        <v>1</v>
      </c>
      <c r="AJ171" s="18">
        <f t="shared" si="37"/>
        <v>0.5</v>
      </c>
      <c r="AK171" s="20">
        <f>IF(OR(Ruas_Per_Kecamatan!$B$4="Semua",ISNUMBER(SEARCH(Ruas_Per_Kecamatan!$B$4,D171))),1,0)</f>
        <v>1</v>
      </c>
      <c r="AL171" s="20">
        <f>IF(AK171=1,COUNTIF($AK$2:AK171,1),"")</f>
        <v>170</v>
      </c>
      <c r="AM171" s="18">
        <f t="shared" si="38"/>
        <v>1.07</v>
      </c>
      <c r="AN171" s="18">
        <f t="shared" si="39"/>
        <v>7.0000000298023224E-2</v>
      </c>
      <c r="AO171" s="18">
        <f t="shared" si="40"/>
        <v>1</v>
      </c>
      <c r="AP171" s="18">
        <f t="shared" si="41"/>
        <v>0.5</v>
      </c>
    </row>
    <row r="172" spans="1:42" ht="30" x14ac:dyDescent="0.25">
      <c r="A172" s="17">
        <v>171</v>
      </c>
      <c r="B172" s="17" t="s">
        <v>620</v>
      </c>
      <c r="C172" s="21" t="s">
        <v>214</v>
      </c>
      <c r="D172" s="17" t="s">
        <v>215</v>
      </c>
      <c r="E172" s="18">
        <v>6.74</v>
      </c>
      <c r="F172" s="18">
        <v>3</v>
      </c>
      <c r="G172" s="18">
        <v>0</v>
      </c>
      <c r="H172" s="18"/>
      <c r="I172" s="18">
        <v>2025</v>
      </c>
      <c r="J172" s="18">
        <v>6.7399997711181641</v>
      </c>
      <c r="K172" s="18">
        <v>0</v>
      </c>
      <c r="L172" s="18">
        <v>0</v>
      </c>
      <c r="M172" s="18">
        <v>0</v>
      </c>
      <c r="N172" s="18">
        <v>0</v>
      </c>
      <c r="O172" s="18">
        <v>0.89999997615814209</v>
      </c>
      <c r="P172" s="19">
        <v>0.13353115373266203</v>
      </c>
      <c r="Q172" s="18">
        <v>2.1400001049041748</v>
      </c>
      <c r="R172" s="19">
        <v>0.31750743396204373</v>
      </c>
      <c r="S172" s="18">
        <v>2</v>
      </c>
      <c r="T172" s="19">
        <v>0.29673590504451036</v>
      </c>
      <c r="U172" s="18">
        <v>1.7000000476837158</v>
      </c>
      <c r="V172" s="19">
        <v>0.25222552636256912</v>
      </c>
      <c r="W172">
        <f t="shared" si="28"/>
        <v>3.0400000810623169</v>
      </c>
      <c r="X172" s="19">
        <f t="shared" si="29"/>
        <v>0.45103858769470578</v>
      </c>
      <c r="Y172">
        <f t="shared" si="30"/>
        <v>3.7000000476837158</v>
      </c>
      <c r="Z172" s="19">
        <f t="shared" si="31"/>
        <v>0.54896143140707954</v>
      </c>
      <c r="AA172" s="19">
        <f t="shared" si="32"/>
        <v>0.5096439278797863</v>
      </c>
      <c r="AB172" t="str">
        <f t="shared" si="33"/>
        <v>Rusak Berat Dominan</v>
      </c>
      <c r="AC172" s="19">
        <f>IF(Dashboard!$B$7="Mantap (%)",X172,IF(Dashboard!$B$7="Tidak Mantap (%)",Z172,IF(Dashboard!$B$7="Baik (%)",P172,IF(Dashboard!$B$7="Sedang (%)",R172,IF(Dashboard!$B$7="Rusak Ringan (%)",T172,IF(Dashboard!$B$7="Rusak Berat (%)",V172,AA172))))))</f>
        <v>0.54896143140707954</v>
      </c>
      <c r="AD172" s="20">
        <f>IF(AND(AF172=1,E172&gt;=Dashboard!$B$10,IF(Dashboard!$B$9="≤ Maksimum",AC172&lt;=Dashboard!$B$8,AC172&gt;=Dashboard!$B$8)),1,0)</f>
        <v>1</v>
      </c>
      <c r="AE172" s="20">
        <f>IF(AD172=1,COUNTIFS($AD$2:$AD$351,1,$AC$2:$AC$351,"&gt;"&amp;AC172)+COUNTIFS($AD$2:AD172,1,$AC$2:AC172,AC172),"")</f>
        <v>115</v>
      </c>
      <c r="AF172" s="20">
        <f>IF(OR(Dashboard!$B$6="Semua",ISNUMBER(SEARCH(Dashboard!$B$6,D172))),1,0)</f>
        <v>1</v>
      </c>
      <c r="AG172" s="18">
        <f t="shared" si="34"/>
        <v>6.74</v>
      </c>
      <c r="AH172" s="18">
        <f t="shared" si="35"/>
        <v>3.0400000810623169</v>
      </c>
      <c r="AI172" s="18">
        <f t="shared" si="36"/>
        <v>3.7000000476837158</v>
      </c>
      <c r="AJ172" s="18">
        <f t="shared" si="37"/>
        <v>1.7000000476837158</v>
      </c>
      <c r="AK172" s="20">
        <f>IF(OR(Ruas_Per_Kecamatan!$B$4="Semua",ISNUMBER(SEARCH(Ruas_Per_Kecamatan!$B$4,D172))),1,0)</f>
        <v>1</v>
      </c>
      <c r="AL172" s="20">
        <f>IF(AK172=1,COUNTIF($AK$2:AK172,1),"")</f>
        <v>171</v>
      </c>
      <c r="AM172" s="18">
        <f t="shared" si="38"/>
        <v>6.74</v>
      </c>
      <c r="AN172" s="18">
        <f t="shared" si="39"/>
        <v>3.0400000810623169</v>
      </c>
      <c r="AO172" s="18">
        <f t="shared" si="40"/>
        <v>3.7000000476837158</v>
      </c>
      <c r="AP172" s="18">
        <f t="shared" si="41"/>
        <v>1.7000000476837158</v>
      </c>
    </row>
    <row r="173" spans="1:42" ht="30" x14ac:dyDescent="0.25">
      <c r="A173" s="17">
        <v>172</v>
      </c>
      <c r="B173" s="17" t="s">
        <v>621</v>
      </c>
      <c r="C173" s="21" t="s">
        <v>216</v>
      </c>
      <c r="D173" s="17" t="s">
        <v>209</v>
      </c>
      <c r="E173" s="18">
        <v>5.88</v>
      </c>
      <c r="F173" s="18">
        <v>3</v>
      </c>
      <c r="G173" s="18">
        <v>0</v>
      </c>
      <c r="H173" s="18"/>
      <c r="I173" s="18">
        <v>2025</v>
      </c>
      <c r="J173" s="18">
        <v>5.880000114440918</v>
      </c>
      <c r="K173" s="18">
        <v>0</v>
      </c>
      <c r="L173" s="18">
        <v>0</v>
      </c>
      <c r="M173" s="18">
        <v>0</v>
      </c>
      <c r="N173" s="18">
        <v>0</v>
      </c>
      <c r="O173" s="18">
        <v>1.7000000476837158</v>
      </c>
      <c r="P173" s="19">
        <v>0.28911565436797887</v>
      </c>
      <c r="Q173" s="18">
        <v>3.2799999713897705</v>
      </c>
      <c r="R173" s="19">
        <v>0.55782312438601545</v>
      </c>
      <c r="S173" s="18">
        <v>0.89999997615814209</v>
      </c>
      <c r="T173" s="19">
        <v>0.15306122043505818</v>
      </c>
      <c r="U173" s="18">
        <v>0</v>
      </c>
      <c r="V173" s="19">
        <v>0</v>
      </c>
      <c r="W173">
        <f t="shared" si="28"/>
        <v>4.9800000190734863</v>
      </c>
      <c r="X173" s="19">
        <f t="shared" si="29"/>
        <v>0.84693877875399426</v>
      </c>
      <c r="Y173">
        <f t="shared" si="30"/>
        <v>0.89999997615814209</v>
      </c>
      <c r="Z173" s="19">
        <f t="shared" si="31"/>
        <v>0.15306122043505818</v>
      </c>
      <c r="AA173" s="19">
        <f t="shared" si="32"/>
        <v>0.23129251335753875</v>
      </c>
      <c r="AB173" t="str">
        <f t="shared" si="33"/>
        <v>Relatif Mantap</v>
      </c>
      <c r="AC173" s="19">
        <f>IF(Dashboard!$B$7="Mantap (%)",X173,IF(Dashboard!$B$7="Tidak Mantap (%)",Z173,IF(Dashboard!$B$7="Baik (%)",P173,IF(Dashboard!$B$7="Sedang (%)",R173,IF(Dashboard!$B$7="Rusak Ringan (%)",T173,IF(Dashboard!$B$7="Rusak Berat (%)",V173,AA173))))))</f>
        <v>0.15306122043505818</v>
      </c>
      <c r="AD173" s="20">
        <f>IF(AND(AF173=1,E173&gt;=Dashboard!$B$10,IF(Dashboard!$B$9="≤ Maksimum",AC173&lt;=Dashboard!$B$8,AC173&gt;=Dashboard!$B$8)),1,0)</f>
        <v>0</v>
      </c>
      <c r="AE173" s="20" t="str">
        <f>IF(AD173=1,COUNTIFS($AD$2:$AD$351,1,$AC$2:$AC$351,"&gt;"&amp;AC173)+COUNTIFS($AD$2:AD173,1,$AC$2:AC173,AC173),"")</f>
        <v/>
      </c>
      <c r="AF173" s="20">
        <f>IF(OR(Dashboard!$B$6="Semua",ISNUMBER(SEARCH(Dashboard!$B$6,D173))),1,0)</f>
        <v>1</v>
      </c>
      <c r="AG173" s="18">
        <f t="shared" si="34"/>
        <v>5.88</v>
      </c>
      <c r="AH173" s="18">
        <f t="shared" si="35"/>
        <v>4.9800000190734863</v>
      </c>
      <c r="AI173" s="18">
        <f t="shared" si="36"/>
        <v>0.89999997615814209</v>
      </c>
      <c r="AJ173" s="18">
        <f t="shared" si="37"/>
        <v>0</v>
      </c>
      <c r="AK173" s="20">
        <f>IF(OR(Ruas_Per_Kecamatan!$B$4="Semua",ISNUMBER(SEARCH(Ruas_Per_Kecamatan!$B$4,D173))),1,0)</f>
        <v>1</v>
      </c>
      <c r="AL173" s="20">
        <f>IF(AK173=1,COUNTIF($AK$2:AK173,1),"")</f>
        <v>172</v>
      </c>
      <c r="AM173" s="18">
        <f t="shared" si="38"/>
        <v>5.88</v>
      </c>
      <c r="AN173" s="18">
        <f t="shared" si="39"/>
        <v>4.9800000190734863</v>
      </c>
      <c r="AO173" s="18">
        <f t="shared" si="40"/>
        <v>0.89999997615814209</v>
      </c>
      <c r="AP173" s="18">
        <f t="shared" si="41"/>
        <v>0</v>
      </c>
    </row>
    <row r="174" spans="1:42" x14ac:dyDescent="0.25">
      <c r="A174" s="17">
        <v>173</v>
      </c>
      <c r="B174" s="17" t="s">
        <v>622</v>
      </c>
      <c r="C174" s="21" t="s">
        <v>217</v>
      </c>
      <c r="D174" s="17" t="s">
        <v>209</v>
      </c>
      <c r="E174" s="18">
        <v>1.49</v>
      </c>
      <c r="F174" s="18">
        <v>3</v>
      </c>
      <c r="G174" s="18">
        <v>0</v>
      </c>
      <c r="H174" s="18"/>
      <c r="I174" s="18">
        <v>2025</v>
      </c>
      <c r="J174" s="18">
        <v>1.4900000095367432</v>
      </c>
      <c r="K174" s="18">
        <v>0</v>
      </c>
      <c r="L174" s="18">
        <v>0</v>
      </c>
      <c r="M174" s="18">
        <v>0</v>
      </c>
      <c r="N174" s="18">
        <v>0</v>
      </c>
      <c r="O174" s="18">
        <v>1.4900000095367432</v>
      </c>
      <c r="P174" s="19">
        <v>1.0000000064004988</v>
      </c>
      <c r="Q174" s="18">
        <v>0</v>
      </c>
      <c r="R174" s="19">
        <v>0</v>
      </c>
      <c r="S174" s="18">
        <v>0</v>
      </c>
      <c r="T174" s="19">
        <v>0</v>
      </c>
      <c r="U174" s="18">
        <v>0</v>
      </c>
      <c r="V174" s="19">
        <v>0</v>
      </c>
      <c r="W174">
        <f t="shared" si="28"/>
        <v>1.4900000095367432</v>
      </c>
      <c r="X174" s="19">
        <f t="shared" si="29"/>
        <v>1.0000000064004988</v>
      </c>
      <c r="Y174">
        <f t="shared" si="30"/>
        <v>0</v>
      </c>
      <c r="Z174" s="19">
        <f t="shared" si="31"/>
        <v>0</v>
      </c>
      <c r="AA174" s="19">
        <f t="shared" si="32"/>
        <v>0</v>
      </c>
      <c r="AB174" t="str">
        <f t="shared" si="33"/>
        <v>Relatif Mantap</v>
      </c>
      <c r="AC174" s="19">
        <f>IF(Dashboard!$B$7="Mantap (%)",X174,IF(Dashboard!$B$7="Tidak Mantap (%)",Z174,IF(Dashboard!$B$7="Baik (%)",P174,IF(Dashboard!$B$7="Sedang (%)",R174,IF(Dashboard!$B$7="Rusak Ringan (%)",T174,IF(Dashboard!$B$7="Rusak Berat (%)",V174,AA174))))))</f>
        <v>0</v>
      </c>
      <c r="AD174" s="20">
        <f>IF(AND(AF174=1,E174&gt;=Dashboard!$B$10,IF(Dashboard!$B$9="≤ Maksimum",AC174&lt;=Dashboard!$B$8,AC174&gt;=Dashboard!$B$8)),1,0)</f>
        <v>0</v>
      </c>
      <c r="AE174" s="20" t="str">
        <f>IF(AD174=1,COUNTIFS($AD$2:$AD$351,1,$AC$2:$AC$351,"&gt;"&amp;AC174)+COUNTIFS($AD$2:AD174,1,$AC$2:AC174,AC174),"")</f>
        <v/>
      </c>
      <c r="AF174" s="20">
        <f>IF(OR(Dashboard!$B$6="Semua",ISNUMBER(SEARCH(Dashboard!$B$6,D174))),1,0)</f>
        <v>1</v>
      </c>
      <c r="AG174" s="18">
        <f t="shared" si="34"/>
        <v>1.49</v>
      </c>
      <c r="AH174" s="18">
        <f t="shared" si="35"/>
        <v>1.4900000095367432</v>
      </c>
      <c r="AI174" s="18">
        <f t="shared" si="36"/>
        <v>0</v>
      </c>
      <c r="AJ174" s="18">
        <f t="shared" si="37"/>
        <v>0</v>
      </c>
      <c r="AK174" s="20">
        <f>IF(OR(Ruas_Per_Kecamatan!$B$4="Semua",ISNUMBER(SEARCH(Ruas_Per_Kecamatan!$B$4,D174))),1,0)</f>
        <v>1</v>
      </c>
      <c r="AL174" s="20">
        <f>IF(AK174=1,COUNTIF($AK$2:AK174,1),"")</f>
        <v>173</v>
      </c>
      <c r="AM174" s="18">
        <f t="shared" si="38"/>
        <v>1.49</v>
      </c>
      <c r="AN174" s="18">
        <f t="shared" si="39"/>
        <v>1.4900000095367432</v>
      </c>
      <c r="AO174" s="18">
        <f t="shared" si="40"/>
        <v>0</v>
      </c>
      <c r="AP174" s="18">
        <f t="shared" si="41"/>
        <v>0</v>
      </c>
    </row>
    <row r="175" spans="1:42" ht="30" x14ac:dyDescent="0.25">
      <c r="A175" s="17">
        <v>174</v>
      </c>
      <c r="B175" s="17" t="s">
        <v>623</v>
      </c>
      <c r="C175" s="21" t="s">
        <v>218</v>
      </c>
      <c r="D175" s="17" t="s">
        <v>209</v>
      </c>
      <c r="E175" s="18">
        <v>3.58</v>
      </c>
      <c r="F175" s="18">
        <v>3</v>
      </c>
      <c r="G175" s="18">
        <v>0</v>
      </c>
      <c r="H175" s="18"/>
      <c r="I175" s="18">
        <v>2025</v>
      </c>
      <c r="J175" s="18">
        <v>1.1000000238418579</v>
      </c>
      <c r="K175" s="18">
        <v>0</v>
      </c>
      <c r="L175" s="18">
        <v>0</v>
      </c>
      <c r="M175" s="18">
        <v>2.4800000190734863</v>
      </c>
      <c r="N175" s="18">
        <v>0</v>
      </c>
      <c r="O175" s="18">
        <v>0</v>
      </c>
      <c r="P175" s="19">
        <v>0</v>
      </c>
      <c r="Q175" s="18">
        <v>1</v>
      </c>
      <c r="R175" s="19">
        <v>0.27932960893854747</v>
      </c>
      <c r="S175" s="18">
        <v>0.10000000149011612</v>
      </c>
      <c r="T175" s="19">
        <v>2.7932961310088301E-2</v>
      </c>
      <c r="U175" s="18">
        <v>2.4800000190734863</v>
      </c>
      <c r="V175" s="19">
        <v>0.69273743549538724</v>
      </c>
      <c r="W175">
        <f t="shared" si="28"/>
        <v>1</v>
      </c>
      <c r="X175" s="19">
        <f t="shared" si="29"/>
        <v>0.27932960893854747</v>
      </c>
      <c r="Y175">
        <f t="shared" si="30"/>
        <v>2.5800000205636024</v>
      </c>
      <c r="Z175" s="19">
        <f t="shared" si="31"/>
        <v>0.72067039680547551</v>
      </c>
      <c r="AA175" s="19">
        <f t="shared" si="32"/>
        <v>0.77932961451607707</v>
      </c>
      <c r="AB175" t="str">
        <f t="shared" si="33"/>
        <v>Rusak Berat Dominan</v>
      </c>
      <c r="AC175" s="19">
        <f>IF(Dashboard!$B$7="Mantap (%)",X175,IF(Dashboard!$B$7="Tidak Mantap (%)",Z175,IF(Dashboard!$B$7="Baik (%)",P175,IF(Dashboard!$B$7="Sedang (%)",R175,IF(Dashboard!$B$7="Rusak Ringan (%)",T175,IF(Dashboard!$B$7="Rusak Berat (%)",V175,AA175))))))</f>
        <v>0.72067039680547551</v>
      </c>
      <c r="AD175" s="20">
        <f>IF(AND(AF175=1,E175&gt;=Dashboard!$B$10,IF(Dashboard!$B$9="≤ Maksimum",AC175&lt;=Dashboard!$B$8,AC175&gt;=Dashboard!$B$8)),1,0)</f>
        <v>1</v>
      </c>
      <c r="AE175" s="20">
        <f>IF(AD175=1,COUNTIFS($AD$2:$AD$351,1,$AC$2:$AC$351,"&gt;"&amp;AC175)+COUNTIFS($AD$2:AD175,1,$AC$2:AC175,AC175),"")</f>
        <v>83</v>
      </c>
      <c r="AF175" s="20">
        <f>IF(OR(Dashboard!$B$6="Semua",ISNUMBER(SEARCH(Dashboard!$B$6,D175))),1,0)</f>
        <v>1</v>
      </c>
      <c r="AG175" s="18">
        <f t="shared" si="34"/>
        <v>3.58</v>
      </c>
      <c r="AH175" s="18">
        <f t="shared" si="35"/>
        <v>1</v>
      </c>
      <c r="AI175" s="18">
        <f t="shared" si="36"/>
        <v>2.5800000205636024</v>
      </c>
      <c r="AJ175" s="18">
        <f t="shared" si="37"/>
        <v>2.4800000190734863</v>
      </c>
      <c r="AK175" s="20">
        <f>IF(OR(Ruas_Per_Kecamatan!$B$4="Semua",ISNUMBER(SEARCH(Ruas_Per_Kecamatan!$B$4,D175))),1,0)</f>
        <v>1</v>
      </c>
      <c r="AL175" s="20">
        <f>IF(AK175=1,COUNTIF($AK$2:AK175,1),"")</f>
        <v>174</v>
      </c>
      <c r="AM175" s="18">
        <f t="shared" si="38"/>
        <v>3.58</v>
      </c>
      <c r="AN175" s="18">
        <f t="shared" si="39"/>
        <v>1</v>
      </c>
      <c r="AO175" s="18">
        <f t="shared" si="40"/>
        <v>2.5800000205636024</v>
      </c>
      <c r="AP175" s="18">
        <f t="shared" si="41"/>
        <v>2.4800000190734863</v>
      </c>
    </row>
    <row r="176" spans="1:42" x14ac:dyDescent="0.25">
      <c r="A176" s="17">
        <v>175</v>
      </c>
      <c r="B176" s="17" t="s">
        <v>624</v>
      </c>
      <c r="C176" s="21" t="s">
        <v>219</v>
      </c>
      <c r="D176" s="17" t="s">
        <v>219</v>
      </c>
      <c r="E176" s="18">
        <v>5.58</v>
      </c>
      <c r="F176" s="18">
        <v>3</v>
      </c>
      <c r="G176" s="18">
        <v>0</v>
      </c>
      <c r="H176" s="18"/>
      <c r="I176" s="18">
        <v>2025</v>
      </c>
      <c r="J176" s="18">
        <v>5.5799999237060547</v>
      </c>
      <c r="K176" s="18">
        <v>0</v>
      </c>
      <c r="L176" s="18">
        <v>0</v>
      </c>
      <c r="M176" s="18">
        <v>0</v>
      </c>
      <c r="N176" s="18">
        <v>0</v>
      </c>
      <c r="O176" s="18">
        <v>0.40000000596046448</v>
      </c>
      <c r="P176" s="19">
        <v>7.1684588881803665E-2</v>
      </c>
      <c r="Q176" s="18">
        <v>3.9800000190734863</v>
      </c>
      <c r="R176" s="19">
        <v>0.71326165216370718</v>
      </c>
      <c r="S176" s="18">
        <v>1.2000000476837158</v>
      </c>
      <c r="T176" s="19">
        <v>0.215053771986329</v>
      </c>
      <c r="U176" s="18">
        <v>0</v>
      </c>
      <c r="V176" s="19">
        <v>0</v>
      </c>
      <c r="W176">
        <f t="shared" si="28"/>
        <v>4.3800000250339508</v>
      </c>
      <c r="X176" s="19">
        <f t="shared" si="29"/>
        <v>0.78494624104551092</v>
      </c>
      <c r="Y176">
        <f t="shared" si="30"/>
        <v>1.2000000476837158</v>
      </c>
      <c r="Z176" s="19">
        <f t="shared" si="31"/>
        <v>0.215053771986329</v>
      </c>
      <c r="AA176" s="19">
        <f t="shared" si="32"/>
        <v>0.30734767623272419</v>
      </c>
      <c r="AB176" t="str">
        <f t="shared" si="33"/>
        <v>Tidak Mantap Sedang</v>
      </c>
      <c r="AC176" s="19">
        <f>IF(Dashboard!$B$7="Mantap (%)",X176,IF(Dashboard!$B$7="Tidak Mantap (%)",Z176,IF(Dashboard!$B$7="Baik (%)",P176,IF(Dashboard!$B$7="Sedang (%)",R176,IF(Dashboard!$B$7="Rusak Ringan (%)",T176,IF(Dashboard!$B$7="Rusak Berat (%)",V176,AA176))))))</f>
        <v>0.215053771986329</v>
      </c>
      <c r="AD176" s="20">
        <f>IF(AND(AF176=1,E176&gt;=Dashboard!$B$10,IF(Dashboard!$B$9="≤ Maksimum",AC176&lt;=Dashboard!$B$8,AC176&gt;=Dashboard!$B$8)),1,0)</f>
        <v>1</v>
      </c>
      <c r="AE176" s="20">
        <f>IF(AD176=1,COUNTIFS($AD$2:$AD$351,1,$AC$2:$AC$351,"&gt;"&amp;AC176)+COUNTIFS($AD$2:AD176,1,$AC$2:AC176,AC176),"")</f>
        <v>188</v>
      </c>
      <c r="AF176" s="20">
        <f>IF(OR(Dashboard!$B$6="Semua",ISNUMBER(SEARCH(Dashboard!$B$6,D176))),1,0)</f>
        <v>1</v>
      </c>
      <c r="AG176" s="18">
        <f t="shared" si="34"/>
        <v>5.58</v>
      </c>
      <c r="AH176" s="18">
        <f t="shared" si="35"/>
        <v>4.3800000250339508</v>
      </c>
      <c r="AI176" s="18">
        <f t="shared" si="36"/>
        <v>1.2000000476837158</v>
      </c>
      <c r="AJ176" s="18">
        <f t="shared" si="37"/>
        <v>0</v>
      </c>
      <c r="AK176" s="20">
        <f>IF(OR(Ruas_Per_Kecamatan!$B$4="Semua",ISNUMBER(SEARCH(Ruas_Per_Kecamatan!$B$4,D176))),1,0)</f>
        <v>1</v>
      </c>
      <c r="AL176" s="20">
        <f>IF(AK176=1,COUNTIF($AK$2:AK176,1),"")</f>
        <v>175</v>
      </c>
      <c r="AM176" s="18">
        <f t="shared" si="38"/>
        <v>5.58</v>
      </c>
      <c r="AN176" s="18">
        <f t="shared" si="39"/>
        <v>4.3800000250339508</v>
      </c>
      <c r="AO176" s="18">
        <f t="shared" si="40"/>
        <v>1.2000000476837158</v>
      </c>
      <c r="AP176" s="18">
        <f t="shared" si="41"/>
        <v>0</v>
      </c>
    </row>
    <row r="177" spans="1:42" x14ac:dyDescent="0.25">
      <c r="A177" s="17">
        <v>176</v>
      </c>
      <c r="B177" s="17" t="s">
        <v>625</v>
      </c>
      <c r="C177" s="21" t="s">
        <v>220</v>
      </c>
      <c r="D177" s="17" t="s">
        <v>219</v>
      </c>
      <c r="E177" s="18">
        <v>2.09</v>
      </c>
      <c r="F177" s="18">
        <v>3</v>
      </c>
      <c r="G177" s="18">
        <v>0</v>
      </c>
      <c r="H177" s="18"/>
      <c r="I177" s="18">
        <v>2025</v>
      </c>
      <c r="J177" s="18">
        <v>2.0899999141693115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9">
        <v>0</v>
      </c>
      <c r="Q177" s="18">
        <v>1.8899999856948853</v>
      </c>
      <c r="R177" s="19">
        <v>0.90430621325114136</v>
      </c>
      <c r="S177" s="18">
        <v>0.20000000298023224</v>
      </c>
      <c r="T177" s="19">
        <v>9.5693781330254662E-2</v>
      </c>
      <c r="U177" s="18">
        <v>0</v>
      </c>
      <c r="V177" s="19">
        <v>0</v>
      </c>
      <c r="W177">
        <f t="shared" si="28"/>
        <v>1.8899999856948853</v>
      </c>
      <c r="X177" s="19">
        <f t="shared" si="29"/>
        <v>0.90430621325114136</v>
      </c>
      <c r="Y177">
        <f t="shared" si="30"/>
        <v>0.20000000298023224</v>
      </c>
      <c r="Z177" s="19">
        <f t="shared" si="31"/>
        <v>9.5693781330254662E-2</v>
      </c>
      <c r="AA177" s="19">
        <f t="shared" si="32"/>
        <v>0.28349282211093813</v>
      </c>
      <c r="AB177" t="str">
        <f t="shared" si="33"/>
        <v>Relatif Mantap</v>
      </c>
      <c r="AC177" s="19">
        <f>IF(Dashboard!$B$7="Mantap (%)",X177,IF(Dashboard!$B$7="Tidak Mantap (%)",Z177,IF(Dashboard!$B$7="Baik (%)",P177,IF(Dashboard!$B$7="Sedang (%)",R177,IF(Dashboard!$B$7="Rusak Ringan (%)",T177,IF(Dashboard!$B$7="Rusak Berat (%)",V177,AA177))))))</f>
        <v>9.5693781330254662E-2</v>
      </c>
      <c r="AD177" s="20">
        <f>IF(AND(AF177=1,E177&gt;=Dashboard!$B$10,IF(Dashboard!$B$9="≤ Maksimum",AC177&lt;=Dashboard!$B$8,AC177&gt;=Dashboard!$B$8)),1,0)</f>
        <v>0</v>
      </c>
      <c r="AE177" s="20" t="str">
        <f>IF(AD177=1,COUNTIFS($AD$2:$AD$351,1,$AC$2:$AC$351,"&gt;"&amp;AC177)+COUNTIFS($AD$2:AD177,1,$AC$2:AC177,AC177),"")</f>
        <v/>
      </c>
      <c r="AF177" s="20">
        <f>IF(OR(Dashboard!$B$6="Semua",ISNUMBER(SEARCH(Dashboard!$B$6,D177))),1,0)</f>
        <v>1</v>
      </c>
      <c r="AG177" s="18">
        <f t="shared" si="34"/>
        <v>2.09</v>
      </c>
      <c r="AH177" s="18">
        <f t="shared" si="35"/>
        <v>1.8899999856948853</v>
      </c>
      <c r="AI177" s="18">
        <f t="shared" si="36"/>
        <v>0.20000000298023224</v>
      </c>
      <c r="AJ177" s="18">
        <f t="shared" si="37"/>
        <v>0</v>
      </c>
      <c r="AK177" s="20">
        <f>IF(OR(Ruas_Per_Kecamatan!$B$4="Semua",ISNUMBER(SEARCH(Ruas_Per_Kecamatan!$B$4,D177))),1,0)</f>
        <v>1</v>
      </c>
      <c r="AL177" s="20">
        <f>IF(AK177=1,COUNTIF($AK$2:AK177,1),"")</f>
        <v>176</v>
      </c>
      <c r="AM177" s="18">
        <f t="shared" si="38"/>
        <v>2.09</v>
      </c>
      <c r="AN177" s="18">
        <f t="shared" si="39"/>
        <v>1.8899999856948853</v>
      </c>
      <c r="AO177" s="18">
        <f t="shared" si="40"/>
        <v>0.20000000298023224</v>
      </c>
      <c r="AP177" s="18">
        <f t="shared" si="41"/>
        <v>0</v>
      </c>
    </row>
    <row r="178" spans="1:42" x14ac:dyDescent="0.25">
      <c r="A178" s="17">
        <v>177</v>
      </c>
      <c r="B178" s="17" t="s">
        <v>626</v>
      </c>
      <c r="C178" s="21" t="s">
        <v>221</v>
      </c>
      <c r="D178" s="17" t="s">
        <v>219</v>
      </c>
      <c r="E178" s="18">
        <v>2.11</v>
      </c>
      <c r="F178" s="18">
        <v>3.5</v>
      </c>
      <c r="G178" s="18">
        <v>0</v>
      </c>
      <c r="H178" s="18"/>
      <c r="I178" s="18">
        <v>2025</v>
      </c>
      <c r="J178" s="18">
        <v>2.1099998950958252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9">
        <v>0</v>
      </c>
      <c r="Q178" s="18">
        <v>2.0099999904632568</v>
      </c>
      <c r="R178" s="19">
        <v>0.95260663055130657</v>
      </c>
      <c r="S178" s="18">
        <v>0.10000000149011612</v>
      </c>
      <c r="T178" s="19">
        <v>4.7393365635126125E-2</v>
      </c>
      <c r="U178" s="18">
        <v>0</v>
      </c>
      <c r="V178" s="19">
        <v>0</v>
      </c>
      <c r="W178">
        <f t="shared" si="28"/>
        <v>2.0099999904632568</v>
      </c>
      <c r="X178" s="19">
        <f t="shared" si="29"/>
        <v>0.95260663055130657</v>
      </c>
      <c r="Y178">
        <f t="shared" si="30"/>
        <v>0.10000000149011612</v>
      </c>
      <c r="Z178" s="19">
        <f t="shared" si="31"/>
        <v>4.7393365635126125E-2</v>
      </c>
      <c r="AA178" s="19">
        <f t="shared" si="32"/>
        <v>0.26658767701890229</v>
      </c>
      <c r="AB178" t="str">
        <f t="shared" si="33"/>
        <v>Relatif Mantap</v>
      </c>
      <c r="AC178" s="19">
        <f>IF(Dashboard!$B$7="Mantap (%)",X178,IF(Dashboard!$B$7="Tidak Mantap (%)",Z178,IF(Dashboard!$B$7="Baik (%)",P178,IF(Dashboard!$B$7="Sedang (%)",R178,IF(Dashboard!$B$7="Rusak Ringan (%)",T178,IF(Dashboard!$B$7="Rusak Berat (%)",V178,AA178))))))</f>
        <v>4.7393365635126125E-2</v>
      </c>
      <c r="AD178" s="20">
        <f>IF(AND(AF178=1,E178&gt;=Dashboard!$B$10,IF(Dashboard!$B$9="≤ Maksimum",AC178&lt;=Dashboard!$B$8,AC178&gt;=Dashboard!$B$8)),1,0)</f>
        <v>0</v>
      </c>
      <c r="AE178" s="20" t="str">
        <f>IF(AD178=1,COUNTIFS($AD$2:$AD$351,1,$AC$2:$AC$351,"&gt;"&amp;AC178)+COUNTIFS($AD$2:AD178,1,$AC$2:AC178,AC178),"")</f>
        <v/>
      </c>
      <c r="AF178" s="20">
        <f>IF(OR(Dashboard!$B$6="Semua",ISNUMBER(SEARCH(Dashboard!$B$6,D178))),1,0)</f>
        <v>1</v>
      </c>
      <c r="AG178" s="18">
        <f t="shared" si="34"/>
        <v>2.11</v>
      </c>
      <c r="AH178" s="18">
        <f t="shared" si="35"/>
        <v>2.0099999904632568</v>
      </c>
      <c r="AI178" s="18">
        <f t="shared" si="36"/>
        <v>0.10000000149011612</v>
      </c>
      <c r="AJ178" s="18">
        <f t="shared" si="37"/>
        <v>0</v>
      </c>
      <c r="AK178" s="20">
        <f>IF(OR(Ruas_Per_Kecamatan!$B$4="Semua",ISNUMBER(SEARCH(Ruas_Per_Kecamatan!$B$4,D178))),1,0)</f>
        <v>1</v>
      </c>
      <c r="AL178" s="20">
        <f>IF(AK178=1,COUNTIF($AK$2:AK178,1),"")</f>
        <v>177</v>
      </c>
      <c r="AM178" s="18">
        <f t="shared" si="38"/>
        <v>2.11</v>
      </c>
      <c r="AN178" s="18">
        <f t="shared" si="39"/>
        <v>2.0099999904632568</v>
      </c>
      <c r="AO178" s="18">
        <f t="shared" si="40"/>
        <v>0.10000000149011612</v>
      </c>
      <c r="AP178" s="18">
        <f t="shared" si="41"/>
        <v>0</v>
      </c>
    </row>
    <row r="179" spans="1:42" ht="30" x14ac:dyDescent="0.25">
      <c r="A179" s="17">
        <v>178</v>
      </c>
      <c r="B179" s="17" t="s">
        <v>627</v>
      </c>
      <c r="C179" s="21" t="s">
        <v>222</v>
      </c>
      <c r="D179" s="17" t="s">
        <v>209</v>
      </c>
      <c r="E179" s="18">
        <v>7</v>
      </c>
      <c r="F179" s="18">
        <v>3</v>
      </c>
      <c r="G179" s="18">
        <v>0</v>
      </c>
      <c r="H179" s="18"/>
      <c r="I179" s="18">
        <v>2025</v>
      </c>
      <c r="J179" s="18">
        <v>5.4000000953674316</v>
      </c>
      <c r="K179" s="18">
        <v>0</v>
      </c>
      <c r="L179" s="18">
        <v>0</v>
      </c>
      <c r="M179" s="18">
        <v>1.6000000238418579</v>
      </c>
      <c r="N179" s="18">
        <v>0</v>
      </c>
      <c r="O179" s="18">
        <v>1.3999999761581421</v>
      </c>
      <c r="P179" s="19">
        <v>0.19999999659402029</v>
      </c>
      <c r="Q179" s="18">
        <v>1.1000000238418579</v>
      </c>
      <c r="R179" s="19">
        <v>0.15714286054883683</v>
      </c>
      <c r="S179" s="18">
        <v>1.2999999523162842</v>
      </c>
      <c r="T179" s="19">
        <v>0.18571427890232631</v>
      </c>
      <c r="U179" s="18">
        <v>3.2000000476837158</v>
      </c>
      <c r="V179" s="19">
        <v>0.45714286395481657</v>
      </c>
      <c r="W179">
        <f t="shared" si="28"/>
        <v>2.5</v>
      </c>
      <c r="X179" s="19">
        <f t="shared" si="29"/>
        <v>0.35714285714285715</v>
      </c>
      <c r="Y179">
        <f t="shared" si="30"/>
        <v>4.5</v>
      </c>
      <c r="Z179" s="19">
        <f t="shared" si="31"/>
        <v>0.6428571428571429</v>
      </c>
      <c r="AA179" s="19">
        <f t="shared" si="32"/>
        <v>0.60785714643342159</v>
      </c>
      <c r="AB179" t="str">
        <f t="shared" si="33"/>
        <v>Rusak Berat Dominan</v>
      </c>
      <c r="AC179" s="19">
        <f>IF(Dashboard!$B$7="Mantap (%)",X179,IF(Dashboard!$B$7="Tidak Mantap (%)",Z179,IF(Dashboard!$B$7="Baik (%)",P179,IF(Dashboard!$B$7="Sedang (%)",R179,IF(Dashboard!$B$7="Rusak Ringan (%)",T179,IF(Dashboard!$B$7="Rusak Berat (%)",V179,AA179))))))</f>
        <v>0.6428571428571429</v>
      </c>
      <c r="AD179" s="20">
        <f>IF(AND(AF179=1,E179&gt;=Dashboard!$B$10,IF(Dashboard!$B$9="≤ Maksimum",AC179&lt;=Dashboard!$B$8,AC179&gt;=Dashboard!$B$8)),1,0)</f>
        <v>1</v>
      </c>
      <c r="AE179" s="20">
        <f>IF(AD179=1,COUNTIFS($AD$2:$AD$351,1,$AC$2:$AC$351,"&gt;"&amp;AC179)+COUNTIFS($AD$2:AD179,1,$AC$2:AC179,AC179),"")</f>
        <v>101</v>
      </c>
      <c r="AF179" s="20">
        <f>IF(OR(Dashboard!$B$6="Semua",ISNUMBER(SEARCH(Dashboard!$B$6,D179))),1,0)</f>
        <v>1</v>
      </c>
      <c r="AG179" s="18">
        <f t="shared" si="34"/>
        <v>7</v>
      </c>
      <c r="AH179" s="18">
        <f t="shared" si="35"/>
        <v>2.5</v>
      </c>
      <c r="AI179" s="18">
        <f t="shared" si="36"/>
        <v>4.5</v>
      </c>
      <c r="AJ179" s="18">
        <f t="shared" si="37"/>
        <v>3.2000000476837158</v>
      </c>
      <c r="AK179" s="20">
        <f>IF(OR(Ruas_Per_Kecamatan!$B$4="Semua",ISNUMBER(SEARCH(Ruas_Per_Kecamatan!$B$4,D179))),1,0)</f>
        <v>1</v>
      </c>
      <c r="AL179" s="20">
        <f>IF(AK179=1,COUNTIF($AK$2:AK179,1),"")</f>
        <v>178</v>
      </c>
      <c r="AM179" s="18">
        <f t="shared" si="38"/>
        <v>7</v>
      </c>
      <c r="AN179" s="18">
        <f t="shared" si="39"/>
        <v>2.5</v>
      </c>
      <c r="AO179" s="18">
        <f t="shared" si="40"/>
        <v>4.5</v>
      </c>
      <c r="AP179" s="18">
        <f t="shared" si="41"/>
        <v>3.2000000476837158</v>
      </c>
    </row>
    <row r="180" spans="1:42" ht="30" x14ac:dyDescent="0.25">
      <c r="A180" s="17">
        <v>179</v>
      </c>
      <c r="B180" s="17" t="s">
        <v>628</v>
      </c>
      <c r="C180" s="21" t="s">
        <v>223</v>
      </c>
      <c r="D180" s="17" t="s">
        <v>212</v>
      </c>
      <c r="E180" s="18">
        <v>4.9000000000000004</v>
      </c>
      <c r="F180" s="18">
        <v>3.5</v>
      </c>
      <c r="G180" s="18">
        <v>0</v>
      </c>
      <c r="H180" s="18"/>
      <c r="I180" s="18">
        <v>2025</v>
      </c>
      <c r="J180" s="18">
        <v>4.9000000953674316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9">
        <v>0</v>
      </c>
      <c r="Q180" s="18">
        <v>3</v>
      </c>
      <c r="R180" s="19">
        <v>0.61224489795918358</v>
      </c>
      <c r="S180" s="18">
        <v>1.8999999761581421</v>
      </c>
      <c r="T180" s="19">
        <v>0.38775509717513101</v>
      </c>
      <c r="U180" s="18">
        <v>0</v>
      </c>
      <c r="V180" s="19">
        <v>0</v>
      </c>
      <c r="W180">
        <f t="shared" si="28"/>
        <v>3</v>
      </c>
      <c r="X180" s="19">
        <f t="shared" si="29"/>
        <v>0.61224489795918358</v>
      </c>
      <c r="Y180">
        <f t="shared" si="30"/>
        <v>1.8999999761581421</v>
      </c>
      <c r="Z180" s="19">
        <f t="shared" si="31"/>
        <v>0.38775509717513101</v>
      </c>
      <c r="AA180" s="19">
        <f t="shared" si="32"/>
        <v>0.38571428279487452</v>
      </c>
      <c r="AB180" t="str">
        <f t="shared" si="33"/>
        <v>Tidak Mantap Sedang</v>
      </c>
      <c r="AC180" s="19">
        <f>IF(Dashboard!$B$7="Mantap (%)",X180,IF(Dashboard!$B$7="Tidak Mantap (%)",Z180,IF(Dashboard!$B$7="Baik (%)",P180,IF(Dashboard!$B$7="Sedang (%)",R180,IF(Dashboard!$B$7="Rusak Ringan (%)",T180,IF(Dashboard!$B$7="Rusak Berat (%)",V180,AA180))))))</f>
        <v>0.38775509717513101</v>
      </c>
      <c r="AD180" s="20">
        <f>IF(AND(AF180=1,E180&gt;=Dashboard!$B$10,IF(Dashboard!$B$9="≤ Maksimum",AC180&lt;=Dashboard!$B$8,AC180&gt;=Dashboard!$B$8)),1,0)</f>
        <v>1</v>
      </c>
      <c r="AE180" s="20">
        <f>IF(AD180=1,COUNTIFS($AD$2:$AD$351,1,$AC$2:$AC$351,"&gt;"&amp;AC180)+COUNTIFS($AD$2:AD180,1,$AC$2:AC180,AC180),"")</f>
        <v>149</v>
      </c>
      <c r="AF180" s="20">
        <f>IF(OR(Dashboard!$B$6="Semua",ISNUMBER(SEARCH(Dashboard!$B$6,D180))),1,0)</f>
        <v>1</v>
      </c>
      <c r="AG180" s="18">
        <f t="shared" si="34"/>
        <v>4.9000000000000004</v>
      </c>
      <c r="AH180" s="18">
        <f t="shared" si="35"/>
        <v>3</v>
      </c>
      <c r="AI180" s="18">
        <f t="shared" si="36"/>
        <v>1.8999999761581421</v>
      </c>
      <c r="AJ180" s="18">
        <f t="shared" si="37"/>
        <v>0</v>
      </c>
      <c r="AK180" s="20">
        <f>IF(OR(Ruas_Per_Kecamatan!$B$4="Semua",ISNUMBER(SEARCH(Ruas_Per_Kecamatan!$B$4,D180))),1,0)</f>
        <v>1</v>
      </c>
      <c r="AL180" s="20">
        <f>IF(AK180=1,COUNTIF($AK$2:AK180,1),"")</f>
        <v>179</v>
      </c>
      <c r="AM180" s="18">
        <f t="shared" si="38"/>
        <v>4.9000000000000004</v>
      </c>
      <c r="AN180" s="18">
        <f t="shared" si="39"/>
        <v>3</v>
      </c>
      <c r="AO180" s="18">
        <f t="shared" si="40"/>
        <v>1.8999999761581421</v>
      </c>
      <c r="AP180" s="18">
        <f t="shared" si="41"/>
        <v>0</v>
      </c>
    </row>
    <row r="181" spans="1:42" x14ac:dyDescent="0.25">
      <c r="A181" s="17">
        <v>180</v>
      </c>
      <c r="B181" s="17" t="s">
        <v>629</v>
      </c>
      <c r="C181" s="21" t="s">
        <v>224</v>
      </c>
      <c r="D181" s="17" t="s">
        <v>209</v>
      </c>
      <c r="E181" s="18">
        <v>2.95</v>
      </c>
      <c r="F181" s="18">
        <v>3.5</v>
      </c>
      <c r="G181" s="18">
        <v>0</v>
      </c>
      <c r="H181" s="18"/>
      <c r="I181" s="18">
        <v>2025</v>
      </c>
      <c r="J181" s="18">
        <v>2.9500000476837158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9">
        <v>0</v>
      </c>
      <c r="Q181" s="18">
        <v>1.0499999523162842</v>
      </c>
      <c r="R181" s="19">
        <v>0.35593218722585901</v>
      </c>
      <c r="S181" s="18">
        <v>1.6000000238418579</v>
      </c>
      <c r="T181" s="19">
        <v>0.54237288943791795</v>
      </c>
      <c r="U181" s="18">
        <v>0.30000001192092896</v>
      </c>
      <c r="V181" s="19">
        <v>0.10169491929523015</v>
      </c>
      <c r="W181">
        <f t="shared" si="28"/>
        <v>1.0499999523162842</v>
      </c>
      <c r="X181" s="19">
        <f t="shared" si="29"/>
        <v>0.35593218722585901</v>
      </c>
      <c r="Y181">
        <f t="shared" si="30"/>
        <v>1.9000000357627869</v>
      </c>
      <c r="Z181" s="19">
        <f t="shared" si="31"/>
        <v>0.64406780873314806</v>
      </c>
      <c r="AA181" s="19">
        <f t="shared" si="32"/>
        <v>0.51610169976444564</v>
      </c>
      <c r="AB181" t="str">
        <f t="shared" si="33"/>
        <v>Tidak Mantap Tinggi</v>
      </c>
      <c r="AC181" s="19">
        <f>IF(Dashboard!$B$7="Mantap (%)",X181,IF(Dashboard!$B$7="Tidak Mantap (%)",Z181,IF(Dashboard!$B$7="Baik (%)",P181,IF(Dashboard!$B$7="Sedang (%)",R181,IF(Dashboard!$B$7="Rusak Ringan (%)",T181,IF(Dashboard!$B$7="Rusak Berat (%)",V181,AA181))))))</f>
        <v>0.64406780873314806</v>
      </c>
      <c r="AD181" s="20">
        <f>IF(AND(AF181=1,E181&gt;=Dashboard!$B$10,IF(Dashboard!$B$9="≤ Maksimum",AC181&lt;=Dashboard!$B$8,AC181&gt;=Dashboard!$B$8)),1,0)</f>
        <v>1</v>
      </c>
      <c r="AE181" s="20">
        <f>IF(AD181=1,COUNTIFS($AD$2:$AD$351,1,$AC$2:$AC$351,"&gt;"&amp;AC181)+COUNTIFS($AD$2:AD181,1,$AC$2:AC181,AC181),"")</f>
        <v>99</v>
      </c>
      <c r="AF181" s="20">
        <f>IF(OR(Dashboard!$B$6="Semua",ISNUMBER(SEARCH(Dashboard!$B$6,D181))),1,0)</f>
        <v>1</v>
      </c>
      <c r="AG181" s="18">
        <f t="shared" si="34"/>
        <v>2.95</v>
      </c>
      <c r="AH181" s="18">
        <f t="shared" si="35"/>
        <v>1.0499999523162842</v>
      </c>
      <c r="AI181" s="18">
        <f t="shared" si="36"/>
        <v>1.9000000357627869</v>
      </c>
      <c r="AJ181" s="18">
        <f t="shared" si="37"/>
        <v>0.30000001192092896</v>
      </c>
      <c r="AK181" s="20">
        <f>IF(OR(Ruas_Per_Kecamatan!$B$4="Semua",ISNUMBER(SEARCH(Ruas_Per_Kecamatan!$B$4,D181))),1,0)</f>
        <v>1</v>
      </c>
      <c r="AL181" s="20">
        <f>IF(AK181=1,COUNTIF($AK$2:AK181,1),"")</f>
        <v>180</v>
      </c>
      <c r="AM181" s="18">
        <f t="shared" si="38"/>
        <v>2.95</v>
      </c>
      <c r="AN181" s="18">
        <f t="shared" si="39"/>
        <v>1.0499999523162842</v>
      </c>
      <c r="AO181" s="18">
        <f t="shared" si="40"/>
        <v>1.9000000357627869</v>
      </c>
      <c r="AP181" s="18">
        <f t="shared" si="41"/>
        <v>0.30000001192092896</v>
      </c>
    </row>
    <row r="182" spans="1:42" x14ac:dyDescent="0.25">
      <c r="A182" s="17">
        <v>181</v>
      </c>
      <c r="B182" s="17" t="s">
        <v>630</v>
      </c>
      <c r="C182" s="21" t="s">
        <v>225</v>
      </c>
      <c r="D182" s="17" t="s">
        <v>209</v>
      </c>
      <c r="E182" s="18">
        <v>1.26</v>
      </c>
      <c r="F182" s="18">
        <v>3.5</v>
      </c>
      <c r="G182" s="18">
        <v>0</v>
      </c>
      <c r="H182" s="18"/>
      <c r="I182" s="18">
        <v>2025</v>
      </c>
      <c r="J182" s="18">
        <v>1</v>
      </c>
      <c r="K182" s="18">
        <v>0</v>
      </c>
      <c r="L182" s="18">
        <v>0.25999999046325684</v>
      </c>
      <c r="M182" s="18">
        <v>0</v>
      </c>
      <c r="N182" s="18">
        <v>0</v>
      </c>
      <c r="O182" s="18">
        <v>0</v>
      </c>
      <c r="P182" s="19">
        <v>0</v>
      </c>
      <c r="Q182" s="18">
        <v>0.69999998807907104</v>
      </c>
      <c r="R182" s="19">
        <v>0.55555554609450086</v>
      </c>
      <c r="S182" s="18">
        <v>0.30000001192092896</v>
      </c>
      <c r="T182" s="19">
        <v>0.23809524755629283</v>
      </c>
      <c r="U182" s="18">
        <v>0.25999999046325684</v>
      </c>
      <c r="V182" s="19">
        <v>0.20634919878036256</v>
      </c>
      <c r="W182">
        <f t="shared" si="28"/>
        <v>0.69999998807907104</v>
      </c>
      <c r="X182" s="19">
        <f t="shared" si="29"/>
        <v>0.55555554609450086</v>
      </c>
      <c r="Y182">
        <f t="shared" si="30"/>
        <v>0.56000000238418579</v>
      </c>
      <c r="Z182" s="19">
        <f t="shared" si="31"/>
        <v>0.44444444633665536</v>
      </c>
      <c r="AA182" s="19">
        <f t="shared" si="32"/>
        <v>0.48809523383776349</v>
      </c>
      <c r="AB182" t="str">
        <f t="shared" si="33"/>
        <v>Rusak Berat Dominan</v>
      </c>
      <c r="AC182" s="19">
        <f>IF(Dashboard!$B$7="Mantap (%)",X182,IF(Dashboard!$B$7="Tidak Mantap (%)",Z182,IF(Dashboard!$B$7="Baik (%)",P182,IF(Dashboard!$B$7="Sedang (%)",R182,IF(Dashboard!$B$7="Rusak Ringan (%)",T182,IF(Dashboard!$B$7="Rusak Berat (%)",V182,AA182))))))</f>
        <v>0.44444444633665536</v>
      </c>
      <c r="AD182" s="20">
        <f>IF(AND(AF182=1,E182&gt;=Dashboard!$B$10,IF(Dashboard!$B$9="≤ Maksimum",AC182&lt;=Dashboard!$B$8,AC182&gt;=Dashboard!$B$8)),1,0)</f>
        <v>1</v>
      </c>
      <c r="AE182" s="20">
        <f>IF(AD182=1,COUNTIFS($AD$2:$AD$351,1,$AC$2:$AC$351,"&gt;"&amp;AC182)+COUNTIFS($AD$2:AD182,1,$AC$2:AC182,AC182),"")</f>
        <v>138</v>
      </c>
      <c r="AF182" s="20">
        <f>IF(OR(Dashboard!$B$6="Semua",ISNUMBER(SEARCH(Dashboard!$B$6,D182))),1,0)</f>
        <v>1</v>
      </c>
      <c r="AG182" s="18">
        <f t="shared" si="34"/>
        <v>1.26</v>
      </c>
      <c r="AH182" s="18">
        <f t="shared" si="35"/>
        <v>0.69999998807907104</v>
      </c>
      <c r="AI182" s="18">
        <f t="shared" si="36"/>
        <v>0.56000000238418579</v>
      </c>
      <c r="AJ182" s="18">
        <f t="shared" si="37"/>
        <v>0.25999999046325684</v>
      </c>
      <c r="AK182" s="20">
        <f>IF(OR(Ruas_Per_Kecamatan!$B$4="Semua",ISNUMBER(SEARCH(Ruas_Per_Kecamatan!$B$4,D182))),1,0)</f>
        <v>1</v>
      </c>
      <c r="AL182" s="20">
        <f>IF(AK182=1,COUNTIF($AK$2:AK182,1),"")</f>
        <v>181</v>
      </c>
      <c r="AM182" s="18">
        <f t="shared" si="38"/>
        <v>1.26</v>
      </c>
      <c r="AN182" s="18">
        <f t="shared" si="39"/>
        <v>0.69999998807907104</v>
      </c>
      <c r="AO182" s="18">
        <f t="shared" si="40"/>
        <v>0.56000000238418579</v>
      </c>
      <c r="AP182" s="18">
        <f t="shared" si="41"/>
        <v>0.25999999046325684</v>
      </c>
    </row>
    <row r="183" spans="1:42" ht="30" x14ac:dyDescent="0.25">
      <c r="A183" s="17">
        <v>182</v>
      </c>
      <c r="B183" s="17" t="s">
        <v>631</v>
      </c>
      <c r="C183" s="21" t="s">
        <v>226</v>
      </c>
      <c r="D183" s="17" t="s">
        <v>209</v>
      </c>
      <c r="E183" s="18">
        <v>0.55000000000000004</v>
      </c>
      <c r="F183" s="18">
        <v>3</v>
      </c>
      <c r="G183" s="18">
        <v>0</v>
      </c>
      <c r="H183" s="18"/>
      <c r="I183" s="18">
        <v>2025</v>
      </c>
      <c r="J183" s="18">
        <v>0.40000000596046448</v>
      </c>
      <c r="K183" s="18">
        <v>0</v>
      </c>
      <c r="L183" s="18">
        <v>0</v>
      </c>
      <c r="M183" s="18">
        <v>0.15000000596046448</v>
      </c>
      <c r="N183" s="18">
        <v>0</v>
      </c>
      <c r="O183" s="18">
        <v>0.10000000149011612</v>
      </c>
      <c r="P183" s="19">
        <v>0.18181818452748383</v>
      </c>
      <c r="Q183" s="18">
        <v>0.20000000298023224</v>
      </c>
      <c r="R183" s="19">
        <v>0.36363636905496766</v>
      </c>
      <c r="S183" s="18">
        <v>0.10000000149011612</v>
      </c>
      <c r="T183" s="19">
        <v>0.18181818452748383</v>
      </c>
      <c r="U183" s="18">
        <v>0.15000000596046448</v>
      </c>
      <c r="V183" s="19">
        <v>0.27272728356448084</v>
      </c>
      <c r="W183">
        <f t="shared" si="28"/>
        <v>0.30000000447034836</v>
      </c>
      <c r="X183" s="19">
        <f t="shared" si="29"/>
        <v>0.54545455358245154</v>
      </c>
      <c r="Y183">
        <f t="shared" si="30"/>
        <v>0.2500000074505806</v>
      </c>
      <c r="Z183" s="19">
        <f t="shared" si="31"/>
        <v>0.45454546809196467</v>
      </c>
      <c r="AA183" s="19">
        <f t="shared" si="32"/>
        <v>0.47272728654471308</v>
      </c>
      <c r="AB183" t="str">
        <f t="shared" si="33"/>
        <v>Rusak Berat Dominan</v>
      </c>
      <c r="AC183" s="19">
        <f>IF(Dashboard!$B$7="Mantap (%)",X183,IF(Dashboard!$B$7="Tidak Mantap (%)",Z183,IF(Dashboard!$B$7="Baik (%)",P183,IF(Dashboard!$B$7="Sedang (%)",R183,IF(Dashboard!$B$7="Rusak Ringan (%)",T183,IF(Dashboard!$B$7="Rusak Berat (%)",V183,AA183))))))</f>
        <v>0.45454546809196467</v>
      </c>
      <c r="AD183" s="20">
        <f>IF(AND(AF183=1,E183&gt;=Dashboard!$B$10,IF(Dashboard!$B$9="≤ Maksimum",AC183&lt;=Dashboard!$B$8,AC183&gt;=Dashboard!$B$8)),1,0)</f>
        <v>1</v>
      </c>
      <c r="AE183" s="20">
        <f>IF(AD183=1,COUNTIFS($AD$2:$AD$351,1,$AC$2:$AC$351,"&gt;"&amp;AC183)+COUNTIFS($AD$2:AD183,1,$AC$2:AC183,AC183),"")</f>
        <v>135</v>
      </c>
      <c r="AF183" s="20">
        <f>IF(OR(Dashboard!$B$6="Semua",ISNUMBER(SEARCH(Dashboard!$B$6,D183))),1,0)</f>
        <v>1</v>
      </c>
      <c r="AG183" s="18">
        <f t="shared" si="34"/>
        <v>0.55000000000000004</v>
      </c>
      <c r="AH183" s="18">
        <f t="shared" si="35"/>
        <v>0.30000000447034836</v>
      </c>
      <c r="AI183" s="18">
        <f t="shared" si="36"/>
        <v>0.2500000074505806</v>
      </c>
      <c r="AJ183" s="18">
        <f t="shared" si="37"/>
        <v>0.15000000596046448</v>
      </c>
      <c r="AK183" s="20">
        <f>IF(OR(Ruas_Per_Kecamatan!$B$4="Semua",ISNUMBER(SEARCH(Ruas_Per_Kecamatan!$B$4,D183))),1,0)</f>
        <v>1</v>
      </c>
      <c r="AL183" s="20">
        <f>IF(AK183=1,COUNTIF($AK$2:AK183,1),"")</f>
        <v>182</v>
      </c>
      <c r="AM183" s="18">
        <f t="shared" si="38"/>
        <v>0.55000000000000004</v>
      </c>
      <c r="AN183" s="18">
        <f t="shared" si="39"/>
        <v>0.30000000447034836</v>
      </c>
      <c r="AO183" s="18">
        <f t="shared" si="40"/>
        <v>0.2500000074505806</v>
      </c>
      <c r="AP183" s="18">
        <f t="shared" si="41"/>
        <v>0.15000000596046448</v>
      </c>
    </row>
    <row r="184" spans="1:42" x14ac:dyDescent="0.25">
      <c r="A184" s="17">
        <v>183</v>
      </c>
      <c r="B184" s="17" t="s">
        <v>632</v>
      </c>
      <c r="C184" s="21" t="s">
        <v>227</v>
      </c>
      <c r="D184" s="17" t="s">
        <v>215</v>
      </c>
      <c r="E184" s="18">
        <v>3.67</v>
      </c>
      <c r="F184" s="18">
        <v>3</v>
      </c>
      <c r="G184" s="18">
        <v>0</v>
      </c>
      <c r="H184" s="18"/>
      <c r="I184" s="18">
        <v>2025</v>
      </c>
      <c r="J184" s="18">
        <v>0</v>
      </c>
      <c r="K184" s="18">
        <v>0</v>
      </c>
      <c r="L184" s="18">
        <v>0</v>
      </c>
      <c r="M184" s="18">
        <v>0</v>
      </c>
      <c r="N184" s="18">
        <v>3.6700000762939453</v>
      </c>
      <c r="O184" s="18">
        <v>0</v>
      </c>
      <c r="P184" s="19">
        <v>0</v>
      </c>
      <c r="Q184" s="18">
        <v>0</v>
      </c>
      <c r="R184" s="19">
        <v>0</v>
      </c>
      <c r="S184" s="18">
        <v>0</v>
      </c>
      <c r="T184" s="19">
        <v>0</v>
      </c>
      <c r="U184" s="18">
        <v>3.6700000762939453</v>
      </c>
      <c r="V184" s="19">
        <v>1.0000000207885409</v>
      </c>
      <c r="W184">
        <f t="shared" si="28"/>
        <v>0</v>
      </c>
      <c r="X184" s="19">
        <f t="shared" si="29"/>
        <v>0</v>
      </c>
      <c r="Y184">
        <f t="shared" si="30"/>
        <v>3.6700000762939453</v>
      </c>
      <c r="Z184" s="19">
        <f t="shared" si="31"/>
        <v>1.0000000207885409</v>
      </c>
      <c r="AA184" s="19">
        <f t="shared" si="32"/>
        <v>1.0000000207885409</v>
      </c>
      <c r="AB184" t="str">
        <f t="shared" si="33"/>
        <v>Rusak Berat Dominan</v>
      </c>
      <c r="AC184" s="19">
        <f>IF(Dashboard!$B$7="Mantap (%)",X184,IF(Dashboard!$B$7="Tidak Mantap (%)",Z184,IF(Dashboard!$B$7="Baik (%)",P184,IF(Dashboard!$B$7="Sedang (%)",R184,IF(Dashboard!$B$7="Rusak Ringan (%)",T184,IF(Dashboard!$B$7="Rusak Berat (%)",V184,AA184))))))</f>
        <v>1.0000000207885409</v>
      </c>
      <c r="AD184" s="20">
        <f>IF(AND(AF184=1,E184&gt;=Dashboard!$B$10,IF(Dashboard!$B$9="≤ Maksimum",AC184&lt;=Dashboard!$B$8,AC184&gt;=Dashboard!$B$8)),1,0)</f>
        <v>1</v>
      </c>
      <c r="AE184" s="20">
        <f>IF(AD184=1,COUNTIFS($AD$2:$AD$351,1,$AC$2:$AC$351,"&gt;"&amp;AC184)+COUNTIFS($AD$2:AD184,1,$AC$2:AC184,AC184),"")</f>
        <v>15</v>
      </c>
      <c r="AF184" s="20">
        <f>IF(OR(Dashboard!$B$6="Semua",ISNUMBER(SEARCH(Dashboard!$B$6,D184))),1,0)</f>
        <v>1</v>
      </c>
      <c r="AG184" s="18">
        <f t="shared" si="34"/>
        <v>3.67</v>
      </c>
      <c r="AH184" s="18">
        <f t="shared" si="35"/>
        <v>0</v>
      </c>
      <c r="AI184" s="18">
        <f t="shared" si="36"/>
        <v>3.6700000762939453</v>
      </c>
      <c r="AJ184" s="18">
        <f t="shared" si="37"/>
        <v>3.6700000762939453</v>
      </c>
      <c r="AK184" s="20">
        <f>IF(OR(Ruas_Per_Kecamatan!$B$4="Semua",ISNUMBER(SEARCH(Ruas_Per_Kecamatan!$B$4,D184))),1,0)</f>
        <v>1</v>
      </c>
      <c r="AL184" s="20">
        <f>IF(AK184=1,COUNTIF($AK$2:AK184,1),"")</f>
        <v>183</v>
      </c>
      <c r="AM184" s="18">
        <f t="shared" si="38"/>
        <v>3.67</v>
      </c>
      <c r="AN184" s="18">
        <f t="shared" si="39"/>
        <v>0</v>
      </c>
      <c r="AO184" s="18">
        <f t="shared" si="40"/>
        <v>3.6700000762939453</v>
      </c>
      <c r="AP184" s="18">
        <f t="shared" si="41"/>
        <v>3.6700000762939453</v>
      </c>
    </row>
    <row r="185" spans="1:42" x14ac:dyDescent="0.25">
      <c r="A185" s="17">
        <v>184</v>
      </c>
      <c r="B185" s="17" t="s">
        <v>633</v>
      </c>
      <c r="C185" s="21" t="s">
        <v>228</v>
      </c>
      <c r="D185" s="17" t="s">
        <v>209</v>
      </c>
      <c r="E185" s="18">
        <v>2.2599999999999998</v>
      </c>
      <c r="F185" s="18">
        <v>3</v>
      </c>
      <c r="G185" s="18">
        <v>0</v>
      </c>
      <c r="H185" s="18"/>
      <c r="I185" s="18">
        <v>2025</v>
      </c>
      <c r="J185" s="18">
        <v>2.2599999904632568</v>
      </c>
      <c r="K185" s="18">
        <v>0</v>
      </c>
      <c r="L185" s="18">
        <v>0</v>
      </c>
      <c r="M185" s="18">
        <v>0</v>
      </c>
      <c r="N185" s="18">
        <v>0</v>
      </c>
      <c r="O185" s="18">
        <v>1.2000000476837158</v>
      </c>
      <c r="P185" s="19">
        <v>0.53097347242642301</v>
      </c>
      <c r="Q185" s="18">
        <v>1.059999942779541</v>
      </c>
      <c r="R185" s="19">
        <v>0.46902652335377926</v>
      </c>
      <c r="S185" s="18">
        <v>0</v>
      </c>
      <c r="T185" s="19">
        <v>0</v>
      </c>
      <c r="U185" s="18">
        <v>0</v>
      </c>
      <c r="V185" s="19">
        <v>0</v>
      </c>
      <c r="W185">
        <f t="shared" si="28"/>
        <v>2.2599999904632568</v>
      </c>
      <c r="X185" s="19">
        <f t="shared" si="29"/>
        <v>0.99999999578020227</v>
      </c>
      <c r="Y185">
        <f t="shared" si="30"/>
        <v>0</v>
      </c>
      <c r="Z185" s="19">
        <f t="shared" si="31"/>
        <v>0</v>
      </c>
      <c r="AA185" s="19">
        <f t="shared" si="32"/>
        <v>0.11725663083844481</v>
      </c>
      <c r="AB185" t="str">
        <f t="shared" si="33"/>
        <v>Relatif Mantap</v>
      </c>
      <c r="AC185" s="19">
        <f>IF(Dashboard!$B$7="Mantap (%)",X185,IF(Dashboard!$B$7="Tidak Mantap (%)",Z185,IF(Dashboard!$B$7="Baik (%)",P185,IF(Dashboard!$B$7="Sedang (%)",R185,IF(Dashboard!$B$7="Rusak Ringan (%)",T185,IF(Dashboard!$B$7="Rusak Berat (%)",V185,AA185))))))</f>
        <v>0</v>
      </c>
      <c r="AD185" s="20">
        <f>IF(AND(AF185=1,E185&gt;=Dashboard!$B$10,IF(Dashboard!$B$9="≤ Maksimum",AC185&lt;=Dashboard!$B$8,AC185&gt;=Dashboard!$B$8)),1,0)</f>
        <v>0</v>
      </c>
      <c r="AE185" s="20" t="str">
        <f>IF(AD185=1,COUNTIFS($AD$2:$AD$351,1,$AC$2:$AC$351,"&gt;"&amp;AC185)+COUNTIFS($AD$2:AD185,1,$AC$2:AC185,AC185),"")</f>
        <v/>
      </c>
      <c r="AF185" s="20">
        <f>IF(OR(Dashboard!$B$6="Semua",ISNUMBER(SEARCH(Dashboard!$B$6,D185))),1,0)</f>
        <v>1</v>
      </c>
      <c r="AG185" s="18">
        <f t="shared" si="34"/>
        <v>2.2599999999999998</v>
      </c>
      <c r="AH185" s="18">
        <f t="shared" si="35"/>
        <v>2.2599999904632568</v>
      </c>
      <c r="AI185" s="18">
        <f t="shared" si="36"/>
        <v>0</v>
      </c>
      <c r="AJ185" s="18">
        <f t="shared" si="37"/>
        <v>0</v>
      </c>
      <c r="AK185" s="20">
        <f>IF(OR(Ruas_Per_Kecamatan!$B$4="Semua",ISNUMBER(SEARCH(Ruas_Per_Kecamatan!$B$4,D185))),1,0)</f>
        <v>1</v>
      </c>
      <c r="AL185" s="20">
        <f>IF(AK185=1,COUNTIF($AK$2:AK185,1),"")</f>
        <v>184</v>
      </c>
      <c r="AM185" s="18">
        <f t="shared" si="38"/>
        <v>2.2599999999999998</v>
      </c>
      <c r="AN185" s="18">
        <f t="shared" si="39"/>
        <v>2.2599999904632568</v>
      </c>
      <c r="AO185" s="18">
        <f t="shared" si="40"/>
        <v>0</v>
      </c>
      <c r="AP185" s="18">
        <f t="shared" si="41"/>
        <v>0</v>
      </c>
    </row>
    <row r="186" spans="1:42" x14ac:dyDescent="0.25">
      <c r="A186" s="17">
        <v>185</v>
      </c>
      <c r="B186" s="17" t="s">
        <v>634</v>
      </c>
      <c r="C186" s="21" t="s">
        <v>229</v>
      </c>
      <c r="D186" s="17" t="s">
        <v>209</v>
      </c>
      <c r="E186" s="18">
        <v>0.98</v>
      </c>
      <c r="F186" s="18">
        <v>3</v>
      </c>
      <c r="G186" s="18">
        <v>0</v>
      </c>
      <c r="H186" s="18"/>
      <c r="I186" s="18">
        <v>2025</v>
      </c>
      <c r="J186" s="18">
        <v>0</v>
      </c>
      <c r="K186" s="18">
        <v>0</v>
      </c>
      <c r="L186" s="18">
        <v>0.98000001907348633</v>
      </c>
      <c r="M186" s="18">
        <v>0</v>
      </c>
      <c r="N186" s="18">
        <v>0</v>
      </c>
      <c r="O186" s="18">
        <v>0</v>
      </c>
      <c r="P186" s="19">
        <v>0</v>
      </c>
      <c r="Q186" s="18">
        <v>0.57999998331069946</v>
      </c>
      <c r="R186" s="19">
        <v>0.59183671766397905</v>
      </c>
      <c r="S186" s="18">
        <v>0.10000000149011612</v>
      </c>
      <c r="T186" s="19">
        <v>0.10204081784705726</v>
      </c>
      <c r="U186" s="18">
        <v>0.30000001192092896</v>
      </c>
      <c r="V186" s="19">
        <v>0.30612246114380504</v>
      </c>
      <c r="W186">
        <f t="shared" si="28"/>
        <v>0.57999998331069946</v>
      </c>
      <c r="X186" s="19">
        <f t="shared" si="29"/>
        <v>0.59183671766397905</v>
      </c>
      <c r="Y186">
        <f t="shared" si="30"/>
        <v>0.40000001341104507</v>
      </c>
      <c r="Z186" s="19">
        <f t="shared" si="31"/>
        <v>0.40816327899086235</v>
      </c>
      <c r="AA186" s="19">
        <f t="shared" si="32"/>
        <v>0.51530613126803415</v>
      </c>
      <c r="AB186" t="str">
        <f t="shared" si="33"/>
        <v>Rusak Berat Dominan</v>
      </c>
      <c r="AC186" s="19">
        <f>IF(Dashboard!$B$7="Mantap (%)",X186,IF(Dashboard!$B$7="Tidak Mantap (%)",Z186,IF(Dashboard!$B$7="Baik (%)",P186,IF(Dashboard!$B$7="Sedang (%)",R186,IF(Dashboard!$B$7="Rusak Ringan (%)",T186,IF(Dashboard!$B$7="Rusak Berat (%)",V186,AA186))))))</f>
        <v>0.40816327899086235</v>
      </c>
      <c r="AD186" s="20">
        <f>IF(AND(AF186=1,E186&gt;=Dashboard!$B$10,IF(Dashboard!$B$9="≤ Maksimum",AC186&lt;=Dashboard!$B$8,AC186&gt;=Dashboard!$B$8)),1,0)</f>
        <v>1</v>
      </c>
      <c r="AE186" s="20">
        <f>IF(AD186=1,COUNTIFS($AD$2:$AD$351,1,$AC$2:$AC$351,"&gt;"&amp;AC186)+COUNTIFS($AD$2:AD186,1,$AC$2:AC186,AC186),"")</f>
        <v>148</v>
      </c>
      <c r="AF186" s="20">
        <f>IF(OR(Dashboard!$B$6="Semua",ISNUMBER(SEARCH(Dashboard!$B$6,D186))),1,0)</f>
        <v>1</v>
      </c>
      <c r="AG186" s="18">
        <f t="shared" si="34"/>
        <v>0.98</v>
      </c>
      <c r="AH186" s="18">
        <f t="shared" si="35"/>
        <v>0.57999998331069946</v>
      </c>
      <c r="AI186" s="18">
        <f t="shared" si="36"/>
        <v>0.40000001341104507</v>
      </c>
      <c r="AJ186" s="18">
        <f t="shared" si="37"/>
        <v>0.30000001192092896</v>
      </c>
      <c r="AK186" s="20">
        <f>IF(OR(Ruas_Per_Kecamatan!$B$4="Semua",ISNUMBER(SEARCH(Ruas_Per_Kecamatan!$B$4,D186))),1,0)</f>
        <v>1</v>
      </c>
      <c r="AL186" s="20">
        <f>IF(AK186=1,COUNTIF($AK$2:AK186,1),"")</f>
        <v>185</v>
      </c>
      <c r="AM186" s="18">
        <f t="shared" si="38"/>
        <v>0.98</v>
      </c>
      <c r="AN186" s="18">
        <f t="shared" si="39"/>
        <v>0.57999998331069946</v>
      </c>
      <c r="AO186" s="18">
        <f t="shared" si="40"/>
        <v>0.40000001341104507</v>
      </c>
      <c r="AP186" s="18">
        <f t="shared" si="41"/>
        <v>0.30000001192092896</v>
      </c>
    </row>
    <row r="187" spans="1:42" x14ac:dyDescent="0.25">
      <c r="A187" s="17">
        <v>186</v>
      </c>
      <c r="B187" s="17" t="s">
        <v>635</v>
      </c>
      <c r="C187" s="21" t="s">
        <v>230</v>
      </c>
      <c r="D187" s="17" t="s">
        <v>209</v>
      </c>
      <c r="E187" s="18">
        <v>3.63</v>
      </c>
      <c r="F187" s="18">
        <v>3</v>
      </c>
      <c r="G187" s="18">
        <v>0</v>
      </c>
      <c r="H187" s="18"/>
      <c r="I187" s="18">
        <v>2025</v>
      </c>
      <c r="J187" s="18">
        <v>1.3999999761581421</v>
      </c>
      <c r="K187" s="18">
        <v>0</v>
      </c>
      <c r="L187" s="18">
        <v>0</v>
      </c>
      <c r="M187" s="18">
        <v>2.2300000190734863</v>
      </c>
      <c r="N187" s="18">
        <v>0</v>
      </c>
      <c r="O187" s="18">
        <v>0</v>
      </c>
      <c r="P187" s="19">
        <v>0</v>
      </c>
      <c r="Q187" s="18">
        <v>0.20000000298023224</v>
      </c>
      <c r="R187" s="19">
        <v>5.5096419553782985E-2</v>
      </c>
      <c r="S187" s="18">
        <v>1.1000000238418579</v>
      </c>
      <c r="T187" s="19">
        <v>0.30303030959830796</v>
      </c>
      <c r="U187" s="18">
        <v>2.3300000205636024</v>
      </c>
      <c r="V187" s="19">
        <v>0.64187328390181886</v>
      </c>
      <c r="W187">
        <f t="shared" si="28"/>
        <v>0.20000000298023224</v>
      </c>
      <c r="X187" s="19">
        <f t="shared" si="29"/>
        <v>5.5096419553782985E-2</v>
      </c>
      <c r="Y187">
        <f t="shared" si="30"/>
        <v>3.4300000444054604</v>
      </c>
      <c r="Z187" s="19">
        <f t="shared" si="31"/>
        <v>0.94490359350012687</v>
      </c>
      <c r="AA187" s="19">
        <f t="shared" si="32"/>
        <v>0.83746557454924941</v>
      </c>
      <c r="AB187" t="str">
        <f t="shared" si="33"/>
        <v>Rusak Berat Dominan</v>
      </c>
      <c r="AC187" s="19">
        <f>IF(Dashboard!$B$7="Mantap (%)",X187,IF(Dashboard!$B$7="Tidak Mantap (%)",Z187,IF(Dashboard!$B$7="Baik (%)",P187,IF(Dashboard!$B$7="Sedang (%)",R187,IF(Dashboard!$B$7="Rusak Ringan (%)",T187,IF(Dashboard!$B$7="Rusak Berat (%)",V187,AA187))))))</f>
        <v>0.94490359350012687</v>
      </c>
      <c r="AD187" s="20">
        <f>IF(AND(AF187=1,E187&gt;=Dashboard!$B$10,IF(Dashboard!$B$9="≤ Maksimum",AC187&lt;=Dashboard!$B$8,AC187&gt;=Dashboard!$B$8)),1,0)</f>
        <v>1</v>
      </c>
      <c r="AE187" s="20">
        <f>IF(AD187=1,COUNTIFS($AD$2:$AD$351,1,$AC$2:$AC$351,"&gt;"&amp;AC187)+COUNTIFS($AD$2:AD187,1,$AC$2:AC187,AC187),"")</f>
        <v>52</v>
      </c>
      <c r="AF187" s="20">
        <f>IF(OR(Dashboard!$B$6="Semua",ISNUMBER(SEARCH(Dashboard!$B$6,D187))),1,0)</f>
        <v>1</v>
      </c>
      <c r="AG187" s="18">
        <f t="shared" si="34"/>
        <v>3.63</v>
      </c>
      <c r="AH187" s="18">
        <f t="shared" si="35"/>
        <v>0.20000000298023224</v>
      </c>
      <c r="AI187" s="18">
        <f t="shared" si="36"/>
        <v>3.4300000444054604</v>
      </c>
      <c r="AJ187" s="18">
        <f t="shared" si="37"/>
        <v>2.3300000205636024</v>
      </c>
      <c r="AK187" s="20">
        <f>IF(OR(Ruas_Per_Kecamatan!$B$4="Semua",ISNUMBER(SEARCH(Ruas_Per_Kecamatan!$B$4,D187))),1,0)</f>
        <v>1</v>
      </c>
      <c r="AL187" s="20">
        <f>IF(AK187=1,COUNTIF($AK$2:AK187,1),"")</f>
        <v>186</v>
      </c>
      <c r="AM187" s="18">
        <f t="shared" si="38"/>
        <v>3.63</v>
      </c>
      <c r="AN187" s="18">
        <f t="shared" si="39"/>
        <v>0.20000000298023224</v>
      </c>
      <c r="AO187" s="18">
        <f t="shared" si="40"/>
        <v>3.4300000444054604</v>
      </c>
      <c r="AP187" s="18">
        <f t="shared" si="41"/>
        <v>2.3300000205636024</v>
      </c>
    </row>
    <row r="188" spans="1:42" x14ac:dyDescent="0.25">
      <c r="A188" s="17">
        <v>187</v>
      </c>
      <c r="B188" s="17" t="s">
        <v>636</v>
      </c>
      <c r="C188" s="21" t="s">
        <v>231</v>
      </c>
      <c r="D188" s="17" t="s">
        <v>209</v>
      </c>
      <c r="E188" s="18">
        <v>1.57</v>
      </c>
      <c r="F188" s="18">
        <v>3.5</v>
      </c>
      <c r="G188" s="18">
        <v>0</v>
      </c>
      <c r="H188" s="18"/>
      <c r="I188" s="18">
        <v>2025</v>
      </c>
      <c r="J188" s="18">
        <v>0.20000000298023224</v>
      </c>
      <c r="K188" s="18">
        <v>0</v>
      </c>
      <c r="L188" s="18">
        <v>0</v>
      </c>
      <c r="M188" s="18">
        <v>1.3700000047683716</v>
      </c>
      <c r="N188" s="18">
        <v>0</v>
      </c>
      <c r="O188" s="18">
        <v>0</v>
      </c>
      <c r="P188" s="19">
        <v>0</v>
      </c>
      <c r="Q188" s="18">
        <v>0</v>
      </c>
      <c r="R188" s="19">
        <v>0</v>
      </c>
      <c r="S188" s="18">
        <v>0</v>
      </c>
      <c r="T188" s="19">
        <v>0</v>
      </c>
      <c r="U188" s="18">
        <v>1.5700000077486038</v>
      </c>
      <c r="V188" s="19">
        <v>1.0000000049354163</v>
      </c>
      <c r="W188">
        <f t="shared" si="28"/>
        <v>0</v>
      </c>
      <c r="X188" s="19">
        <f t="shared" si="29"/>
        <v>0</v>
      </c>
      <c r="Y188">
        <f t="shared" si="30"/>
        <v>1.5700000077486038</v>
      </c>
      <c r="Z188" s="19">
        <f t="shared" si="31"/>
        <v>1.0000000049354163</v>
      </c>
      <c r="AA188" s="19">
        <f t="shared" si="32"/>
        <v>1.0000000049354163</v>
      </c>
      <c r="AB188" t="str">
        <f t="shared" si="33"/>
        <v>Rusak Berat Dominan</v>
      </c>
      <c r="AC188" s="19">
        <f>IF(Dashboard!$B$7="Mantap (%)",X188,IF(Dashboard!$B$7="Tidak Mantap (%)",Z188,IF(Dashboard!$B$7="Baik (%)",P188,IF(Dashboard!$B$7="Sedang (%)",R188,IF(Dashboard!$B$7="Rusak Ringan (%)",T188,IF(Dashboard!$B$7="Rusak Berat (%)",V188,AA188))))))</f>
        <v>1.0000000049354163</v>
      </c>
      <c r="AD188" s="20">
        <f>IF(AND(AF188=1,E188&gt;=Dashboard!$B$10,IF(Dashboard!$B$9="≤ Maksimum",AC188&lt;=Dashboard!$B$8,AC188&gt;=Dashboard!$B$8)),1,0)</f>
        <v>1</v>
      </c>
      <c r="AE188" s="20">
        <f>IF(AD188=1,COUNTIFS($AD$2:$AD$351,1,$AC$2:$AC$351,"&gt;"&amp;AC188)+COUNTIFS($AD$2:AD188,1,$AC$2:AC188,AC188),"")</f>
        <v>27</v>
      </c>
      <c r="AF188" s="20">
        <f>IF(OR(Dashboard!$B$6="Semua",ISNUMBER(SEARCH(Dashboard!$B$6,D188))),1,0)</f>
        <v>1</v>
      </c>
      <c r="AG188" s="18">
        <f t="shared" si="34"/>
        <v>1.57</v>
      </c>
      <c r="AH188" s="18">
        <f t="shared" si="35"/>
        <v>0</v>
      </c>
      <c r="AI188" s="18">
        <f t="shared" si="36"/>
        <v>1.5700000077486038</v>
      </c>
      <c r="AJ188" s="18">
        <f t="shared" si="37"/>
        <v>1.5700000077486038</v>
      </c>
      <c r="AK188" s="20">
        <f>IF(OR(Ruas_Per_Kecamatan!$B$4="Semua",ISNUMBER(SEARCH(Ruas_Per_Kecamatan!$B$4,D188))),1,0)</f>
        <v>1</v>
      </c>
      <c r="AL188" s="20">
        <f>IF(AK188=1,COUNTIF($AK$2:AK188,1),"")</f>
        <v>187</v>
      </c>
      <c r="AM188" s="18">
        <f t="shared" si="38"/>
        <v>1.57</v>
      </c>
      <c r="AN188" s="18">
        <f t="shared" si="39"/>
        <v>0</v>
      </c>
      <c r="AO188" s="18">
        <f t="shared" si="40"/>
        <v>1.5700000077486038</v>
      </c>
      <c r="AP188" s="18">
        <f t="shared" si="41"/>
        <v>1.5700000077486038</v>
      </c>
    </row>
    <row r="189" spans="1:42" x14ac:dyDescent="0.25">
      <c r="A189" s="17">
        <v>188</v>
      </c>
      <c r="B189" s="17" t="s">
        <v>637</v>
      </c>
      <c r="C189" s="21" t="s">
        <v>232</v>
      </c>
      <c r="D189" s="17" t="s">
        <v>209</v>
      </c>
      <c r="E189" s="18">
        <v>0.44</v>
      </c>
      <c r="F189" s="18">
        <v>3</v>
      </c>
      <c r="G189" s="18">
        <v>0</v>
      </c>
      <c r="H189" s="18"/>
      <c r="I189" s="18">
        <v>2025</v>
      </c>
      <c r="J189" s="18">
        <v>0.43999999761581421</v>
      </c>
      <c r="K189" s="18">
        <v>0</v>
      </c>
      <c r="L189" s="18">
        <v>0</v>
      </c>
      <c r="M189" s="18">
        <v>0</v>
      </c>
      <c r="N189" s="18">
        <v>0</v>
      </c>
      <c r="O189" s="18">
        <v>0.30000001192092896</v>
      </c>
      <c r="P189" s="19">
        <v>0.68181820891120215</v>
      </c>
      <c r="Q189" s="18">
        <v>3.9999999105930328E-2</v>
      </c>
      <c r="R189" s="19">
        <v>9.090908887711438E-2</v>
      </c>
      <c r="S189" s="18">
        <v>0</v>
      </c>
      <c r="T189" s="19">
        <v>0</v>
      </c>
      <c r="U189" s="18">
        <v>0.10000000149011612</v>
      </c>
      <c r="V189" s="19">
        <v>0.22727273065935483</v>
      </c>
      <c r="W189">
        <f t="shared" si="28"/>
        <v>0.34000001102685928</v>
      </c>
      <c r="X189" s="19">
        <f t="shared" si="29"/>
        <v>0.7727272977883165</v>
      </c>
      <c r="Y189">
        <f t="shared" si="30"/>
        <v>0.10000000149011612</v>
      </c>
      <c r="Z189" s="19">
        <f t="shared" si="31"/>
        <v>0.22727273065935483</v>
      </c>
      <c r="AA189" s="19">
        <f t="shared" si="32"/>
        <v>0.25000000287863344</v>
      </c>
      <c r="AB189" t="str">
        <f t="shared" si="33"/>
        <v>Rusak Berat Dominan</v>
      </c>
      <c r="AC189" s="19">
        <f>IF(Dashboard!$B$7="Mantap (%)",X189,IF(Dashboard!$B$7="Tidak Mantap (%)",Z189,IF(Dashboard!$B$7="Baik (%)",P189,IF(Dashboard!$B$7="Sedang (%)",R189,IF(Dashboard!$B$7="Rusak Ringan (%)",T189,IF(Dashboard!$B$7="Rusak Berat (%)",V189,AA189))))))</f>
        <v>0.22727273065935483</v>
      </c>
      <c r="AD189" s="20">
        <f>IF(AND(AF189=1,E189&gt;=Dashboard!$B$10,IF(Dashboard!$B$9="≤ Maksimum",AC189&lt;=Dashboard!$B$8,AC189&gt;=Dashboard!$B$8)),1,0)</f>
        <v>1</v>
      </c>
      <c r="AE189" s="20">
        <f>IF(AD189=1,COUNTIFS($AD$2:$AD$351,1,$AC$2:$AC$351,"&gt;"&amp;AC189)+COUNTIFS($AD$2:AD189,1,$AC$2:AC189,AC189),"")</f>
        <v>183</v>
      </c>
      <c r="AF189" s="20">
        <f>IF(OR(Dashboard!$B$6="Semua",ISNUMBER(SEARCH(Dashboard!$B$6,D189))),1,0)</f>
        <v>1</v>
      </c>
      <c r="AG189" s="18">
        <f t="shared" si="34"/>
        <v>0.44</v>
      </c>
      <c r="AH189" s="18">
        <f t="shared" si="35"/>
        <v>0.34000001102685928</v>
      </c>
      <c r="AI189" s="18">
        <f t="shared" si="36"/>
        <v>0.10000000149011612</v>
      </c>
      <c r="AJ189" s="18">
        <f t="shared" si="37"/>
        <v>0.10000000149011612</v>
      </c>
      <c r="AK189" s="20">
        <f>IF(OR(Ruas_Per_Kecamatan!$B$4="Semua",ISNUMBER(SEARCH(Ruas_Per_Kecamatan!$B$4,D189))),1,0)</f>
        <v>1</v>
      </c>
      <c r="AL189" s="20">
        <f>IF(AK189=1,COUNTIF($AK$2:AK189,1),"")</f>
        <v>188</v>
      </c>
      <c r="AM189" s="18">
        <f t="shared" si="38"/>
        <v>0.44</v>
      </c>
      <c r="AN189" s="18">
        <f t="shared" si="39"/>
        <v>0.34000001102685928</v>
      </c>
      <c r="AO189" s="18">
        <f t="shared" si="40"/>
        <v>0.10000000149011612</v>
      </c>
      <c r="AP189" s="18">
        <f t="shared" si="41"/>
        <v>0.10000000149011612</v>
      </c>
    </row>
    <row r="190" spans="1:42" x14ac:dyDescent="0.25">
      <c r="A190" s="17">
        <v>189</v>
      </c>
      <c r="B190" s="17" t="s">
        <v>638</v>
      </c>
      <c r="C190" s="21" t="s">
        <v>233</v>
      </c>
      <c r="D190" s="17" t="s">
        <v>209</v>
      </c>
      <c r="E190" s="18">
        <v>1.71</v>
      </c>
      <c r="F190" s="18">
        <v>3</v>
      </c>
      <c r="G190" s="18">
        <v>0</v>
      </c>
      <c r="H190" s="18"/>
      <c r="I190" s="18">
        <v>2025</v>
      </c>
      <c r="J190" s="18">
        <v>1.7100000381469727</v>
      </c>
      <c r="K190" s="18">
        <v>0</v>
      </c>
      <c r="L190" s="18">
        <v>0</v>
      </c>
      <c r="M190" s="18">
        <v>0</v>
      </c>
      <c r="N190" s="18">
        <v>0</v>
      </c>
      <c r="O190" s="18">
        <v>0.5</v>
      </c>
      <c r="P190" s="19">
        <v>0.29239766081871343</v>
      </c>
      <c r="Q190" s="18">
        <v>1.2100000381469727</v>
      </c>
      <c r="R190" s="19">
        <v>0.70760236148945765</v>
      </c>
      <c r="S190" s="18">
        <v>0</v>
      </c>
      <c r="T190" s="19">
        <v>0</v>
      </c>
      <c r="U190" s="18">
        <v>0</v>
      </c>
      <c r="V190" s="19">
        <v>0</v>
      </c>
      <c r="W190">
        <f t="shared" si="28"/>
        <v>1.7100000381469727</v>
      </c>
      <c r="X190" s="19">
        <f t="shared" si="29"/>
        <v>1.0000000223081711</v>
      </c>
      <c r="Y190">
        <f t="shared" si="30"/>
        <v>0</v>
      </c>
      <c r="Z190" s="19">
        <f t="shared" si="31"/>
        <v>0</v>
      </c>
      <c r="AA190" s="19">
        <f t="shared" si="32"/>
        <v>0.17690059037236441</v>
      </c>
      <c r="AB190" t="str">
        <f t="shared" si="33"/>
        <v>Relatif Mantap</v>
      </c>
      <c r="AC190" s="19">
        <f>IF(Dashboard!$B$7="Mantap (%)",X190,IF(Dashboard!$B$7="Tidak Mantap (%)",Z190,IF(Dashboard!$B$7="Baik (%)",P190,IF(Dashboard!$B$7="Sedang (%)",R190,IF(Dashboard!$B$7="Rusak Ringan (%)",T190,IF(Dashboard!$B$7="Rusak Berat (%)",V190,AA190))))))</f>
        <v>0</v>
      </c>
      <c r="AD190" s="20">
        <f>IF(AND(AF190=1,E190&gt;=Dashboard!$B$10,IF(Dashboard!$B$9="≤ Maksimum",AC190&lt;=Dashboard!$B$8,AC190&gt;=Dashboard!$B$8)),1,0)</f>
        <v>0</v>
      </c>
      <c r="AE190" s="20" t="str">
        <f>IF(AD190=1,COUNTIFS($AD$2:$AD$351,1,$AC$2:$AC$351,"&gt;"&amp;AC190)+COUNTIFS($AD$2:AD190,1,$AC$2:AC190,AC190),"")</f>
        <v/>
      </c>
      <c r="AF190" s="20">
        <f>IF(OR(Dashboard!$B$6="Semua",ISNUMBER(SEARCH(Dashboard!$B$6,D190))),1,0)</f>
        <v>1</v>
      </c>
      <c r="AG190" s="18">
        <f t="shared" si="34"/>
        <v>1.71</v>
      </c>
      <c r="AH190" s="18">
        <f t="shared" si="35"/>
        <v>1.7100000381469727</v>
      </c>
      <c r="AI190" s="18">
        <f t="shared" si="36"/>
        <v>0</v>
      </c>
      <c r="AJ190" s="18">
        <f t="shared" si="37"/>
        <v>0</v>
      </c>
      <c r="AK190" s="20">
        <f>IF(OR(Ruas_Per_Kecamatan!$B$4="Semua",ISNUMBER(SEARCH(Ruas_Per_Kecamatan!$B$4,D190))),1,0)</f>
        <v>1</v>
      </c>
      <c r="AL190" s="20">
        <f>IF(AK190=1,COUNTIF($AK$2:AK190,1),"")</f>
        <v>189</v>
      </c>
      <c r="AM190" s="18">
        <f t="shared" si="38"/>
        <v>1.71</v>
      </c>
      <c r="AN190" s="18">
        <f t="shared" si="39"/>
        <v>1.7100000381469727</v>
      </c>
      <c r="AO190" s="18">
        <f t="shared" si="40"/>
        <v>0</v>
      </c>
      <c r="AP190" s="18">
        <f t="shared" si="41"/>
        <v>0</v>
      </c>
    </row>
    <row r="191" spans="1:42" x14ac:dyDescent="0.25">
      <c r="A191" s="17">
        <v>190</v>
      </c>
      <c r="B191" s="17" t="s">
        <v>639</v>
      </c>
      <c r="C191" s="21" t="s">
        <v>234</v>
      </c>
      <c r="D191" s="17" t="s">
        <v>209</v>
      </c>
      <c r="E191" s="18">
        <v>0.7</v>
      </c>
      <c r="F191" s="18">
        <v>3</v>
      </c>
      <c r="G191" s="18">
        <v>0</v>
      </c>
      <c r="H191" s="18"/>
      <c r="I191" s="18">
        <v>2025</v>
      </c>
      <c r="J191" s="18">
        <v>0.69999998807907104</v>
      </c>
      <c r="K191" s="18">
        <v>0</v>
      </c>
      <c r="L191" s="18">
        <v>0</v>
      </c>
      <c r="M191" s="18">
        <v>0</v>
      </c>
      <c r="N191" s="18">
        <v>0</v>
      </c>
      <c r="O191" s="18">
        <v>0.10000000149011612</v>
      </c>
      <c r="P191" s="19">
        <v>0.14285714498588017</v>
      </c>
      <c r="Q191" s="18">
        <v>0.30000001192092896</v>
      </c>
      <c r="R191" s="19">
        <v>0.42857144560132709</v>
      </c>
      <c r="S191" s="18">
        <v>0.20000000298023224</v>
      </c>
      <c r="T191" s="19">
        <v>0.28571428997176035</v>
      </c>
      <c r="U191" s="18">
        <v>0.10000000149011612</v>
      </c>
      <c r="V191" s="19">
        <v>0.14285714498588017</v>
      </c>
      <c r="W191">
        <f t="shared" si="28"/>
        <v>0.40000001341104507</v>
      </c>
      <c r="X191" s="19">
        <f t="shared" si="29"/>
        <v>0.5714285905872073</v>
      </c>
      <c r="Y191">
        <f t="shared" si="30"/>
        <v>0.30000000447034836</v>
      </c>
      <c r="Z191" s="19">
        <f t="shared" si="31"/>
        <v>0.42857143495764055</v>
      </c>
      <c r="AA191" s="19">
        <f t="shared" si="32"/>
        <v>0.42142858036926811</v>
      </c>
      <c r="AB191" t="str">
        <f t="shared" si="33"/>
        <v>Tidak Mantap Sedang</v>
      </c>
      <c r="AC191" s="19">
        <f>IF(Dashboard!$B$7="Mantap (%)",X191,IF(Dashboard!$B$7="Tidak Mantap (%)",Z191,IF(Dashboard!$B$7="Baik (%)",P191,IF(Dashboard!$B$7="Sedang (%)",R191,IF(Dashboard!$B$7="Rusak Ringan (%)",T191,IF(Dashboard!$B$7="Rusak Berat (%)",V191,AA191))))))</f>
        <v>0.42857143495764055</v>
      </c>
      <c r="AD191" s="20">
        <f>IF(AND(AF191=1,E191&gt;=Dashboard!$B$10,IF(Dashboard!$B$9="≤ Maksimum",AC191&lt;=Dashboard!$B$8,AC191&gt;=Dashboard!$B$8)),1,0)</f>
        <v>1</v>
      </c>
      <c r="AE191" s="20">
        <f>IF(AD191=1,COUNTIFS($AD$2:$AD$351,1,$AC$2:$AC$351,"&gt;"&amp;AC191)+COUNTIFS($AD$2:AD191,1,$AC$2:AC191,AC191),"")</f>
        <v>145</v>
      </c>
      <c r="AF191" s="20">
        <f>IF(OR(Dashboard!$B$6="Semua",ISNUMBER(SEARCH(Dashboard!$B$6,D191))),1,0)</f>
        <v>1</v>
      </c>
      <c r="AG191" s="18">
        <f t="shared" si="34"/>
        <v>0.7</v>
      </c>
      <c r="AH191" s="18">
        <f t="shared" si="35"/>
        <v>0.40000001341104507</v>
      </c>
      <c r="AI191" s="18">
        <f t="shared" si="36"/>
        <v>0.30000000447034836</v>
      </c>
      <c r="AJ191" s="18">
        <f t="shared" si="37"/>
        <v>0.10000000149011612</v>
      </c>
      <c r="AK191" s="20">
        <f>IF(OR(Ruas_Per_Kecamatan!$B$4="Semua",ISNUMBER(SEARCH(Ruas_Per_Kecamatan!$B$4,D191))),1,0)</f>
        <v>1</v>
      </c>
      <c r="AL191" s="20">
        <f>IF(AK191=1,COUNTIF($AK$2:AK191,1),"")</f>
        <v>190</v>
      </c>
      <c r="AM191" s="18">
        <f t="shared" si="38"/>
        <v>0.7</v>
      </c>
      <c r="AN191" s="18">
        <f t="shared" si="39"/>
        <v>0.40000001341104507</v>
      </c>
      <c r="AO191" s="18">
        <f t="shared" si="40"/>
        <v>0.30000000447034836</v>
      </c>
      <c r="AP191" s="18">
        <f t="shared" si="41"/>
        <v>0.10000000149011612</v>
      </c>
    </row>
    <row r="192" spans="1:42" x14ac:dyDescent="0.25">
      <c r="A192" s="17">
        <v>191</v>
      </c>
      <c r="B192" s="17" t="s">
        <v>640</v>
      </c>
      <c r="C192" s="21" t="s">
        <v>235</v>
      </c>
      <c r="D192" s="17" t="s">
        <v>209</v>
      </c>
      <c r="E192" s="18">
        <v>0.66</v>
      </c>
      <c r="F192" s="18">
        <v>3</v>
      </c>
      <c r="G192" s="18">
        <v>0</v>
      </c>
      <c r="H192" s="18"/>
      <c r="I192" s="18">
        <v>2025</v>
      </c>
      <c r="J192" s="18">
        <v>0.10000000149011612</v>
      </c>
      <c r="K192" s="18">
        <v>0</v>
      </c>
      <c r="L192" s="18">
        <v>0</v>
      </c>
      <c r="M192" s="18">
        <v>0.56000000238418579</v>
      </c>
      <c r="N192" s="18">
        <v>0</v>
      </c>
      <c r="O192" s="18">
        <v>0</v>
      </c>
      <c r="P192" s="19">
        <v>0</v>
      </c>
      <c r="Q192" s="18">
        <v>0</v>
      </c>
      <c r="R192" s="19">
        <v>0</v>
      </c>
      <c r="S192" s="18">
        <v>0.10000000149011612</v>
      </c>
      <c r="T192" s="19">
        <v>0.1515151537729032</v>
      </c>
      <c r="U192" s="18">
        <v>0.56000000238418579</v>
      </c>
      <c r="V192" s="19">
        <v>0.84848485209725111</v>
      </c>
      <c r="W192">
        <f t="shared" si="28"/>
        <v>0</v>
      </c>
      <c r="X192" s="19">
        <f t="shared" si="29"/>
        <v>0</v>
      </c>
      <c r="Y192">
        <f t="shared" si="30"/>
        <v>0.66000000387430191</v>
      </c>
      <c r="Z192" s="19">
        <f t="shared" si="31"/>
        <v>1.0000000058701544</v>
      </c>
      <c r="AA192" s="19">
        <f t="shared" si="32"/>
        <v>0.93939394436099299</v>
      </c>
      <c r="AB192" t="str">
        <f t="shared" si="33"/>
        <v>Rusak Berat Dominan</v>
      </c>
      <c r="AC192" s="19">
        <f>IF(Dashboard!$B$7="Mantap (%)",X192,IF(Dashboard!$B$7="Tidak Mantap (%)",Z192,IF(Dashboard!$B$7="Baik (%)",P192,IF(Dashboard!$B$7="Sedang (%)",R192,IF(Dashboard!$B$7="Rusak Ringan (%)",T192,IF(Dashboard!$B$7="Rusak Berat (%)",V192,AA192))))))</f>
        <v>1.0000000058701544</v>
      </c>
      <c r="AD192" s="20">
        <f>IF(AND(AF192=1,E192&gt;=Dashboard!$B$10,IF(Dashboard!$B$9="≤ Maksimum",AC192&lt;=Dashboard!$B$8,AC192&gt;=Dashboard!$B$8)),1,0)</f>
        <v>1</v>
      </c>
      <c r="AE192" s="20">
        <f>IF(AD192=1,COUNTIFS($AD$2:$AD$351,1,$AC$2:$AC$351,"&gt;"&amp;AC192)+COUNTIFS($AD$2:AD192,1,$AC$2:AC192,AC192),"")</f>
        <v>26</v>
      </c>
      <c r="AF192" s="20">
        <f>IF(OR(Dashboard!$B$6="Semua",ISNUMBER(SEARCH(Dashboard!$B$6,D192))),1,0)</f>
        <v>1</v>
      </c>
      <c r="AG192" s="18">
        <f t="shared" si="34"/>
        <v>0.66</v>
      </c>
      <c r="AH192" s="18">
        <f t="shared" si="35"/>
        <v>0</v>
      </c>
      <c r="AI192" s="18">
        <f t="shared" si="36"/>
        <v>0.66000000387430191</v>
      </c>
      <c r="AJ192" s="18">
        <f t="shared" si="37"/>
        <v>0.56000000238418579</v>
      </c>
      <c r="AK192" s="20">
        <f>IF(OR(Ruas_Per_Kecamatan!$B$4="Semua",ISNUMBER(SEARCH(Ruas_Per_Kecamatan!$B$4,D192))),1,0)</f>
        <v>1</v>
      </c>
      <c r="AL192" s="20">
        <f>IF(AK192=1,COUNTIF($AK$2:AK192,1),"")</f>
        <v>191</v>
      </c>
      <c r="AM192" s="18">
        <f t="shared" si="38"/>
        <v>0.66</v>
      </c>
      <c r="AN192" s="18">
        <f t="shared" si="39"/>
        <v>0</v>
      </c>
      <c r="AO192" s="18">
        <f t="shared" si="40"/>
        <v>0.66000000387430191</v>
      </c>
      <c r="AP192" s="18">
        <f t="shared" si="41"/>
        <v>0.56000000238418579</v>
      </c>
    </row>
    <row r="193" spans="1:42" x14ac:dyDescent="0.25">
      <c r="A193" s="17">
        <v>192</v>
      </c>
      <c r="B193" s="17" t="s">
        <v>641</v>
      </c>
      <c r="C193" s="21" t="s">
        <v>236</v>
      </c>
      <c r="D193" s="17" t="s">
        <v>209</v>
      </c>
      <c r="E193" s="18">
        <v>1.18</v>
      </c>
      <c r="F193" s="18">
        <v>3.5</v>
      </c>
      <c r="G193" s="18">
        <v>0</v>
      </c>
      <c r="H193" s="18"/>
      <c r="I193" s="18">
        <v>2025</v>
      </c>
      <c r="J193" s="18">
        <v>1.1799999475479126</v>
      </c>
      <c r="K193" s="18">
        <v>0</v>
      </c>
      <c r="L193" s="18">
        <v>0</v>
      </c>
      <c r="M193" s="18">
        <v>0</v>
      </c>
      <c r="N193" s="18">
        <v>0</v>
      </c>
      <c r="O193" s="18">
        <v>0.98000001907348633</v>
      </c>
      <c r="P193" s="19">
        <v>0.83050849074024269</v>
      </c>
      <c r="Q193" s="18">
        <v>0.10000000149011612</v>
      </c>
      <c r="R193" s="19">
        <v>8.4745763974674676E-2</v>
      </c>
      <c r="S193" s="18">
        <v>0.10000000149011612</v>
      </c>
      <c r="T193" s="19">
        <v>8.4745763974674676E-2</v>
      </c>
      <c r="U193" s="18">
        <v>0</v>
      </c>
      <c r="V193" s="19">
        <v>0</v>
      </c>
      <c r="W193">
        <f t="shared" si="28"/>
        <v>1.0800000205636024</v>
      </c>
      <c r="X193" s="19">
        <f t="shared" si="29"/>
        <v>0.91525425471491739</v>
      </c>
      <c r="Y193">
        <f t="shared" si="30"/>
        <v>0.10000000149011612</v>
      </c>
      <c r="Z193" s="19">
        <f t="shared" si="31"/>
        <v>8.4745763974674676E-2</v>
      </c>
      <c r="AA193" s="19">
        <f t="shared" si="32"/>
        <v>7.2033899378473473E-2</v>
      </c>
      <c r="AB193" t="str">
        <f t="shared" si="33"/>
        <v>Relatif Mantap</v>
      </c>
      <c r="AC193" s="19">
        <f>IF(Dashboard!$B$7="Mantap (%)",X193,IF(Dashboard!$B$7="Tidak Mantap (%)",Z193,IF(Dashboard!$B$7="Baik (%)",P193,IF(Dashboard!$B$7="Sedang (%)",R193,IF(Dashboard!$B$7="Rusak Ringan (%)",T193,IF(Dashboard!$B$7="Rusak Berat (%)",V193,AA193))))))</f>
        <v>8.4745763974674676E-2</v>
      </c>
      <c r="AD193" s="20">
        <f>IF(AND(AF193=1,E193&gt;=Dashboard!$B$10,IF(Dashboard!$B$9="≤ Maksimum",AC193&lt;=Dashboard!$B$8,AC193&gt;=Dashboard!$B$8)),1,0)</f>
        <v>0</v>
      </c>
      <c r="AE193" s="20" t="str">
        <f>IF(AD193=1,COUNTIFS($AD$2:$AD$351,1,$AC$2:$AC$351,"&gt;"&amp;AC193)+COUNTIFS($AD$2:AD193,1,$AC$2:AC193,AC193),"")</f>
        <v/>
      </c>
      <c r="AF193" s="20">
        <f>IF(OR(Dashboard!$B$6="Semua",ISNUMBER(SEARCH(Dashboard!$B$6,D193))),1,0)</f>
        <v>1</v>
      </c>
      <c r="AG193" s="18">
        <f t="shared" si="34"/>
        <v>1.18</v>
      </c>
      <c r="AH193" s="18">
        <f t="shared" si="35"/>
        <v>1.0800000205636024</v>
      </c>
      <c r="AI193" s="18">
        <f t="shared" si="36"/>
        <v>0.10000000149011612</v>
      </c>
      <c r="AJ193" s="18">
        <f t="shared" si="37"/>
        <v>0</v>
      </c>
      <c r="AK193" s="20">
        <f>IF(OR(Ruas_Per_Kecamatan!$B$4="Semua",ISNUMBER(SEARCH(Ruas_Per_Kecamatan!$B$4,D193))),1,0)</f>
        <v>1</v>
      </c>
      <c r="AL193" s="20">
        <f>IF(AK193=1,COUNTIF($AK$2:AK193,1),"")</f>
        <v>192</v>
      </c>
      <c r="AM193" s="18">
        <f t="shared" si="38"/>
        <v>1.18</v>
      </c>
      <c r="AN193" s="18">
        <f t="shared" si="39"/>
        <v>1.0800000205636024</v>
      </c>
      <c r="AO193" s="18">
        <f t="shared" si="40"/>
        <v>0.10000000149011612</v>
      </c>
      <c r="AP193" s="18">
        <f t="shared" si="41"/>
        <v>0</v>
      </c>
    </row>
    <row r="194" spans="1:42" x14ac:dyDescent="0.25">
      <c r="A194" s="17">
        <v>193</v>
      </c>
      <c r="B194" s="17" t="s">
        <v>642</v>
      </c>
      <c r="C194" s="21" t="s">
        <v>237</v>
      </c>
      <c r="D194" s="17" t="s">
        <v>238</v>
      </c>
      <c r="E194" s="18">
        <v>2.82</v>
      </c>
      <c r="F194" s="18">
        <v>3</v>
      </c>
      <c r="G194" s="18">
        <v>0</v>
      </c>
      <c r="H194" s="18"/>
      <c r="I194" s="18">
        <v>2025</v>
      </c>
      <c r="J194" s="18">
        <v>2.8199999332427979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9">
        <v>0</v>
      </c>
      <c r="Q194" s="18">
        <v>0.89999997615814209</v>
      </c>
      <c r="R194" s="19">
        <v>0.31914892771565323</v>
      </c>
      <c r="S194" s="18">
        <v>1.0199999809265137</v>
      </c>
      <c r="T194" s="19">
        <v>0.36170212089592685</v>
      </c>
      <c r="U194" s="18">
        <v>0.89999997615814209</v>
      </c>
      <c r="V194" s="19">
        <v>0.31914892771565323</v>
      </c>
      <c r="W194">
        <f t="shared" ref="W194:W257" si="42">O194+Q194</f>
        <v>0.89999997615814209</v>
      </c>
      <c r="X194" s="19">
        <f t="shared" ref="X194:X257" si="43">IFERROR(W194/E194,0)</f>
        <v>0.31914892771565323</v>
      </c>
      <c r="Y194">
        <f t="shared" ref="Y194:Y257" si="44">S194+U194</f>
        <v>1.9199999570846558</v>
      </c>
      <c r="Z194" s="19">
        <f t="shared" ref="Z194:Z257" si="45">IFERROR(Y194/E194,0)</f>
        <v>0.68085104861158008</v>
      </c>
      <c r="AA194" s="19">
        <f t="shared" ref="AA194:AA257" si="46">0.25*R194+0.6*T194+V194</f>
        <v>0.61595743218212262</v>
      </c>
      <c r="AB194" t="str">
        <f t="shared" ref="AB194:AB257" si="47">IF(V194&gt;=0.2,"Rusak Berat Dominan",IF(Z194&gt;=0.5,"Tidak Mantap Tinggi",IF(Z194&gt;=0.2,"Tidak Mantap Sedang","Relatif Mantap")))</f>
        <v>Rusak Berat Dominan</v>
      </c>
      <c r="AC194" s="19">
        <f>IF(Dashboard!$B$7="Mantap (%)",X194,IF(Dashboard!$B$7="Tidak Mantap (%)",Z194,IF(Dashboard!$B$7="Baik (%)",P194,IF(Dashboard!$B$7="Sedang (%)",R194,IF(Dashboard!$B$7="Rusak Ringan (%)",T194,IF(Dashboard!$B$7="Rusak Berat (%)",V194,AA194))))))</f>
        <v>0.68085104861158008</v>
      </c>
      <c r="AD194" s="20">
        <f>IF(AND(AF194=1,E194&gt;=Dashboard!$B$10,IF(Dashboard!$B$9="≤ Maksimum",AC194&lt;=Dashboard!$B$8,AC194&gt;=Dashboard!$B$8)),1,0)</f>
        <v>1</v>
      </c>
      <c r="AE194" s="20">
        <f>IF(AD194=1,COUNTIFS($AD$2:$AD$351,1,$AC$2:$AC$351,"&gt;"&amp;AC194)+COUNTIFS($AD$2:AD194,1,$AC$2:AC194,AC194),"")</f>
        <v>91</v>
      </c>
      <c r="AF194" s="20">
        <f>IF(OR(Dashboard!$B$6="Semua",ISNUMBER(SEARCH(Dashboard!$B$6,D194))),1,0)</f>
        <v>1</v>
      </c>
      <c r="AG194" s="18">
        <f t="shared" ref="AG194:AG257" si="48">AF194*E194</f>
        <v>2.82</v>
      </c>
      <c r="AH194" s="18">
        <f t="shared" ref="AH194:AH257" si="49">AF194*W194</f>
        <v>0.89999997615814209</v>
      </c>
      <c r="AI194" s="18">
        <f t="shared" ref="AI194:AI257" si="50">AF194*Y194</f>
        <v>1.9199999570846558</v>
      </c>
      <c r="AJ194" s="18">
        <f t="shared" ref="AJ194:AJ257" si="51">AF194*U194</f>
        <v>0.89999997615814209</v>
      </c>
      <c r="AK194" s="20">
        <f>IF(OR(Ruas_Per_Kecamatan!$B$4="Semua",ISNUMBER(SEARCH(Ruas_Per_Kecamatan!$B$4,D194))),1,0)</f>
        <v>1</v>
      </c>
      <c r="AL194" s="20">
        <f>IF(AK194=1,COUNTIF($AK$2:AK194,1),"")</f>
        <v>193</v>
      </c>
      <c r="AM194" s="18">
        <f t="shared" ref="AM194:AM257" si="52">AK194*E194</f>
        <v>2.82</v>
      </c>
      <c r="AN194" s="18">
        <f t="shared" ref="AN194:AN257" si="53">AK194*W194</f>
        <v>0.89999997615814209</v>
      </c>
      <c r="AO194" s="18">
        <f t="shared" ref="AO194:AO257" si="54">AK194*Y194</f>
        <v>1.9199999570846558</v>
      </c>
      <c r="AP194" s="18">
        <f t="shared" ref="AP194:AP257" si="55">AK194*U194</f>
        <v>0.89999997615814209</v>
      </c>
    </row>
    <row r="195" spans="1:42" x14ac:dyDescent="0.25">
      <c r="A195" s="17">
        <v>194</v>
      </c>
      <c r="B195" s="17" t="s">
        <v>643</v>
      </c>
      <c r="C195" s="21" t="s">
        <v>239</v>
      </c>
      <c r="D195" s="17" t="s">
        <v>238</v>
      </c>
      <c r="E195" s="18">
        <v>1.66</v>
      </c>
      <c r="F195" s="18">
        <v>3.5</v>
      </c>
      <c r="G195" s="18">
        <v>0</v>
      </c>
      <c r="H195" s="18"/>
      <c r="I195" s="18">
        <v>2025</v>
      </c>
      <c r="J195" s="18">
        <v>1.6599999666213989</v>
      </c>
      <c r="K195" s="18">
        <v>0</v>
      </c>
      <c r="L195" s="18">
        <v>0</v>
      </c>
      <c r="M195" s="18">
        <v>0</v>
      </c>
      <c r="N195" s="18">
        <v>0</v>
      </c>
      <c r="O195" s="18">
        <v>0.10000000149011612</v>
      </c>
      <c r="P195" s="19">
        <v>6.0240964753082001E-2</v>
      </c>
      <c r="Q195" s="18">
        <v>1.559999942779541</v>
      </c>
      <c r="R195" s="19">
        <v>0.93975900167442239</v>
      </c>
      <c r="S195" s="18">
        <v>0</v>
      </c>
      <c r="T195" s="19">
        <v>0</v>
      </c>
      <c r="U195" s="18">
        <v>0</v>
      </c>
      <c r="V195" s="19">
        <v>0</v>
      </c>
      <c r="W195">
        <f t="shared" si="42"/>
        <v>1.6599999442696571</v>
      </c>
      <c r="X195" s="19">
        <f t="shared" si="43"/>
        <v>0.99999996642750433</v>
      </c>
      <c r="Y195">
        <f t="shared" si="44"/>
        <v>0</v>
      </c>
      <c r="Z195" s="19">
        <f t="shared" si="45"/>
        <v>0</v>
      </c>
      <c r="AA195" s="19">
        <f t="shared" si="46"/>
        <v>0.2349397504186056</v>
      </c>
      <c r="AB195" t="str">
        <f t="shared" si="47"/>
        <v>Relatif Mantap</v>
      </c>
      <c r="AC195" s="19">
        <f>IF(Dashboard!$B$7="Mantap (%)",X195,IF(Dashboard!$B$7="Tidak Mantap (%)",Z195,IF(Dashboard!$B$7="Baik (%)",P195,IF(Dashboard!$B$7="Sedang (%)",R195,IF(Dashboard!$B$7="Rusak Ringan (%)",T195,IF(Dashboard!$B$7="Rusak Berat (%)",V195,AA195))))))</f>
        <v>0</v>
      </c>
      <c r="AD195" s="20">
        <f>IF(AND(AF195=1,E195&gt;=Dashboard!$B$10,IF(Dashboard!$B$9="≤ Maksimum",AC195&lt;=Dashboard!$B$8,AC195&gt;=Dashboard!$B$8)),1,0)</f>
        <v>0</v>
      </c>
      <c r="AE195" s="20" t="str">
        <f>IF(AD195=1,COUNTIFS($AD$2:$AD$351,1,$AC$2:$AC$351,"&gt;"&amp;AC195)+COUNTIFS($AD$2:AD195,1,$AC$2:AC195,AC195),"")</f>
        <v/>
      </c>
      <c r="AF195" s="20">
        <f>IF(OR(Dashboard!$B$6="Semua",ISNUMBER(SEARCH(Dashboard!$B$6,D195))),1,0)</f>
        <v>1</v>
      </c>
      <c r="AG195" s="18">
        <f t="shared" si="48"/>
        <v>1.66</v>
      </c>
      <c r="AH195" s="18">
        <f t="shared" si="49"/>
        <v>1.6599999442696571</v>
      </c>
      <c r="AI195" s="18">
        <f t="shared" si="50"/>
        <v>0</v>
      </c>
      <c r="AJ195" s="18">
        <f t="shared" si="51"/>
        <v>0</v>
      </c>
      <c r="AK195" s="20">
        <f>IF(OR(Ruas_Per_Kecamatan!$B$4="Semua",ISNUMBER(SEARCH(Ruas_Per_Kecamatan!$B$4,D195))),1,0)</f>
        <v>1</v>
      </c>
      <c r="AL195" s="20">
        <f>IF(AK195=1,COUNTIF($AK$2:AK195,1),"")</f>
        <v>194</v>
      </c>
      <c r="AM195" s="18">
        <f t="shared" si="52"/>
        <v>1.66</v>
      </c>
      <c r="AN195" s="18">
        <f t="shared" si="53"/>
        <v>1.6599999442696571</v>
      </c>
      <c r="AO195" s="18">
        <f t="shared" si="54"/>
        <v>0</v>
      </c>
      <c r="AP195" s="18">
        <f t="shared" si="55"/>
        <v>0</v>
      </c>
    </row>
    <row r="196" spans="1:42" x14ac:dyDescent="0.25">
      <c r="A196" s="17">
        <v>195</v>
      </c>
      <c r="B196" s="17" t="s">
        <v>644</v>
      </c>
      <c r="C196" s="21" t="s">
        <v>240</v>
      </c>
      <c r="D196" s="17" t="s">
        <v>238</v>
      </c>
      <c r="E196" s="18">
        <v>2.86</v>
      </c>
      <c r="F196" s="18">
        <v>3.5</v>
      </c>
      <c r="G196" s="18">
        <v>0</v>
      </c>
      <c r="H196" s="18"/>
      <c r="I196" s="18">
        <v>2025</v>
      </c>
      <c r="J196" s="18">
        <v>2.8599998950958252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9">
        <v>0</v>
      </c>
      <c r="Q196" s="18">
        <v>2.5999999046325684</v>
      </c>
      <c r="R196" s="19">
        <v>0.90909087574565328</v>
      </c>
      <c r="S196" s="18">
        <v>0.25999999046325684</v>
      </c>
      <c r="T196" s="19">
        <v>9.0909087574565325E-2</v>
      </c>
      <c r="U196" s="18">
        <v>0</v>
      </c>
      <c r="V196" s="19">
        <v>0</v>
      </c>
      <c r="W196">
        <f t="shared" si="42"/>
        <v>2.5999999046325684</v>
      </c>
      <c r="X196" s="19">
        <f t="shared" si="43"/>
        <v>0.90909087574565328</v>
      </c>
      <c r="Y196">
        <f t="shared" si="44"/>
        <v>0.25999999046325684</v>
      </c>
      <c r="Z196" s="19">
        <f t="shared" si="45"/>
        <v>9.0909087574565325E-2</v>
      </c>
      <c r="AA196" s="19">
        <f t="shared" si="46"/>
        <v>0.28181817148115251</v>
      </c>
      <c r="AB196" t="str">
        <f t="shared" si="47"/>
        <v>Relatif Mantap</v>
      </c>
      <c r="AC196" s="19">
        <f>IF(Dashboard!$B$7="Mantap (%)",X196,IF(Dashboard!$B$7="Tidak Mantap (%)",Z196,IF(Dashboard!$B$7="Baik (%)",P196,IF(Dashboard!$B$7="Sedang (%)",R196,IF(Dashboard!$B$7="Rusak Ringan (%)",T196,IF(Dashboard!$B$7="Rusak Berat (%)",V196,AA196))))))</f>
        <v>9.0909087574565325E-2</v>
      </c>
      <c r="AD196" s="20">
        <f>IF(AND(AF196=1,E196&gt;=Dashboard!$B$10,IF(Dashboard!$B$9="≤ Maksimum",AC196&lt;=Dashboard!$B$8,AC196&gt;=Dashboard!$B$8)),1,0)</f>
        <v>0</v>
      </c>
      <c r="AE196" s="20" t="str">
        <f>IF(AD196=1,COUNTIFS($AD$2:$AD$351,1,$AC$2:$AC$351,"&gt;"&amp;AC196)+COUNTIFS($AD$2:AD196,1,$AC$2:AC196,AC196),"")</f>
        <v/>
      </c>
      <c r="AF196" s="20">
        <f>IF(OR(Dashboard!$B$6="Semua",ISNUMBER(SEARCH(Dashboard!$B$6,D196))),1,0)</f>
        <v>1</v>
      </c>
      <c r="AG196" s="18">
        <f t="shared" si="48"/>
        <v>2.86</v>
      </c>
      <c r="AH196" s="18">
        <f t="shared" si="49"/>
        <v>2.5999999046325684</v>
      </c>
      <c r="AI196" s="18">
        <f t="shared" si="50"/>
        <v>0.25999999046325684</v>
      </c>
      <c r="AJ196" s="18">
        <f t="shared" si="51"/>
        <v>0</v>
      </c>
      <c r="AK196" s="20">
        <f>IF(OR(Ruas_Per_Kecamatan!$B$4="Semua",ISNUMBER(SEARCH(Ruas_Per_Kecamatan!$B$4,D196))),1,0)</f>
        <v>1</v>
      </c>
      <c r="AL196" s="20">
        <f>IF(AK196=1,COUNTIF($AK$2:AK196,1),"")</f>
        <v>195</v>
      </c>
      <c r="AM196" s="18">
        <f t="shared" si="52"/>
        <v>2.86</v>
      </c>
      <c r="AN196" s="18">
        <f t="shared" si="53"/>
        <v>2.5999999046325684</v>
      </c>
      <c r="AO196" s="18">
        <f t="shared" si="54"/>
        <v>0.25999999046325684</v>
      </c>
      <c r="AP196" s="18">
        <f t="shared" si="55"/>
        <v>0</v>
      </c>
    </row>
    <row r="197" spans="1:42" x14ac:dyDescent="0.25">
      <c r="A197" s="17">
        <v>196</v>
      </c>
      <c r="B197" s="17" t="s">
        <v>645</v>
      </c>
      <c r="C197" s="21" t="s">
        <v>241</v>
      </c>
      <c r="D197" s="17" t="s">
        <v>238</v>
      </c>
      <c r="E197" s="18">
        <v>5</v>
      </c>
      <c r="F197" s="18">
        <v>3</v>
      </c>
      <c r="G197" s="18">
        <v>0</v>
      </c>
      <c r="H197" s="18"/>
      <c r="I197" s="18">
        <v>2025</v>
      </c>
      <c r="J197" s="18">
        <v>5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9">
        <v>0</v>
      </c>
      <c r="Q197" s="18">
        <v>3.7999999523162842</v>
      </c>
      <c r="R197" s="19">
        <v>0.75999999046325684</v>
      </c>
      <c r="S197" s="18">
        <v>1.1000000238418579</v>
      </c>
      <c r="T197" s="19">
        <v>0.22000000476837159</v>
      </c>
      <c r="U197" s="18">
        <v>0.10000000149011612</v>
      </c>
      <c r="V197" s="19">
        <v>2.0000000298023225E-2</v>
      </c>
      <c r="W197">
        <f t="shared" si="42"/>
        <v>3.7999999523162842</v>
      </c>
      <c r="X197" s="19">
        <f t="shared" si="43"/>
        <v>0.75999999046325684</v>
      </c>
      <c r="Y197">
        <f t="shared" si="44"/>
        <v>1.200000025331974</v>
      </c>
      <c r="Z197" s="19">
        <f t="shared" si="45"/>
        <v>0.24000000506639479</v>
      </c>
      <c r="AA197" s="19">
        <f t="shared" si="46"/>
        <v>0.34200000077486042</v>
      </c>
      <c r="AB197" t="str">
        <f t="shared" si="47"/>
        <v>Tidak Mantap Sedang</v>
      </c>
      <c r="AC197" s="19">
        <f>IF(Dashboard!$B$7="Mantap (%)",X197,IF(Dashboard!$B$7="Tidak Mantap (%)",Z197,IF(Dashboard!$B$7="Baik (%)",P197,IF(Dashboard!$B$7="Sedang (%)",R197,IF(Dashboard!$B$7="Rusak Ringan (%)",T197,IF(Dashboard!$B$7="Rusak Berat (%)",V197,AA197))))))</f>
        <v>0.24000000506639479</v>
      </c>
      <c r="AD197" s="20">
        <f>IF(AND(AF197=1,E197&gt;=Dashboard!$B$10,IF(Dashboard!$B$9="≤ Maksimum",AC197&lt;=Dashboard!$B$8,AC197&gt;=Dashboard!$B$8)),1,0)</f>
        <v>1</v>
      </c>
      <c r="AE197" s="20">
        <f>IF(AD197=1,COUNTIFS($AD$2:$AD$351,1,$AC$2:$AC$351,"&gt;"&amp;AC197)+COUNTIFS($AD$2:AD197,1,$AC$2:AC197,AC197),"")</f>
        <v>178</v>
      </c>
      <c r="AF197" s="20">
        <f>IF(OR(Dashboard!$B$6="Semua",ISNUMBER(SEARCH(Dashboard!$B$6,D197))),1,0)</f>
        <v>1</v>
      </c>
      <c r="AG197" s="18">
        <f t="shared" si="48"/>
        <v>5</v>
      </c>
      <c r="AH197" s="18">
        <f t="shared" si="49"/>
        <v>3.7999999523162842</v>
      </c>
      <c r="AI197" s="18">
        <f t="shared" si="50"/>
        <v>1.200000025331974</v>
      </c>
      <c r="AJ197" s="18">
        <f t="shared" si="51"/>
        <v>0.10000000149011612</v>
      </c>
      <c r="AK197" s="20">
        <f>IF(OR(Ruas_Per_Kecamatan!$B$4="Semua",ISNUMBER(SEARCH(Ruas_Per_Kecamatan!$B$4,D197))),1,0)</f>
        <v>1</v>
      </c>
      <c r="AL197" s="20">
        <f>IF(AK197=1,COUNTIF($AK$2:AK197,1),"")</f>
        <v>196</v>
      </c>
      <c r="AM197" s="18">
        <f t="shared" si="52"/>
        <v>5</v>
      </c>
      <c r="AN197" s="18">
        <f t="shared" si="53"/>
        <v>3.7999999523162842</v>
      </c>
      <c r="AO197" s="18">
        <f t="shared" si="54"/>
        <v>1.200000025331974</v>
      </c>
      <c r="AP197" s="18">
        <f t="shared" si="55"/>
        <v>0.10000000149011612</v>
      </c>
    </row>
    <row r="198" spans="1:42" x14ac:dyDescent="0.25">
      <c r="A198" s="17">
        <v>197</v>
      </c>
      <c r="B198" s="17" t="s">
        <v>646</v>
      </c>
      <c r="C198" s="21" t="s">
        <v>242</v>
      </c>
      <c r="D198" s="17" t="s">
        <v>238</v>
      </c>
      <c r="E198" s="18">
        <v>4.1900000000000004</v>
      </c>
      <c r="F198" s="18">
        <v>3</v>
      </c>
      <c r="G198" s="18">
        <v>0</v>
      </c>
      <c r="H198" s="18"/>
      <c r="I198" s="18">
        <v>2025</v>
      </c>
      <c r="J198" s="18">
        <v>4.190000057220459</v>
      </c>
      <c r="K198" s="18">
        <v>0</v>
      </c>
      <c r="L198" s="18">
        <v>0</v>
      </c>
      <c r="M198" s="18">
        <v>0</v>
      </c>
      <c r="N198" s="18">
        <v>0</v>
      </c>
      <c r="O198" s="18">
        <v>0.69999998807907104</v>
      </c>
      <c r="P198" s="19">
        <v>0.16706443629572099</v>
      </c>
      <c r="Q198" s="18">
        <v>2.4900000095367432</v>
      </c>
      <c r="R198" s="19">
        <v>0.59427207864838738</v>
      </c>
      <c r="S198" s="18">
        <v>1</v>
      </c>
      <c r="T198" s="19">
        <v>0.2386634844868735</v>
      </c>
      <c r="U198" s="18">
        <v>0</v>
      </c>
      <c r="V198" s="19">
        <v>0</v>
      </c>
      <c r="W198">
        <f t="shared" si="42"/>
        <v>3.1899999976158142</v>
      </c>
      <c r="X198" s="19">
        <f t="shared" si="43"/>
        <v>0.76133651494410837</v>
      </c>
      <c r="Y198">
        <f t="shared" si="44"/>
        <v>1</v>
      </c>
      <c r="Z198" s="19">
        <f t="shared" si="45"/>
        <v>0.2386634844868735</v>
      </c>
      <c r="AA198" s="19">
        <f t="shared" si="46"/>
        <v>0.29176611035422095</v>
      </c>
      <c r="AB198" t="str">
        <f t="shared" si="47"/>
        <v>Tidak Mantap Sedang</v>
      </c>
      <c r="AC198" s="19">
        <f>IF(Dashboard!$B$7="Mantap (%)",X198,IF(Dashboard!$B$7="Tidak Mantap (%)",Z198,IF(Dashboard!$B$7="Baik (%)",P198,IF(Dashboard!$B$7="Sedang (%)",R198,IF(Dashboard!$B$7="Rusak Ringan (%)",T198,IF(Dashboard!$B$7="Rusak Berat (%)",V198,AA198))))))</f>
        <v>0.2386634844868735</v>
      </c>
      <c r="AD198" s="20">
        <f>IF(AND(AF198=1,E198&gt;=Dashboard!$B$10,IF(Dashboard!$B$9="≤ Maksimum",AC198&lt;=Dashboard!$B$8,AC198&gt;=Dashboard!$B$8)),1,0)</f>
        <v>1</v>
      </c>
      <c r="AE198" s="20">
        <f>IF(AD198=1,COUNTIFS($AD$2:$AD$351,1,$AC$2:$AC$351,"&gt;"&amp;AC198)+COUNTIFS($AD$2:AD198,1,$AC$2:AC198,AC198),"")</f>
        <v>179</v>
      </c>
      <c r="AF198" s="20">
        <f>IF(OR(Dashboard!$B$6="Semua",ISNUMBER(SEARCH(Dashboard!$B$6,D198))),1,0)</f>
        <v>1</v>
      </c>
      <c r="AG198" s="18">
        <f t="shared" si="48"/>
        <v>4.1900000000000004</v>
      </c>
      <c r="AH198" s="18">
        <f t="shared" si="49"/>
        <v>3.1899999976158142</v>
      </c>
      <c r="AI198" s="18">
        <f t="shared" si="50"/>
        <v>1</v>
      </c>
      <c r="AJ198" s="18">
        <f t="shared" si="51"/>
        <v>0</v>
      </c>
      <c r="AK198" s="20">
        <f>IF(OR(Ruas_Per_Kecamatan!$B$4="Semua",ISNUMBER(SEARCH(Ruas_Per_Kecamatan!$B$4,D198))),1,0)</f>
        <v>1</v>
      </c>
      <c r="AL198" s="20">
        <f>IF(AK198=1,COUNTIF($AK$2:AK198,1),"")</f>
        <v>197</v>
      </c>
      <c r="AM198" s="18">
        <f t="shared" si="52"/>
        <v>4.1900000000000004</v>
      </c>
      <c r="AN198" s="18">
        <f t="shared" si="53"/>
        <v>3.1899999976158142</v>
      </c>
      <c r="AO198" s="18">
        <f t="shared" si="54"/>
        <v>1</v>
      </c>
      <c r="AP198" s="18">
        <f t="shared" si="55"/>
        <v>0</v>
      </c>
    </row>
    <row r="199" spans="1:42" x14ac:dyDescent="0.25">
      <c r="A199" s="17">
        <v>198</v>
      </c>
      <c r="B199" s="17" t="s">
        <v>647</v>
      </c>
      <c r="C199" s="21" t="s">
        <v>243</v>
      </c>
      <c r="D199" s="17" t="s">
        <v>238</v>
      </c>
      <c r="E199" s="18">
        <v>0.97</v>
      </c>
      <c r="F199" s="18">
        <v>1.5</v>
      </c>
      <c r="G199" s="18">
        <v>0</v>
      </c>
      <c r="H199" s="18"/>
      <c r="I199" s="18">
        <v>2025</v>
      </c>
      <c r="J199" s="18">
        <v>0</v>
      </c>
      <c r="K199" s="18">
        <v>0</v>
      </c>
      <c r="L199" s="18">
        <v>0.9700000062584877</v>
      </c>
      <c r="M199" s="18">
        <v>0</v>
      </c>
      <c r="N199" s="18">
        <v>0</v>
      </c>
      <c r="O199" s="18">
        <v>0</v>
      </c>
      <c r="P199" s="19">
        <v>0</v>
      </c>
      <c r="Q199" s="18">
        <v>0.10000000149011612</v>
      </c>
      <c r="R199" s="19">
        <v>0.10309278504135683</v>
      </c>
      <c r="S199" s="18">
        <v>0.30000001192092896</v>
      </c>
      <c r="T199" s="19">
        <v>0.30927836280508142</v>
      </c>
      <c r="U199" s="18">
        <v>0.56999999284744263</v>
      </c>
      <c r="V199" s="19">
        <v>0.58762885860561098</v>
      </c>
      <c r="W199">
        <f t="shared" si="42"/>
        <v>0.10000000149011612</v>
      </c>
      <c r="X199" s="19">
        <f t="shared" si="43"/>
        <v>0.10309278504135683</v>
      </c>
      <c r="Y199">
        <f t="shared" si="44"/>
        <v>0.87000000476837158</v>
      </c>
      <c r="Z199" s="19">
        <f t="shared" si="45"/>
        <v>0.89690722141069235</v>
      </c>
      <c r="AA199" s="19">
        <f t="shared" si="46"/>
        <v>0.79896907254899907</v>
      </c>
      <c r="AB199" t="str">
        <f t="shared" si="47"/>
        <v>Rusak Berat Dominan</v>
      </c>
      <c r="AC199" s="19">
        <f>IF(Dashboard!$B$7="Mantap (%)",X199,IF(Dashboard!$B$7="Tidak Mantap (%)",Z199,IF(Dashboard!$B$7="Baik (%)",P199,IF(Dashboard!$B$7="Sedang (%)",R199,IF(Dashboard!$B$7="Rusak Ringan (%)",T199,IF(Dashboard!$B$7="Rusak Berat (%)",V199,AA199))))))</f>
        <v>0.89690722141069235</v>
      </c>
      <c r="AD199" s="20">
        <f>IF(AND(AF199=1,E199&gt;=Dashboard!$B$10,IF(Dashboard!$B$9="≤ Maksimum",AC199&lt;=Dashboard!$B$8,AC199&gt;=Dashboard!$B$8)),1,0)</f>
        <v>1</v>
      </c>
      <c r="AE199" s="20">
        <f>IF(AD199=1,COUNTIFS($AD$2:$AD$351,1,$AC$2:$AC$351,"&gt;"&amp;AC199)+COUNTIFS($AD$2:AD199,1,$AC$2:AC199,AC199),"")</f>
        <v>59</v>
      </c>
      <c r="AF199" s="20">
        <f>IF(OR(Dashboard!$B$6="Semua",ISNUMBER(SEARCH(Dashboard!$B$6,D199))),1,0)</f>
        <v>1</v>
      </c>
      <c r="AG199" s="18">
        <f t="shared" si="48"/>
        <v>0.97</v>
      </c>
      <c r="AH199" s="18">
        <f t="shared" si="49"/>
        <v>0.10000000149011612</v>
      </c>
      <c r="AI199" s="18">
        <f t="shared" si="50"/>
        <v>0.87000000476837158</v>
      </c>
      <c r="AJ199" s="18">
        <f t="shared" si="51"/>
        <v>0.56999999284744263</v>
      </c>
      <c r="AK199" s="20">
        <f>IF(OR(Ruas_Per_Kecamatan!$B$4="Semua",ISNUMBER(SEARCH(Ruas_Per_Kecamatan!$B$4,D199))),1,0)</f>
        <v>1</v>
      </c>
      <c r="AL199" s="20">
        <f>IF(AK199=1,COUNTIF($AK$2:AK199,1),"")</f>
        <v>198</v>
      </c>
      <c r="AM199" s="18">
        <f t="shared" si="52"/>
        <v>0.97</v>
      </c>
      <c r="AN199" s="18">
        <f t="shared" si="53"/>
        <v>0.10000000149011612</v>
      </c>
      <c r="AO199" s="18">
        <f t="shared" si="54"/>
        <v>0.87000000476837158</v>
      </c>
      <c r="AP199" s="18">
        <f t="shared" si="55"/>
        <v>0.56999999284744263</v>
      </c>
    </row>
    <row r="200" spans="1:42" x14ac:dyDescent="0.25">
      <c r="A200" s="17">
        <v>199</v>
      </c>
      <c r="B200" s="17" t="s">
        <v>648</v>
      </c>
      <c r="C200" s="21" t="s">
        <v>244</v>
      </c>
      <c r="D200" s="17" t="s">
        <v>238</v>
      </c>
      <c r="E200" s="18">
        <v>0.3</v>
      </c>
      <c r="F200" s="18">
        <v>3</v>
      </c>
      <c r="G200" s="18">
        <v>0</v>
      </c>
      <c r="H200" s="18"/>
      <c r="I200" s="18">
        <v>2025</v>
      </c>
      <c r="J200" s="18">
        <v>0</v>
      </c>
      <c r="K200" s="18">
        <v>0</v>
      </c>
      <c r="L200" s="18">
        <v>0.20000000298023224</v>
      </c>
      <c r="M200" s="18">
        <v>0.10000000149011612</v>
      </c>
      <c r="N200" s="18">
        <v>0</v>
      </c>
      <c r="O200" s="18">
        <v>0</v>
      </c>
      <c r="P200" s="19">
        <v>0</v>
      </c>
      <c r="Q200" s="18">
        <v>0</v>
      </c>
      <c r="R200" s="19">
        <v>0</v>
      </c>
      <c r="S200" s="18">
        <v>0.20000000298023224</v>
      </c>
      <c r="T200" s="19">
        <v>0.66666667660077417</v>
      </c>
      <c r="U200" s="18">
        <v>0.10000000149011612</v>
      </c>
      <c r="V200" s="19">
        <v>0.33333333830038708</v>
      </c>
      <c r="W200">
        <f t="shared" si="42"/>
        <v>0</v>
      </c>
      <c r="X200" s="19">
        <f t="shared" si="43"/>
        <v>0</v>
      </c>
      <c r="Y200">
        <f t="shared" si="44"/>
        <v>0.30000000447034836</v>
      </c>
      <c r="Z200" s="19">
        <f t="shared" si="45"/>
        <v>1.0000000149011612</v>
      </c>
      <c r="AA200" s="19">
        <f t="shared" si="46"/>
        <v>0.73333334426085162</v>
      </c>
      <c r="AB200" t="str">
        <f t="shared" si="47"/>
        <v>Rusak Berat Dominan</v>
      </c>
      <c r="AC200" s="19">
        <f>IF(Dashboard!$B$7="Mantap (%)",X200,IF(Dashboard!$B$7="Tidak Mantap (%)",Z200,IF(Dashboard!$B$7="Baik (%)",P200,IF(Dashboard!$B$7="Sedang (%)",R200,IF(Dashboard!$B$7="Rusak Ringan (%)",T200,IF(Dashboard!$B$7="Rusak Berat (%)",V200,AA200))))))</f>
        <v>1.0000000149011612</v>
      </c>
      <c r="AD200" s="20">
        <f>IF(AND(AF200=1,E200&gt;=Dashboard!$B$10,IF(Dashboard!$B$9="≤ Maksimum",AC200&lt;=Dashboard!$B$8,AC200&gt;=Dashboard!$B$8)),1,0)</f>
        <v>1</v>
      </c>
      <c r="AE200" s="20">
        <f>IF(AD200=1,COUNTIFS($AD$2:$AD$351,1,$AC$2:$AC$351,"&gt;"&amp;AC200)+COUNTIFS($AD$2:AD200,1,$AC$2:AC200,AC200),"")</f>
        <v>17</v>
      </c>
      <c r="AF200" s="20">
        <f>IF(OR(Dashboard!$B$6="Semua",ISNUMBER(SEARCH(Dashboard!$B$6,D200))),1,0)</f>
        <v>1</v>
      </c>
      <c r="AG200" s="18">
        <f t="shared" si="48"/>
        <v>0.3</v>
      </c>
      <c r="AH200" s="18">
        <f t="shared" si="49"/>
        <v>0</v>
      </c>
      <c r="AI200" s="18">
        <f t="shared" si="50"/>
        <v>0.30000000447034836</v>
      </c>
      <c r="AJ200" s="18">
        <f t="shared" si="51"/>
        <v>0.10000000149011612</v>
      </c>
      <c r="AK200" s="20">
        <f>IF(OR(Ruas_Per_Kecamatan!$B$4="Semua",ISNUMBER(SEARCH(Ruas_Per_Kecamatan!$B$4,D200))),1,0)</f>
        <v>1</v>
      </c>
      <c r="AL200" s="20">
        <f>IF(AK200=1,COUNTIF($AK$2:AK200,1),"")</f>
        <v>199</v>
      </c>
      <c r="AM200" s="18">
        <f t="shared" si="52"/>
        <v>0.3</v>
      </c>
      <c r="AN200" s="18">
        <f t="shared" si="53"/>
        <v>0</v>
      </c>
      <c r="AO200" s="18">
        <f t="shared" si="54"/>
        <v>0.30000000447034836</v>
      </c>
      <c r="AP200" s="18">
        <f t="shared" si="55"/>
        <v>0.10000000149011612</v>
      </c>
    </row>
    <row r="201" spans="1:42" x14ac:dyDescent="0.25">
      <c r="A201" s="17">
        <v>200</v>
      </c>
      <c r="B201" s="17" t="s">
        <v>649</v>
      </c>
      <c r="C201" s="21" t="s">
        <v>245</v>
      </c>
      <c r="D201" s="17" t="s">
        <v>238</v>
      </c>
      <c r="E201" s="18">
        <v>0.56000000000000005</v>
      </c>
      <c r="F201" s="18">
        <v>3.5</v>
      </c>
      <c r="G201" s="18">
        <v>0</v>
      </c>
      <c r="H201" s="18"/>
      <c r="I201" s="18">
        <v>2025</v>
      </c>
      <c r="J201" s="18">
        <v>0.56000000238418579</v>
      </c>
      <c r="K201" s="18">
        <v>0</v>
      </c>
      <c r="L201" s="18">
        <v>0</v>
      </c>
      <c r="M201" s="18">
        <v>0</v>
      </c>
      <c r="N201" s="18">
        <v>0</v>
      </c>
      <c r="O201" s="18">
        <v>0.36000001430511475</v>
      </c>
      <c r="P201" s="19">
        <v>0.64285716840199059</v>
      </c>
      <c r="Q201" s="18">
        <v>0.20000000298023224</v>
      </c>
      <c r="R201" s="19">
        <v>0.35714286246470039</v>
      </c>
      <c r="S201" s="18">
        <v>0</v>
      </c>
      <c r="T201" s="19">
        <v>0</v>
      </c>
      <c r="U201" s="18">
        <v>0</v>
      </c>
      <c r="V201" s="19">
        <v>0</v>
      </c>
      <c r="W201">
        <f t="shared" si="42"/>
        <v>0.56000001728534698</v>
      </c>
      <c r="X201" s="19">
        <f t="shared" si="43"/>
        <v>1.000000030866691</v>
      </c>
      <c r="Y201">
        <f t="shared" si="44"/>
        <v>0</v>
      </c>
      <c r="Z201" s="19">
        <f t="shared" si="45"/>
        <v>0</v>
      </c>
      <c r="AA201" s="19">
        <f t="shared" si="46"/>
        <v>8.9285715616175099E-2</v>
      </c>
      <c r="AB201" t="str">
        <f t="shared" si="47"/>
        <v>Relatif Mantap</v>
      </c>
      <c r="AC201" s="19">
        <f>IF(Dashboard!$B$7="Mantap (%)",X201,IF(Dashboard!$B$7="Tidak Mantap (%)",Z201,IF(Dashboard!$B$7="Baik (%)",P201,IF(Dashboard!$B$7="Sedang (%)",R201,IF(Dashboard!$B$7="Rusak Ringan (%)",T201,IF(Dashboard!$B$7="Rusak Berat (%)",V201,AA201))))))</f>
        <v>0</v>
      </c>
      <c r="AD201" s="20">
        <f>IF(AND(AF201=1,E201&gt;=Dashboard!$B$10,IF(Dashboard!$B$9="≤ Maksimum",AC201&lt;=Dashboard!$B$8,AC201&gt;=Dashboard!$B$8)),1,0)</f>
        <v>0</v>
      </c>
      <c r="AE201" s="20" t="str">
        <f>IF(AD201=1,COUNTIFS($AD$2:$AD$351,1,$AC$2:$AC$351,"&gt;"&amp;AC201)+COUNTIFS($AD$2:AD201,1,$AC$2:AC201,AC201),"")</f>
        <v/>
      </c>
      <c r="AF201" s="20">
        <f>IF(OR(Dashboard!$B$6="Semua",ISNUMBER(SEARCH(Dashboard!$B$6,D201))),1,0)</f>
        <v>1</v>
      </c>
      <c r="AG201" s="18">
        <f t="shared" si="48"/>
        <v>0.56000000000000005</v>
      </c>
      <c r="AH201" s="18">
        <f t="shared" si="49"/>
        <v>0.56000001728534698</v>
      </c>
      <c r="AI201" s="18">
        <f t="shared" si="50"/>
        <v>0</v>
      </c>
      <c r="AJ201" s="18">
        <f t="shared" si="51"/>
        <v>0</v>
      </c>
      <c r="AK201" s="20">
        <f>IF(OR(Ruas_Per_Kecamatan!$B$4="Semua",ISNUMBER(SEARCH(Ruas_Per_Kecamatan!$B$4,D201))),1,0)</f>
        <v>1</v>
      </c>
      <c r="AL201" s="20">
        <f>IF(AK201=1,COUNTIF($AK$2:AK201,1),"")</f>
        <v>200</v>
      </c>
      <c r="AM201" s="18">
        <f t="shared" si="52"/>
        <v>0.56000000000000005</v>
      </c>
      <c r="AN201" s="18">
        <f t="shared" si="53"/>
        <v>0.56000001728534698</v>
      </c>
      <c r="AO201" s="18">
        <f t="shared" si="54"/>
        <v>0</v>
      </c>
      <c r="AP201" s="18">
        <f t="shared" si="55"/>
        <v>0</v>
      </c>
    </row>
    <row r="202" spans="1:42" x14ac:dyDescent="0.25">
      <c r="A202" s="17">
        <v>201</v>
      </c>
      <c r="B202" s="17" t="s">
        <v>650</v>
      </c>
      <c r="C202" s="21" t="s">
        <v>246</v>
      </c>
      <c r="D202" s="17" t="s">
        <v>238</v>
      </c>
      <c r="E202" s="18">
        <v>0.95</v>
      </c>
      <c r="F202" s="18">
        <v>3.5</v>
      </c>
      <c r="G202" s="18">
        <v>0</v>
      </c>
      <c r="H202" s="18"/>
      <c r="I202" s="18">
        <v>2025</v>
      </c>
      <c r="J202" s="18">
        <v>0</v>
      </c>
      <c r="K202" s="18">
        <v>0</v>
      </c>
      <c r="L202" s="18">
        <v>0.89999997615814209</v>
      </c>
      <c r="M202" s="18">
        <v>5.000000074505806E-2</v>
      </c>
      <c r="N202" s="18">
        <v>0</v>
      </c>
      <c r="O202" s="18">
        <v>0</v>
      </c>
      <c r="P202" s="19">
        <v>0</v>
      </c>
      <c r="Q202" s="18">
        <v>0.89999997615814209</v>
      </c>
      <c r="R202" s="19">
        <v>0.94736839595593914</v>
      </c>
      <c r="S202" s="18">
        <v>0</v>
      </c>
      <c r="T202" s="19">
        <v>0</v>
      </c>
      <c r="U202" s="18">
        <v>5.000000074505806E-2</v>
      </c>
      <c r="V202" s="19">
        <v>5.2631579731640066E-2</v>
      </c>
      <c r="W202">
        <f t="shared" si="42"/>
        <v>0.89999997615814209</v>
      </c>
      <c r="X202" s="19">
        <f t="shared" si="43"/>
        <v>0.94736839595593914</v>
      </c>
      <c r="Y202">
        <f t="shared" si="44"/>
        <v>5.000000074505806E-2</v>
      </c>
      <c r="Z202" s="19">
        <f t="shared" si="45"/>
        <v>5.2631579731640066E-2</v>
      </c>
      <c r="AA202" s="19">
        <f t="shared" si="46"/>
        <v>0.28947367872062485</v>
      </c>
      <c r="AB202" t="str">
        <f t="shared" si="47"/>
        <v>Relatif Mantap</v>
      </c>
      <c r="AC202" s="19">
        <f>IF(Dashboard!$B$7="Mantap (%)",X202,IF(Dashboard!$B$7="Tidak Mantap (%)",Z202,IF(Dashboard!$B$7="Baik (%)",P202,IF(Dashboard!$B$7="Sedang (%)",R202,IF(Dashboard!$B$7="Rusak Ringan (%)",T202,IF(Dashboard!$B$7="Rusak Berat (%)",V202,AA202))))))</f>
        <v>5.2631579731640066E-2</v>
      </c>
      <c r="AD202" s="20">
        <f>IF(AND(AF202=1,E202&gt;=Dashboard!$B$10,IF(Dashboard!$B$9="≤ Maksimum",AC202&lt;=Dashboard!$B$8,AC202&gt;=Dashboard!$B$8)),1,0)</f>
        <v>0</v>
      </c>
      <c r="AE202" s="20" t="str">
        <f>IF(AD202=1,COUNTIFS($AD$2:$AD$351,1,$AC$2:$AC$351,"&gt;"&amp;AC202)+COUNTIFS($AD$2:AD202,1,$AC$2:AC202,AC202),"")</f>
        <v/>
      </c>
      <c r="AF202" s="20">
        <f>IF(OR(Dashboard!$B$6="Semua",ISNUMBER(SEARCH(Dashboard!$B$6,D202))),1,0)</f>
        <v>1</v>
      </c>
      <c r="AG202" s="18">
        <f t="shared" si="48"/>
        <v>0.95</v>
      </c>
      <c r="AH202" s="18">
        <f t="shared" si="49"/>
        <v>0.89999997615814209</v>
      </c>
      <c r="AI202" s="18">
        <f t="shared" si="50"/>
        <v>5.000000074505806E-2</v>
      </c>
      <c r="AJ202" s="18">
        <f t="shared" si="51"/>
        <v>5.000000074505806E-2</v>
      </c>
      <c r="AK202" s="20">
        <f>IF(OR(Ruas_Per_Kecamatan!$B$4="Semua",ISNUMBER(SEARCH(Ruas_Per_Kecamatan!$B$4,D202))),1,0)</f>
        <v>1</v>
      </c>
      <c r="AL202" s="20">
        <f>IF(AK202=1,COUNTIF($AK$2:AK202,1),"")</f>
        <v>201</v>
      </c>
      <c r="AM202" s="18">
        <f t="shared" si="52"/>
        <v>0.95</v>
      </c>
      <c r="AN202" s="18">
        <f t="shared" si="53"/>
        <v>0.89999997615814209</v>
      </c>
      <c r="AO202" s="18">
        <f t="shared" si="54"/>
        <v>5.000000074505806E-2</v>
      </c>
      <c r="AP202" s="18">
        <f t="shared" si="55"/>
        <v>5.000000074505806E-2</v>
      </c>
    </row>
    <row r="203" spans="1:42" x14ac:dyDescent="0.25">
      <c r="A203" s="17">
        <v>202</v>
      </c>
      <c r="B203" s="17" t="s">
        <v>651</v>
      </c>
      <c r="C203" s="21" t="s">
        <v>652</v>
      </c>
      <c r="D203" s="17" t="s">
        <v>238</v>
      </c>
      <c r="E203" s="18">
        <v>4.45</v>
      </c>
      <c r="F203" s="18">
        <v>2</v>
      </c>
      <c r="G203" s="18">
        <v>0</v>
      </c>
      <c r="H203" s="18"/>
      <c r="I203" s="18">
        <v>2025</v>
      </c>
      <c r="J203" s="18">
        <v>0</v>
      </c>
      <c r="K203" s="18">
        <v>0</v>
      </c>
      <c r="L203" s="18">
        <v>4.4499998092651367</v>
      </c>
      <c r="M203" s="18">
        <v>0</v>
      </c>
      <c r="N203" s="18">
        <v>0</v>
      </c>
      <c r="O203" s="18">
        <v>0</v>
      </c>
      <c r="P203" s="19">
        <v>0</v>
      </c>
      <c r="Q203" s="18">
        <v>4.4499998092651367</v>
      </c>
      <c r="R203" s="19">
        <v>0.99999995713823298</v>
      </c>
      <c r="S203" s="18">
        <v>0</v>
      </c>
      <c r="T203" s="19">
        <v>0</v>
      </c>
      <c r="U203" s="18">
        <v>0</v>
      </c>
      <c r="V203" s="19">
        <v>0</v>
      </c>
      <c r="W203">
        <f t="shared" si="42"/>
        <v>4.4499998092651367</v>
      </c>
      <c r="X203" s="19">
        <f t="shared" si="43"/>
        <v>0.99999995713823298</v>
      </c>
      <c r="Y203">
        <f t="shared" si="44"/>
        <v>0</v>
      </c>
      <c r="Z203" s="19">
        <f t="shared" si="45"/>
        <v>0</v>
      </c>
      <c r="AA203" s="19">
        <f t="shared" si="46"/>
        <v>0.24999998928455824</v>
      </c>
      <c r="AB203" t="str">
        <f t="shared" si="47"/>
        <v>Relatif Mantap</v>
      </c>
      <c r="AC203" s="19">
        <f>IF(Dashboard!$B$7="Mantap (%)",X203,IF(Dashboard!$B$7="Tidak Mantap (%)",Z203,IF(Dashboard!$B$7="Baik (%)",P203,IF(Dashboard!$B$7="Sedang (%)",R203,IF(Dashboard!$B$7="Rusak Ringan (%)",T203,IF(Dashboard!$B$7="Rusak Berat (%)",V203,AA203))))))</f>
        <v>0</v>
      </c>
      <c r="AD203" s="20">
        <f>IF(AND(AF203=1,E203&gt;=Dashboard!$B$10,IF(Dashboard!$B$9="≤ Maksimum",AC203&lt;=Dashboard!$B$8,AC203&gt;=Dashboard!$B$8)),1,0)</f>
        <v>0</v>
      </c>
      <c r="AE203" s="20" t="str">
        <f>IF(AD203=1,COUNTIFS($AD$2:$AD$351,1,$AC$2:$AC$351,"&gt;"&amp;AC203)+COUNTIFS($AD$2:AD203,1,$AC$2:AC203,AC203),"")</f>
        <v/>
      </c>
      <c r="AF203" s="20">
        <f>IF(OR(Dashboard!$B$6="Semua",ISNUMBER(SEARCH(Dashboard!$B$6,D203))),1,0)</f>
        <v>1</v>
      </c>
      <c r="AG203" s="18">
        <f t="shared" si="48"/>
        <v>4.45</v>
      </c>
      <c r="AH203" s="18">
        <f t="shared" si="49"/>
        <v>4.4499998092651367</v>
      </c>
      <c r="AI203" s="18">
        <f t="shared" si="50"/>
        <v>0</v>
      </c>
      <c r="AJ203" s="18">
        <f t="shared" si="51"/>
        <v>0</v>
      </c>
      <c r="AK203" s="20">
        <f>IF(OR(Ruas_Per_Kecamatan!$B$4="Semua",ISNUMBER(SEARCH(Ruas_Per_Kecamatan!$B$4,D203))),1,0)</f>
        <v>1</v>
      </c>
      <c r="AL203" s="20">
        <f>IF(AK203=1,COUNTIF($AK$2:AK203,1),"")</f>
        <v>202</v>
      </c>
      <c r="AM203" s="18">
        <f t="shared" si="52"/>
        <v>4.45</v>
      </c>
      <c r="AN203" s="18">
        <f t="shared" si="53"/>
        <v>4.4499998092651367</v>
      </c>
      <c r="AO203" s="18">
        <f t="shared" si="54"/>
        <v>0</v>
      </c>
      <c r="AP203" s="18">
        <f t="shared" si="55"/>
        <v>0</v>
      </c>
    </row>
    <row r="204" spans="1:42" x14ac:dyDescent="0.25">
      <c r="A204" s="17">
        <v>203</v>
      </c>
      <c r="B204" s="17" t="s">
        <v>653</v>
      </c>
      <c r="C204" s="21" t="s">
        <v>248</v>
      </c>
      <c r="D204" s="17" t="s">
        <v>249</v>
      </c>
      <c r="E204" s="18">
        <v>1.91</v>
      </c>
      <c r="F204" s="18">
        <v>3</v>
      </c>
      <c r="G204" s="18">
        <v>0</v>
      </c>
      <c r="H204" s="18"/>
      <c r="I204" s="18">
        <v>2025</v>
      </c>
      <c r="J204" s="18">
        <v>1.9099999666213989</v>
      </c>
      <c r="K204" s="18">
        <v>0</v>
      </c>
      <c r="L204" s="18">
        <v>0</v>
      </c>
      <c r="M204" s="18">
        <v>0</v>
      </c>
      <c r="N204" s="18">
        <v>0</v>
      </c>
      <c r="O204" s="18">
        <v>1.809999942779541</v>
      </c>
      <c r="P204" s="19">
        <v>0.94764394909923622</v>
      </c>
      <c r="Q204" s="18">
        <v>0.10000000149011612</v>
      </c>
      <c r="R204" s="19">
        <v>5.2356021722573885E-2</v>
      </c>
      <c r="S204" s="18">
        <v>0</v>
      </c>
      <c r="T204" s="19">
        <v>0</v>
      </c>
      <c r="U204" s="18">
        <v>0</v>
      </c>
      <c r="V204" s="19">
        <v>0</v>
      </c>
      <c r="W204">
        <f t="shared" si="42"/>
        <v>1.9099999442696571</v>
      </c>
      <c r="X204" s="19">
        <f t="shared" si="43"/>
        <v>0.99999997082181002</v>
      </c>
      <c r="Y204">
        <f t="shared" si="44"/>
        <v>0</v>
      </c>
      <c r="Z204" s="19">
        <f t="shared" si="45"/>
        <v>0</v>
      </c>
      <c r="AA204" s="19">
        <f t="shared" si="46"/>
        <v>1.3089005430643471E-2</v>
      </c>
      <c r="AB204" t="str">
        <f t="shared" si="47"/>
        <v>Relatif Mantap</v>
      </c>
      <c r="AC204" s="19">
        <f>IF(Dashboard!$B$7="Mantap (%)",X204,IF(Dashboard!$B$7="Tidak Mantap (%)",Z204,IF(Dashboard!$B$7="Baik (%)",P204,IF(Dashboard!$B$7="Sedang (%)",R204,IF(Dashboard!$B$7="Rusak Ringan (%)",T204,IF(Dashboard!$B$7="Rusak Berat (%)",V204,AA204))))))</f>
        <v>0</v>
      </c>
      <c r="AD204" s="20">
        <f>IF(AND(AF204=1,E204&gt;=Dashboard!$B$10,IF(Dashboard!$B$9="≤ Maksimum",AC204&lt;=Dashboard!$B$8,AC204&gt;=Dashboard!$B$8)),1,0)</f>
        <v>0</v>
      </c>
      <c r="AE204" s="20" t="str">
        <f>IF(AD204=1,COUNTIFS($AD$2:$AD$351,1,$AC$2:$AC$351,"&gt;"&amp;AC204)+COUNTIFS($AD$2:AD204,1,$AC$2:AC204,AC204),"")</f>
        <v/>
      </c>
      <c r="AF204" s="20">
        <f>IF(OR(Dashboard!$B$6="Semua",ISNUMBER(SEARCH(Dashboard!$B$6,D204))),1,0)</f>
        <v>1</v>
      </c>
      <c r="AG204" s="18">
        <f t="shared" si="48"/>
        <v>1.91</v>
      </c>
      <c r="AH204" s="18">
        <f t="shared" si="49"/>
        <v>1.9099999442696571</v>
      </c>
      <c r="AI204" s="18">
        <f t="shared" si="50"/>
        <v>0</v>
      </c>
      <c r="AJ204" s="18">
        <f t="shared" si="51"/>
        <v>0</v>
      </c>
      <c r="AK204" s="20">
        <f>IF(OR(Ruas_Per_Kecamatan!$B$4="Semua",ISNUMBER(SEARCH(Ruas_Per_Kecamatan!$B$4,D204))),1,0)</f>
        <v>1</v>
      </c>
      <c r="AL204" s="20">
        <f>IF(AK204=1,COUNTIF($AK$2:AK204,1),"")</f>
        <v>203</v>
      </c>
      <c r="AM204" s="18">
        <f t="shared" si="52"/>
        <v>1.91</v>
      </c>
      <c r="AN204" s="18">
        <f t="shared" si="53"/>
        <v>1.9099999442696571</v>
      </c>
      <c r="AO204" s="18">
        <f t="shared" si="54"/>
        <v>0</v>
      </c>
      <c r="AP204" s="18">
        <f t="shared" si="55"/>
        <v>0</v>
      </c>
    </row>
    <row r="205" spans="1:42" x14ac:dyDescent="0.25">
      <c r="A205" s="17">
        <v>204</v>
      </c>
      <c r="B205" s="17" t="s">
        <v>654</v>
      </c>
      <c r="C205" s="21" t="s">
        <v>250</v>
      </c>
      <c r="D205" s="17" t="s">
        <v>249</v>
      </c>
      <c r="E205" s="18">
        <v>6.36</v>
      </c>
      <c r="F205" s="18">
        <v>3.5</v>
      </c>
      <c r="G205" s="18">
        <v>0</v>
      </c>
      <c r="H205" s="18"/>
      <c r="I205" s="18">
        <v>2025</v>
      </c>
      <c r="J205" s="18">
        <v>6.3600001335144043</v>
      </c>
      <c r="K205" s="18">
        <v>0</v>
      </c>
      <c r="L205" s="18">
        <v>0</v>
      </c>
      <c r="M205" s="18">
        <v>0</v>
      </c>
      <c r="N205" s="18">
        <v>0</v>
      </c>
      <c r="O205" s="18">
        <v>0.40000000596046448</v>
      </c>
      <c r="P205" s="19">
        <v>6.2893082698186234E-2</v>
      </c>
      <c r="Q205" s="18">
        <v>0.80000001192092896</v>
      </c>
      <c r="R205" s="19">
        <v>0.12578616539637247</v>
      </c>
      <c r="S205" s="18">
        <v>2.0999999046325684</v>
      </c>
      <c r="T205" s="19">
        <v>0.33018866425040383</v>
      </c>
      <c r="U205" s="18">
        <v>3.059999942779541</v>
      </c>
      <c r="V205" s="19">
        <v>0.48113206647477058</v>
      </c>
      <c r="W205">
        <f t="shared" si="42"/>
        <v>1.2000000178813934</v>
      </c>
      <c r="X205" s="19">
        <f t="shared" si="43"/>
        <v>0.18867924809455872</v>
      </c>
      <c r="Y205">
        <f t="shared" si="44"/>
        <v>5.1599998474121094</v>
      </c>
      <c r="Z205" s="19">
        <f t="shared" si="45"/>
        <v>0.81132073072517441</v>
      </c>
      <c r="AA205" s="19">
        <f t="shared" si="46"/>
        <v>0.71069180637410601</v>
      </c>
      <c r="AB205" t="str">
        <f t="shared" si="47"/>
        <v>Rusak Berat Dominan</v>
      </c>
      <c r="AC205" s="19">
        <f>IF(Dashboard!$B$7="Mantap (%)",X205,IF(Dashboard!$B$7="Tidak Mantap (%)",Z205,IF(Dashboard!$B$7="Baik (%)",P205,IF(Dashboard!$B$7="Sedang (%)",R205,IF(Dashboard!$B$7="Rusak Ringan (%)",T205,IF(Dashboard!$B$7="Rusak Berat (%)",V205,AA205))))))</f>
        <v>0.81132073072517441</v>
      </c>
      <c r="AD205" s="20">
        <f>IF(AND(AF205=1,E205&gt;=Dashboard!$B$10,IF(Dashboard!$B$9="≤ Maksimum",AC205&lt;=Dashboard!$B$8,AC205&gt;=Dashboard!$B$8)),1,0)</f>
        <v>1</v>
      </c>
      <c r="AE205" s="20">
        <f>IF(AD205=1,COUNTIFS($AD$2:$AD$351,1,$AC$2:$AC$351,"&gt;"&amp;AC205)+COUNTIFS($AD$2:AD205,1,$AC$2:AC205,AC205),"")</f>
        <v>65</v>
      </c>
      <c r="AF205" s="20">
        <f>IF(OR(Dashboard!$B$6="Semua",ISNUMBER(SEARCH(Dashboard!$B$6,D205))),1,0)</f>
        <v>1</v>
      </c>
      <c r="AG205" s="18">
        <f t="shared" si="48"/>
        <v>6.36</v>
      </c>
      <c r="AH205" s="18">
        <f t="shared" si="49"/>
        <v>1.2000000178813934</v>
      </c>
      <c r="AI205" s="18">
        <f t="shared" si="50"/>
        <v>5.1599998474121094</v>
      </c>
      <c r="AJ205" s="18">
        <f t="shared" si="51"/>
        <v>3.059999942779541</v>
      </c>
      <c r="AK205" s="20">
        <f>IF(OR(Ruas_Per_Kecamatan!$B$4="Semua",ISNUMBER(SEARCH(Ruas_Per_Kecamatan!$B$4,D205))),1,0)</f>
        <v>1</v>
      </c>
      <c r="AL205" s="20">
        <f>IF(AK205=1,COUNTIF($AK$2:AK205,1),"")</f>
        <v>204</v>
      </c>
      <c r="AM205" s="18">
        <f t="shared" si="52"/>
        <v>6.36</v>
      </c>
      <c r="AN205" s="18">
        <f t="shared" si="53"/>
        <v>1.2000000178813934</v>
      </c>
      <c r="AO205" s="18">
        <f t="shared" si="54"/>
        <v>5.1599998474121094</v>
      </c>
      <c r="AP205" s="18">
        <f t="shared" si="55"/>
        <v>3.059999942779541</v>
      </c>
    </row>
    <row r="206" spans="1:42" x14ac:dyDescent="0.25">
      <c r="A206" s="17">
        <v>205</v>
      </c>
      <c r="B206" s="17" t="s">
        <v>655</v>
      </c>
      <c r="C206" s="21" t="s">
        <v>251</v>
      </c>
      <c r="D206" s="17" t="s">
        <v>252</v>
      </c>
      <c r="E206" s="18">
        <v>3.13</v>
      </c>
      <c r="F206" s="18">
        <v>3</v>
      </c>
      <c r="G206" s="18">
        <v>0</v>
      </c>
      <c r="H206" s="18"/>
      <c r="I206" s="18">
        <v>2025</v>
      </c>
      <c r="J206" s="18">
        <v>3.130000114440918</v>
      </c>
      <c r="K206" s="18">
        <v>0</v>
      </c>
      <c r="L206" s="18">
        <v>0</v>
      </c>
      <c r="M206" s="18">
        <v>0</v>
      </c>
      <c r="N206" s="18">
        <v>0</v>
      </c>
      <c r="O206" s="18">
        <v>1.1299999952316284</v>
      </c>
      <c r="P206" s="19">
        <v>0.36102236269381099</v>
      </c>
      <c r="Q206" s="18">
        <v>1.3999999761581421</v>
      </c>
      <c r="R206" s="19">
        <v>0.44728433743071633</v>
      </c>
      <c r="S206" s="18">
        <v>0.60000002384185791</v>
      </c>
      <c r="T206" s="19">
        <v>0.19169329835203128</v>
      </c>
      <c r="U206" s="18">
        <v>0</v>
      </c>
      <c r="V206" s="19">
        <v>0</v>
      </c>
      <c r="W206">
        <f t="shared" si="42"/>
        <v>2.5299999713897705</v>
      </c>
      <c r="X206" s="19">
        <f t="shared" si="43"/>
        <v>0.80830670012452732</v>
      </c>
      <c r="Y206">
        <f t="shared" si="44"/>
        <v>0.60000002384185791</v>
      </c>
      <c r="Z206" s="19">
        <f t="shared" si="45"/>
        <v>0.19169329835203128</v>
      </c>
      <c r="AA206" s="19">
        <f t="shared" si="46"/>
        <v>0.22683706336889786</v>
      </c>
      <c r="AB206" t="str">
        <f t="shared" si="47"/>
        <v>Relatif Mantap</v>
      </c>
      <c r="AC206" s="19">
        <f>IF(Dashboard!$B$7="Mantap (%)",X206,IF(Dashboard!$B$7="Tidak Mantap (%)",Z206,IF(Dashboard!$B$7="Baik (%)",P206,IF(Dashboard!$B$7="Sedang (%)",R206,IF(Dashboard!$B$7="Rusak Ringan (%)",T206,IF(Dashboard!$B$7="Rusak Berat (%)",V206,AA206))))))</f>
        <v>0.19169329835203128</v>
      </c>
      <c r="AD206" s="20">
        <f>IF(AND(AF206=1,E206&gt;=Dashboard!$B$10,IF(Dashboard!$B$9="≤ Maksimum",AC206&lt;=Dashboard!$B$8,AC206&gt;=Dashboard!$B$8)),1,0)</f>
        <v>0</v>
      </c>
      <c r="AE206" s="20" t="str">
        <f>IF(AD206=1,COUNTIFS($AD$2:$AD$351,1,$AC$2:$AC$351,"&gt;"&amp;AC206)+COUNTIFS($AD$2:AD206,1,$AC$2:AC206,AC206),"")</f>
        <v/>
      </c>
      <c r="AF206" s="20">
        <f>IF(OR(Dashboard!$B$6="Semua",ISNUMBER(SEARCH(Dashboard!$B$6,D206))),1,0)</f>
        <v>1</v>
      </c>
      <c r="AG206" s="18">
        <f t="shared" si="48"/>
        <v>3.13</v>
      </c>
      <c r="AH206" s="18">
        <f t="shared" si="49"/>
        <v>2.5299999713897705</v>
      </c>
      <c r="AI206" s="18">
        <f t="shared" si="50"/>
        <v>0.60000002384185791</v>
      </c>
      <c r="AJ206" s="18">
        <f t="shared" si="51"/>
        <v>0</v>
      </c>
      <c r="AK206" s="20">
        <f>IF(OR(Ruas_Per_Kecamatan!$B$4="Semua",ISNUMBER(SEARCH(Ruas_Per_Kecamatan!$B$4,D206))),1,0)</f>
        <v>1</v>
      </c>
      <c r="AL206" s="20">
        <f>IF(AK206=1,COUNTIF($AK$2:AK206,1),"")</f>
        <v>205</v>
      </c>
      <c r="AM206" s="18">
        <f t="shared" si="52"/>
        <v>3.13</v>
      </c>
      <c r="AN206" s="18">
        <f t="shared" si="53"/>
        <v>2.5299999713897705</v>
      </c>
      <c r="AO206" s="18">
        <f t="shared" si="54"/>
        <v>0.60000002384185791</v>
      </c>
      <c r="AP206" s="18">
        <f t="shared" si="55"/>
        <v>0</v>
      </c>
    </row>
    <row r="207" spans="1:42" x14ac:dyDescent="0.25">
      <c r="A207" s="17">
        <v>206</v>
      </c>
      <c r="B207" s="17" t="s">
        <v>656</v>
      </c>
      <c r="C207" s="21" t="s">
        <v>253</v>
      </c>
      <c r="D207" s="17" t="s">
        <v>249</v>
      </c>
      <c r="E207" s="18">
        <v>1.03</v>
      </c>
      <c r="F207" s="18">
        <v>3</v>
      </c>
      <c r="G207" s="18">
        <v>0</v>
      </c>
      <c r="H207" s="18"/>
      <c r="I207" s="18">
        <v>2025</v>
      </c>
      <c r="J207" s="18">
        <v>1.0299999713897705</v>
      </c>
      <c r="K207" s="18">
        <v>0</v>
      </c>
      <c r="L207" s="18">
        <v>0</v>
      </c>
      <c r="M207" s="18">
        <v>0</v>
      </c>
      <c r="N207" s="18">
        <v>0</v>
      </c>
      <c r="O207" s="18">
        <v>0.23000000417232513</v>
      </c>
      <c r="P207" s="19">
        <v>0.2233009749245875</v>
      </c>
      <c r="Q207" s="18">
        <v>0.60000002384185791</v>
      </c>
      <c r="R207" s="19">
        <v>0.58252429499209502</v>
      </c>
      <c r="S207" s="18">
        <v>0.20000000298023224</v>
      </c>
      <c r="T207" s="19">
        <v>0.19417476017498275</v>
      </c>
      <c r="U207" s="18">
        <v>0</v>
      </c>
      <c r="V207" s="19">
        <v>0</v>
      </c>
      <c r="W207">
        <f t="shared" si="42"/>
        <v>0.83000002801418304</v>
      </c>
      <c r="X207" s="19">
        <f t="shared" si="43"/>
        <v>0.80582526991668257</v>
      </c>
      <c r="Y207">
        <f t="shared" si="44"/>
        <v>0.20000000298023224</v>
      </c>
      <c r="Z207" s="19">
        <f t="shared" si="45"/>
        <v>0.19417476017498275</v>
      </c>
      <c r="AA207" s="19">
        <f t="shared" si="46"/>
        <v>0.26213592985301337</v>
      </c>
      <c r="AB207" t="str">
        <f t="shared" si="47"/>
        <v>Relatif Mantap</v>
      </c>
      <c r="AC207" s="19">
        <f>IF(Dashboard!$B$7="Mantap (%)",X207,IF(Dashboard!$B$7="Tidak Mantap (%)",Z207,IF(Dashboard!$B$7="Baik (%)",P207,IF(Dashboard!$B$7="Sedang (%)",R207,IF(Dashboard!$B$7="Rusak Ringan (%)",T207,IF(Dashboard!$B$7="Rusak Berat (%)",V207,AA207))))))</f>
        <v>0.19417476017498275</v>
      </c>
      <c r="AD207" s="20">
        <f>IF(AND(AF207=1,E207&gt;=Dashboard!$B$10,IF(Dashboard!$B$9="≤ Maksimum",AC207&lt;=Dashboard!$B$8,AC207&gt;=Dashboard!$B$8)),1,0)</f>
        <v>0</v>
      </c>
      <c r="AE207" s="20" t="str">
        <f>IF(AD207=1,COUNTIFS($AD$2:$AD$351,1,$AC$2:$AC$351,"&gt;"&amp;AC207)+COUNTIFS($AD$2:AD207,1,$AC$2:AC207,AC207),"")</f>
        <v/>
      </c>
      <c r="AF207" s="20">
        <f>IF(OR(Dashboard!$B$6="Semua",ISNUMBER(SEARCH(Dashboard!$B$6,D207))),1,0)</f>
        <v>1</v>
      </c>
      <c r="AG207" s="18">
        <f t="shared" si="48"/>
        <v>1.03</v>
      </c>
      <c r="AH207" s="18">
        <f t="shared" si="49"/>
        <v>0.83000002801418304</v>
      </c>
      <c r="AI207" s="18">
        <f t="shared" si="50"/>
        <v>0.20000000298023224</v>
      </c>
      <c r="AJ207" s="18">
        <f t="shared" si="51"/>
        <v>0</v>
      </c>
      <c r="AK207" s="20">
        <f>IF(OR(Ruas_Per_Kecamatan!$B$4="Semua",ISNUMBER(SEARCH(Ruas_Per_Kecamatan!$B$4,D207))),1,0)</f>
        <v>1</v>
      </c>
      <c r="AL207" s="20">
        <f>IF(AK207=1,COUNTIF($AK$2:AK207,1),"")</f>
        <v>206</v>
      </c>
      <c r="AM207" s="18">
        <f t="shared" si="52"/>
        <v>1.03</v>
      </c>
      <c r="AN207" s="18">
        <f t="shared" si="53"/>
        <v>0.83000002801418304</v>
      </c>
      <c r="AO207" s="18">
        <f t="shared" si="54"/>
        <v>0.20000000298023224</v>
      </c>
      <c r="AP207" s="18">
        <f t="shared" si="55"/>
        <v>0</v>
      </c>
    </row>
    <row r="208" spans="1:42" x14ac:dyDescent="0.25">
      <c r="A208" s="17">
        <v>207</v>
      </c>
      <c r="B208" s="17" t="s">
        <v>657</v>
      </c>
      <c r="C208" s="21" t="s">
        <v>254</v>
      </c>
      <c r="D208" s="17" t="s">
        <v>252</v>
      </c>
      <c r="E208" s="18">
        <v>2.73</v>
      </c>
      <c r="F208" s="18">
        <v>3.5</v>
      </c>
      <c r="G208" s="18">
        <v>0</v>
      </c>
      <c r="H208" s="18"/>
      <c r="I208" s="18">
        <v>2025</v>
      </c>
      <c r="J208" s="18">
        <v>2.7300000190734863</v>
      </c>
      <c r="K208" s="18">
        <v>0</v>
      </c>
      <c r="L208" s="18">
        <v>0</v>
      </c>
      <c r="M208" s="18">
        <v>0</v>
      </c>
      <c r="N208" s="18">
        <v>0</v>
      </c>
      <c r="O208" s="18">
        <v>1.0299999713897705</v>
      </c>
      <c r="P208" s="19">
        <v>0.37728936680943975</v>
      </c>
      <c r="Q208" s="18">
        <v>1.5</v>
      </c>
      <c r="R208" s="19">
        <v>0.5494505494505495</v>
      </c>
      <c r="S208" s="18">
        <v>0.20000000298023224</v>
      </c>
      <c r="T208" s="19">
        <v>7.3260074351733415E-2</v>
      </c>
      <c r="U208" s="18">
        <v>0</v>
      </c>
      <c r="V208" s="19">
        <v>0</v>
      </c>
      <c r="W208">
        <f t="shared" si="42"/>
        <v>2.5299999713897705</v>
      </c>
      <c r="X208" s="19">
        <f t="shared" si="43"/>
        <v>0.92673991625998919</v>
      </c>
      <c r="Y208">
        <f t="shared" si="44"/>
        <v>0.20000000298023224</v>
      </c>
      <c r="Z208" s="19">
        <f t="shared" si="45"/>
        <v>7.3260074351733415E-2</v>
      </c>
      <c r="AA208" s="19">
        <f t="shared" si="46"/>
        <v>0.18131868197367743</v>
      </c>
      <c r="AB208" t="str">
        <f t="shared" si="47"/>
        <v>Relatif Mantap</v>
      </c>
      <c r="AC208" s="19">
        <f>IF(Dashboard!$B$7="Mantap (%)",X208,IF(Dashboard!$B$7="Tidak Mantap (%)",Z208,IF(Dashboard!$B$7="Baik (%)",P208,IF(Dashboard!$B$7="Sedang (%)",R208,IF(Dashboard!$B$7="Rusak Ringan (%)",T208,IF(Dashboard!$B$7="Rusak Berat (%)",V208,AA208))))))</f>
        <v>7.3260074351733415E-2</v>
      </c>
      <c r="AD208" s="20">
        <f>IF(AND(AF208=1,E208&gt;=Dashboard!$B$10,IF(Dashboard!$B$9="≤ Maksimum",AC208&lt;=Dashboard!$B$8,AC208&gt;=Dashboard!$B$8)),1,0)</f>
        <v>0</v>
      </c>
      <c r="AE208" s="20" t="str">
        <f>IF(AD208=1,COUNTIFS($AD$2:$AD$351,1,$AC$2:$AC$351,"&gt;"&amp;AC208)+COUNTIFS($AD$2:AD208,1,$AC$2:AC208,AC208),"")</f>
        <v/>
      </c>
      <c r="AF208" s="20">
        <f>IF(OR(Dashboard!$B$6="Semua",ISNUMBER(SEARCH(Dashboard!$B$6,D208))),1,0)</f>
        <v>1</v>
      </c>
      <c r="AG208" s="18">
        <f t="shared" si="48"/>
        <v>2.73</v>
      </c>
      <c r="AH208" s="18">
        <f t="shared" si="49"/>
        <v>2.5299999713897705</v>
      </c>
      <c r="AI208" s="18">
        <f t="shared" si="50"/>
        <v>0.20000000298023224</v>
      </c>
      <c r="AJ208" s="18">
        <f t="shared" si="51"/>
        <v>0</v>
      </c>
      <c r="AK208" s="20">
        <f>IF(OR(Ruas_Per_Kecamatan!$B$4="Semua",ISNUMBER(SEARCH(Ruas_Per_Kecamatan!$B$4,D208))),1,0)</f>
        <v>1</v>
      </c>
      <c r="AL208" s="20">
        <f>IF(AK208=1,COUNTIF($AK$2:AK208,1),"")</f>
        <v>207</v>
      </c>
      <c r="AM208" s="18">
        <f t="shared" si="52"/>
        <v>2.73</v>
      </c>
      <c r="AN208" s="18">
        <f t="shared" si="53"/>
        <v>2.5299999713897705</v>
      </c>
      <c r="AO208" s="18">
        <f t="shared" si="54"/>
        <v>0.20000000298023224</v>
      </c>
      <c r="AP208" s="18">
        <f t="shared" si="55"/>
        <v>0</v>
      </c>
    </row>
    <row r="209" spans="1:42" x14ac:dyDescent="0.25">
      <c r="A209" s="17">
        <v>208</v>
      </c>
      <c r="B209" s="17" t="s">
        <v>658</v>
      </c>
      <c r="C209" s="21" t="s">
        <v>255</v>
      </c>
      <c r="D209" s="17" t="s">
        <v>249</v>
      </c>
      <c r="E209" s="18">
        <v>3.35</v>
      </c>
      <c r="F209" s="18">
        <v>3.5</v>
      </c>
      <c r="G209" s="18">
        <v>0</v>
      </c>
      <c r="H209" s="18"/>
      <c r="I209" s="18">
        <v>2025</v>
      </c>
      <c r="J209" s="18">
        <v>3.3499999046325684</v>
      </c>
      <c r="K209" s="18">
        <v>0</v>
      </c>
      <c r="L209" s="18">
        <v>0</v>
      </c>
      <c r="M209" s="18">
        <v>0</v>
      </c>
      <c r="N209" s="18">
        <v>0</v>
      </c>
      <c r="O209" s="18">
        <v>3.3499999046325684</v>
      </c>
      <c r="P209" s="19">
        <v>0.99999997153210995</v>
      </c>
      <c r="Q209" s="18">
        <v>0</v>
      </c>
      <c r="R209" s="19">
        <v>0</v>
      </c>
      <c r="S209" s="18">
        <v>0</v>
      </c>
      <c r="T209" s="19">
        <v>0</v>
      </c>
      <c r="U209" s="18">
        <v>0</v>
      </c>
      <c r="V209" s="19">
        <v>0</v>
      </c>
      <c r="W209">
        <f t="shared" si="42"/>
        <v>3.3499999046325684</v>
      </c>
      <c r="X209" s="19">
        <f t="shared" si="43"/>
        <v>0.99999997153210995</v>
      </c>
      <c r="Y209">
        <f t="shared" si="44"/>
        <v>0</v>
      </c>
      <c r="Z209" s="19">
        <f t="shared" si="45"/>
        <v>0</v>
      </c>
      <c r="AA209" s="19">
        <f t="shared" si="46"/>
        <v>0</v>
      </c>
      <c r="AB209" t="str">
        <f t="shared" si="47"/>
        <v>Relatif Mantap</v>
      </c>
      <c r="AC209" s="19">
        <f>IF(Dashboard!$B$7="Mantap (%)",X209,IF(Dashboard!$B$7="Tidak Mantap (%)",Z209,IF(Dashboard!$B$7="Baik (%)",P209,IF(Dashboard!$B$7="Sedang (%)",R209,IF(Dashboard!$B$7="Rusak Ringan (%)",T209,IF(Dashboard!$B$7="Rusak Berat (%)",V209,AA209))))))</f>
        <v>0</v>
      </c>
      <c r="AD209" s="20">
        <f>IF(AND(AF209=1,E209&gt;=Dashboard!$B$10,IF(Dashboard!$B$9="≤ Maksimum",AC209&lt;=Dashboard!$B$8,AC209&gt;=Dashboard!$B$8)),1,0)</f>
        <v>0</v>
      </c>
      <c r="AE209" s="20" t="str">
        <f>IF(AD209=1,COUNTIFS($AD$2:$AD$351,1,$AC$2:$AC$351,"&gt;"&amp;AC209)+COUNTIFS($AD$2:AD209,1,$AC$2:AC209,AC209),"")</f>
        <v/>
      </c>
      <c r="AF209" s="20">
        <f>IF(OR(Dashboard!$B$6="Semua",ISNUMBER(SEARCH(Dashboard!$B$6,D209))),1,0)</f>
        <v>1</v>
      </c>
      <c r="AG209" s="18">
        <f t="shared" si="48"/>
        <v>3.35</v>
      </c>
      <c r="AH209" s="18">
        <f t="shared" si="49"/>
        <v>3.3499999046325684</v>
      </c>
      <c r="AI209" s="18">
        <f t="shared" si="50"/>
        <v>0</v>
      </c>
      <c r="AJ209" s="18">
        <f t="shared" si="51"/>
        <v>0</v>
      </c>
      <c r="AK209" s="20">
        <f>IF(OR(Ruas_Per_Kecamatan!$B$4="Semua",ISNUMBER(SEARCH(Ruas_Per_Kecamatan!$B$4,D209))),1,0)</f>
        <v>1</v>
      </c>
      <c r="AL209" s="20">
        <f>IF(AK209=1,COUNTIF($AK$2:AK209,1),"")</f>
        <v>208</v>
      </c>
      <c r="AM209" s="18">
        <f t="shared" si="52"/>
        <v>3.35</v>
      </c>
      <c r="AN209" s="18">
        <f t="shared" si="53"/>
        <v>3.3499999046325684</v>
      </c>
      <c r="AO209" s="18">
        <f t="shared" si="54"/>
        <v>0</v>
      </c>
      <c r="AP209" s="18">
        <f t="shared" si="55"/>
        <v>0</v>
      </c>
    </row>
    <row r="210" spans="1:42" x14ac:dyDescent="0.25">
      <c r="A210" s="17">
        <v>209</v>
      </c>
      <c r="B210" s="17" t="s">
        <v>659</v>
      </c>
      <c r="C210" s="21" t="s">
        <v>256</v>
      </c>
      <c r="D210" s="17" t="s">
        <v>249</v>
      </c>
      <c r="E210" s="18">
        <v>2.93</v>
      </c>
      <c r="F210" s="18">
        <v>3</v>
      </c>
      <c r="G210" s="18">
        <v>0</v>
      </c>
      <c r="H210" s="18"/>
      <c r="I210" s="18">
        <v>2025</v>
      </c>
      <c r="J210" s="18">
        <v>2.9300000667572021</v>
      </c>
      <c r="K210" s="18">
        <v>0</v>
      </c>
      <c r="L210" s="18">
        <v>0</v>
      </c>
      <c r="M210" s="18">
        <v>0</v>
      </c>
      <c r="N210" s="18">
        <v>0</v>
      </c>
      <c r="O210" s="18">
        <v>1</v>
      </c>
      <c r="P210" s="19">
        <v>0.34129692832764502</v>
      </c>
      <c r="Q210" s="18">
        <v>0.10000000149011612</v>
      </c>
      <c r="R210" s="19">
        <v>3.4129693341336559E-2</v>
      </c>
      <c r="S210" s="18">
        <v>0.52999997138977051</v>
      </c>
      <c r="T210" s="19">
        <v>0.18088736224906843</v>
      </c>
      <c r="U210" s="18">
        <v>1.2999999523162842</v>
      </c>
      <c r="V210" s="19">
        <v>0.44368599055163283</v>
      </c>
      <c r="W210">
        <f t="shared" si="42"/>
        <v>1.1000000014901161</v>
      </c>
      <c r="X210" s="19">
        <f t="shared" si="43"/>
        <v>0.37542662166898161</v>
      </c>
      <c r="Y210">
        <f t="shared" si="44"/>
        <v>1.8299999237060547</v>
      </c>
      <c r="Z210" s="19">
        <f t="shared" si="45"/>
        <v>0.62457335280070125</v>
      </c>
      <c r="AA210" s="19">
        <f t="shared" si="46"/>
        <v>0.56075083123640801</v>
      </c>
      <c r="AB210" t="str">
        <f t="shared" si="47"/>
        <v>Rusak Berat Dominan</v>
      </c>
      <c r="AC210" s="19">
        <f>IF(Dashboard!$B$7="Mantap (%)",X210,IF(Dashboard!$B$7="Tidak Mantap (%)",Z210,IF(Dashboard!$B$7="Baik (%)",P210,IF(Dashboard!$B$7="Sedang (%)",R210,IF(Dashboard!$B$7="Rusak Ringan (%)",T210,IF(Dashboard!$B$7="Rusak Berat (%)",V210,AA210))))))</f>
        <v>0.62457335280070125</v>
      </c>
      <c r="AD210" s="20">
        <f>IF(AND(AF210=1,E210&gt;=Dashboard!$B$10,IF(Dashboard!$B$9="≤ Maksimum",AC210&lt;=Dashboard!$B$8,AC210&gt;=Dashboard!$B$8)),1,0)</f>
        <v>1</v>
      </c>
      <c r="AE210" s="20">
        <f>IF(AD210=1,COUNTIFS($AD$2:$AD$351,1,$AC$2:$AC$351,"&gt;"&amp;AC210)+COUNTIFS($AD$2:AD210,1,$AC$2:AC210,AC210),"")</f>
        <v>104</v>
      </c>
      <c r="AF210" s="20">
        <f>IF(OR(Dashboard!$B$6="Semua",ISNUMBER(SEARCH(Dashboard!$B$6,D210))),1,0)</f>
        <v>1</v>
      </c>
      <c r="AG210" s="18">
        <f t="shared" si="48"/>
        <v>2.93</v>
      </c>
      <c r="AH210" s="18">
        <f t="shared" si="49"/>
        <v>1.1000000014901161</v>
      </c>
      <c r="AI210" s="18">
        <f t="shared" si="50"/>
        <v>1.8299999237060547</v>
      </c>
      <c r="AJ210" s="18">
        <f t="shared" si="51"/>
        <v>1.2999999523162842</v>
      </c>
      <c r="AK210" s="20">
        <f>IF(OR(Ruas_Per_Kecamatan!$B$4="Semua",ISNUMBER(SEARCH(Ruas_Per_Kecamatan!$B$4,D210))),1,0)</f>
        <v>1</v>
      </c>
      <c r="AL210" s="20">
        <f>IF(AK210=1,COUNTIF($AK$2:AK210,1),"")</f>
        <v>209</v>
      </c>
      <c r="AM210" s="18">
        <f t="shared" si="52"/>
        <v>2.93</v>
      </c>
      <c r="AN210" s="18">
        <f t="shared" si="53"/>
        <v>1.1000000014901161</v>
      </c>
      <c r="AO210" s="18">
        <f t="shared" si="54"/>
        <v>1.8299999237060547</v>
      </c>
      <c r="AP210" s="18">
        <f t="shared" si="55"/>
        <v>1.2999999523162842</v>
      </c>
    </row>
    <row r="211" spans="1:42" x14ac:dyDescent="0.25">
      <c r="A211" s="17">
        <v>210</v>
      </c>
      <c r="B211" s="17" t="s">
        <v>660</v>
      </c>
      <c r="C211" s="21" t="s">
        <v>257</v>
      </c>
      <c r="D211" s="17" t="s">
        <v>249</v>
      </c>
      <c r="E211" s="18">
        <v>1.56</v>
      </c>
      <c r="F211" s="18">
        <v>3.5</v>
      </c>
      <c r="G211" s="18">
        <v>0</v>
      </c>
      <c r="H211" s="18"/>
      <c r="I211" s="18">
        <v>2025</v>
      </c>
      <c r="J211" s="18">
        <v>1.559999942779541</v>
      </c>
      <c r="K211" s="18">
        <v>0</v>
      </c>
      <c r="L211" s="18">
        <v>0</v>
      </c>
      <c r="M211" s="18">
        <v>0</v>
      </c>
      <c r="N211" s="18">
        <v>0</v>
      </c>
      <c r="O211" s="18">
        <v>0.10000000149011612</v>
      </c>
      <c r="P211" s="19">
        <v>6.4102565057766736E-2</v>
      </c>
      <c r="Q211" s="18">
        <v>1.1599999666213989</v>
      </c>
      <c r="R211" s="19">
        <v>0.74358972219320441</v>
      </c>
      <c r="S211" s="18">
        <v>0.30000001192092896</v>
      </c>
      <c r="T211" s="19">
        <v>0.19230769994931343</v>
      </c>
      <c r="U211" s="18">
        <v>0</v>
      </c>
      <c r="V211" s="19">
        <v>0</v>
      </c>
      <c r="W211">
        <f t="shared" si="42"/>
        <v>1.259999968111515</v>
      </c>
      <c r="X211" s="19">
        <f t="shared" si="43"/>
        <v>0.8076922872509712</v>
      </c>
      <c r="Y211">
        <f t="shared" si="44"/>
        <v>0.30000001192092896</v>
      </c>
      <c r="Z211" s="19">
        <f t="shared" si="45"/>
        <v>0.19230769994931343</v>
      </c>
      <c r="AA211" s="19">
        <f t="shared" si="46"/>
        <v>0.30128205051788914</v>
      </c>
      <c r="AB211" t="str">
        <f t="shared" si="47"/>
        <v>Relatif Mantap</v>
      </c>
      <c r="AC211" s="19">
        <f>IF(Dashboard!$B$7="Mantap (%)",X211,IF(Dashboard!$B$7="Tidak Mantap (%)",Z211,IF(Dashboard!$B$7="Baik (%)",P211,IF(Dashboard!$B$7="Sedang (%)",R211,IF(Dashboard!$B$7="Rusak Ringan (%)",T211,IF(Dashboard!$B$7="Rusak Berat (%)",V211,AA211))))))</f>
        <v>0.19230769994931343</v>
      </c>
      <c r="AD211" s="20">
        <f>IF(AND(AF211=1,E211&gt;=Dashboard!$B$10,IF(Dashboard!$B$9="≤ Maksimum",AC211&lt;=Dashboard!$B$8,AC211&gt;=Dashboard!$B$8)),1,0)</f>
        <v>0</v>
      </c>
      <c r="AE211" s="20" t="str">
        <f>IF(AD211=1,COUNTIFS($AD$2:$AD$351,1,$AC$2:$AC$351,"&gt;"&amp;AC211)+COUNTIFS($AD$2:AD211,1,$AC$2:AC211,AC211),"")</f>
        <v/>
      </c>
      <c r="AF211" s="20">
        <f>IF(OR(Dashboard!$B$6="Semua",ISNUMBER(SEARCH(Dashboard!$B$6,D211))),1,0)</f>
        <v>1</v>
      </c>
      <c r="AG211" s="18">
        <f t="shared" si="48"/>
        <v>1.56</v>
      </c>
      <c r="AH211" s="18">
        <f t="shared" si="49"/>
        <v>1.259999968111515</v>
      </c>
      <c r="AI211" s="18">
        <f t="shared" si="50"/>
        <v>0.30000001192092896</v>
      </c>
      <c r="AJ211" s="18">
        <f t="shared" si="51"/>
        <v>0</v>
      </c>
      <c r="AK211" s="20">
        <f>IF(OR(Ruas_Per_Kecamatan!$B$4="Semua",ISNUMBER(SEARCH(Ruas_Per_Kecamatan!$B$4,D211))),1,0)</f>
        <v>1</v>
      </c>
      <c r="AL211" s="20">
        <f>IF(AK211=1,COUNTIF($AK$2:AK211,1),"")</f>
        <v>210</v>
      </c>
      <c r="AM211" s="18">
        <f t="shared" si="52"/>
        <v>1.56</v>
      </c>
      <c r="AN211" s="18">
        <f t="shared" si="53"/>
        <v>1.259999968111515</v>
      </c>
      <c r="AO211" s="18">
        <f t="shared" si="54"/>
        <v>0.30000001192092896</v>
      </c>
      <c r="AP211" s="18">
        <f t="shared" si="55"/>
        <v>0</v>
      </c>
    </row>
    <row r="212" spans="1:42" x14ac:dyDescent="0.25">
      <c r="A212" s="17">
        <v>211</v>
      </c>
      <c r="B212" s="17" t="s">
        <v>661</v>
      </c>
      <c r="C212" s="21" t="s">
        <v>258</v>
      </c>
      <c r="D212" s="17" t="s">
        <v>249</v>
      </c>
      <c r="E212" s="18">
        <v>3.91</v>
      </c>
      <c r="F212" s="18">
        <v>3.5</v>
      </c>
      <c r="G212" s="18">
        <v>0</v>
      </c>
      <c r="H212" s="18"/>
      <c r="I212" s="18">
        <v>2025</v>
      </c>
      <c r="J212" s="18">
        <v>3.9100000858306885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9">
        <v>0</v>
      </c>
      <c r="Q212" s="18">
        <v>1.7000000476837158</v>
      </c>
      <c r="R212" s="19">
        <v>0.43478262089097591</v>
      </c>
      <c r="S212" s="18">
        <v>0.89999997615814209</v>
      </c>
      <c r="T212" s="19">
        <v>0.23017902203533044</v>
      </c>
      <c r="U212" s="18">
        <v>1.309999942779541</v>
      </c>
      <c r="V212" s="19">
        <v>0.33503834853696701</v>
      </c>
      <c r="W212">
        <f t="shared" si="42"/>
        <v>1.7000000476837158</v>
      </c>
      <c r="X212" s="19">
        <f t="shared" si="43"/>
        <v>0.43478262089097591</v>
      </c>
      <c r="Y212">
        <f t="shared" si="44"/>
        <v>2.2099999189376831</v>
      </c>
      <c r="Z212" s="19">
        <f t="shared" si="45"/>
        <v>0.56521737057229748</v>
      </c>
      <c r="AA212" s="19">
        <f t="shared" si="46"/>
        <v>0.58184141698090919</v>
      </c>
      <c r="AB212" t="str">
        <f t="shared" si="47"/>
        <v>Rusak Berat Dominan</v>
      </c>
      <c r="AC212" s="19">
        <f>IF(Dashboard!$B$7="Mantap (%)",X212,IF(Dashboard!$B$7="Tidak Mantap (%)",Z212,IF(Dashboard!$B$7="Baik (%)",P212,IF(Dashboard!$B$7="Sedang (%)",R212,IF(Dashboard!$B$7="Rusak Ringan (%)",T212,IF(Dashboard!$B$7="Rusak Berat (%)",V212,AA212))))))</f>
        <v>0.56521737057229748</v>
      </c>
      <c r="AD212" s="20">
        <f>IF(AND(AF212=1,E212&gt;=Dashboard!$B$10,IF(Dashboard!$B$9="≤ Maksimum",AC212&lt;=Dashboard!$B$8,AC212&gt;=Dashboard!$B$8)),1,0)</f>
        <v>1</v>
      </c>
      <c r="AE212" s="20">
        <f>IF(AD212=1,COUNTIFS($AD$2:$AD$351,1,$AC$2:$AC$351,"&gt;"&amp;AC212)+COUNTIFS($AD$2:AD212,1,$AC$2:AC212,AC212),"")</f>
        <v>111</v>
      </c>
      <c r="AF212" s="20">
        <f>IF(OR(Dashboard!$B$6="Semua",ISNUMBER(SEARCH(Dashboard!$B$6,D212))),1,0)</f>
        <v>1</v>
      </c>
      <c r="AG212" s="18">
        <f t="shared" si="48"/>
        <v>3.91</v>
      </c>
      <c r="AH212" s="18">
        <f t="shared" si="49"/>
        <v>1.7000000476837158</v>
      </c>
      <c r="AI212" s="18">
        <f t="shared" si="50"/>
        <v>2.2099999189376831</v>
      </c>
      <c r="AJ212" s="18">
        <f t="shared" si="51"/>
        <v>1.309999942779541</v>
      </c>
      <c r="AK212" s="20">
        <f>IF(OR(Ruas_Per_Kecamatan!$B$4="Semua",ISNUMBER(SEARCH(Ruas_Per_Kecamatan!$B$4,D212))),1,0)</f>
        <v>1</v>
      </c>
      <c r="AL212" s="20">
        <f>IF(AK212=1,COUNTIF($AK$2:AK212,1),"")</f>
        <v>211</v>
      </c>
      <c r="AM212" s="18">
        <f t="shared" si="52"/>
        <v>3.91</v>
      </c>
      <c r="AN212" s="18">
        <f t="shared" si="53"/>
        <v>1.7000000476837158</v>
      </c>
      <c r="AO212" s="18">
        <f t="shared" si="54"/>
        <v>2.2099999189376831</v>
      </c>
      <c r="AP212" s="18">
        <f t="shared" si="55"/>
        <v>1.309999942779541</v>
      </c>
    </row>
    <row r="213" spans="1:42" x14ac:dyDescent="0.25">
      <c r="A213" s="17">
        <v>212</v>
      </c>
      <c r="B213" s="17" t="s">
        <v>662</v>
      </c>
      <c r="C213" s="21" t="s">
        <v>259</v>
      </c>
      <c r="D213" s="17" t="s">
        <v>249</v>
      </c>
      <c r="E213" s="18">
        <v>4.78</v>
      </c>
      <c r="F213" s="18">
        <v>3.5</v>
      </c>
      <c r="G213" s="18">
        <v>0</v>
      </c>
      <c r="H213" s="18"/>
      <c r="I213" s="18">
        <v>2025</v>
      </c>
      <c r="J213" s="18">
        <v>4</v>
      </c>
      <c r="K213" s="18">
        <v>0</v>
      </c>
      <c r="L213" s="18">
        <v>0</v>
      </c>
      <c r="M213" s="18">
        <v>0</v>
      </c>
      <c r="N213" s="18">
        <v>0.77999997138977051</v>
      </c>
      <c r="O213" s="18">
        <v>0</v>
      </c>
      <c r="P213" s="19">
        <v>0</v>
      </c>
      <c r="Q213" s="18">
        <v>2.2999999523162842</v>
      </c>
      <c r="R213" s="19">
        <v>0.481171538141482</v>
      </c>
      <c r="S213" s="18">
        <v>0.30000001192092896</v>
      </c>
      <c r="T213" s="19">
        <v>6.2761508770068822E-2</v>
      </c>
      <c r="U213" s="18">
        <v>2.1799999475479126</v>
      </c>
      <c r="V213" s="19">
        <v>0.45606693463345449</v>
      </c>
      <c r="W213">
        <f t="shared" si="42"/>
        <v>2.2999999523162842</v>
      </c>
      <c r="X213" s="19">
        <f t="shared" si="43"/>
        <v>0.481171538141482</v>
      </c>
      <c r="Y213">
        <f t="shared" si="44"/>
        <v>2.4799999594688416</v>
      </c>
      <c r="Z213" s="19">
        <f t="shared" si="45"/>
        <v>0.5188284434035233</v>
      </c>
      <c r="AA213" s="19">
        <f t="shared" si="46"/>
        <v>0.6140167244308663</v>
      </c>
      <c r="AB213" t="str">
        <f t="shared" si="47"/>
        <v>Rusak Berat Dominan</v>
      </c>
      <c r="AC213" s="19">
        <f>IF(Dashboard!$B$7="Mantap (%)",X213,IF(Dashboard!$B$7="Tidak Mantap (%)",Z213,IF(Dashboard!$B$7="Baik (%)",P213,IF(Dashboard!$B$7="Sedang (%)",R213,IF(Dashboard!$B$7="Rusak Ringan (%)",T213,IF(Dashboard!$B$7="Rusak Berat (%)",V213,AA213))))))</f>
        <v>0.5188284434035233</v>
      </c>
      <c r="AD213" s="20">
        <f>IF(AND(AF213=1,E213&gt;=Dashboard!$B$10,IF(Dashboard!$B$9="≤ Maksimum",AC213&lt;=Dashboard!$B$8,AC213&gt;=Dashboard!$B$8)),1,0)</f>
        <v>1</v>
      </c>
      <c r="AE213" s="20">
        <f>IF(AD213=1,COUNTIFS($AD$2:$AD$351,1,$AC$2:$AC$351,"&gt;"&amp;AC213)+COUNTIFS($AD$2:AD213,1,$AC$2:AC213,AC213),"")</f>
        <v>122</v>
      </c>
      <c r="AF213" s="20">
        <f>IF(OR(Dashboard!$B$6="Semua",ISNUMBER(SEARCH(Dashboard!$B$6,D213))),1,0)</f>
        <v>1</v>
      </c>
      <c r="AG213" s="18">
        <f t="shared" si="48"/>
        <v>4.78</v>
      </c>
      <c r="AH213" s="18">
        <f t="shared" si="49"/>
        <v>2.2999999523162842</v>
      </c>
      <c r="AI213" s="18">
        <f t="shared" si="50"/>
        <v>2.4799999594688416</v>
      </c>
      <c r="AJ213" s="18">
        <f t="shared" si="51"/>
        <v>2.1799999475479126</v>
      </c>
      <c r="AK213" s="20">
        <f>IF(OR(Ruas_Per_Kecamatan!$B$4="Semua",ISNUMBER(SEARCH(Ruas_Per_Kecamatan!$B$4,D213))),1,0)</f>
        <v>1</v>
      </c>
      <c r="AL213" s="20">
        <f>IF(AK213=1,COUNTIF($AK$2:AK213,1),"")</f>
        <v>212</v>
      </c>
      <c r="AM213" s="18">
        <f t="shared" si="52"/>
        <v>4.78</v>
      </c>
      <c r="AN213" s="18">
        <f t="shared" si="53"/>
        <v>2.2999999523162842</v>
      </c>
      <c r="AO213" s="18">
        <f t="shared" si="54"/>
        <v>2.4799999594688416</v>
      </c>
      <c r="AP213" s="18">
        <f t="shared" si="55"/>
        <v>2.1799999475479126</v>
      </c>
    </row>
    <row r="214" spans="1:42" x14ac:dyDescent="0.25">
      <c r="A214" s="17">
        <v>213</v>
      </c>
      <c r="B214" s="17" t="s">
        <v>663</v>
      </c>
      <c r="C214" s="21" t="s">
        <v>260</v>
      </c>
      <c r="D214" s="17" t="s">
        <v>249</v>
      </c>
      <c r="E214" s="18">
        <v>2.12</v>
      </c>
      <c r="F214" s="18">
        <v>3.5</v>
      </c>
      <c r="G214" s="18">
        <v>0</v>
      </c>
      <c r="H214" s="18"/>
      <c r="I214" s="18">
        <v>2025</v>
      </c>
      <c r="J214" s="18">
        <v>1.6000000238418579</v>
      </c>
      <c r="K214" s="18">
        <v>0</v>
      </c>
      <c r="L214" s="18">
        <v>0</v>
      </c>
      <c r="M214" s="18">
        <v>0</v>
      </c>
      <c r="N214" s="18">
        <v>0.51999998092651367</v>
      </c>
      <c r="O214" s="18">
        <v>0</v>
      </c>
      <c r="P214" s="19">
        <v>0</v>
      </c>
      <c r="Q214" s="18">
        <v>0.10000000149011612</v>
      </c>
      <c r="R214" s="19">
        <v>4.7169812023639679E-2</v>
      </c>
      <c r="S214" s="18">
        <v>0.30000001192092896</v>
      </c>
      <c r="T214" s="19">
        <v>0.14150943958534384</v>
      </c>
      <c r="U214" s="18">
        <v>1.7200000286102295</v>
      </c>
      <c r="V214" s="19">
        <v>0.81132076821237231</v>
      </c>
      <c r="W214">
        <f t="shared" si="42"/>
        <v>0.10000000149011612</v>
      </c>
      <c r="X214" s="19">
        <f t="shared" si="43"/>
        <v>4.7169812023639679E-2</v>
      </c>
      <c r="Y214">
        <f t="shared" si="44"/>
        <v>2.0200000405311584</v>
      </c>
      <c r="Z214" s="19">
        <f t="shared" si="45"/>
        <v>0.95283020779771621</v>
      </c>
      <c r="AA214" s="19">
        <f t="shared" si="46"/>
        <v>0.90801888496948857</v>
      </c>
      <c r="AB214" t="str">
        <f t="shared" si="47"/>
        <v>Rusak Berat Dominan</v>
      </c>
      <c r="AC214" s="19">
        <f>IF(Dashboard!$B$7="Mantap (%)",X214,IF(Dashboard!$B$7="Tidak Mantap (%)",Z214,IF(Dashboard!$B$7="Baik (%)",P214,IF(Dashboard!$B$7="Sedang (%)",R214,IF(Dashboard!$B$7="Rusak Ringan (%)",T214,IF(Dashboard!$B$7="Rusak Berat (%)",V214,AA214))))))</f>
        <v>0.95283020779771621</v>
      </c>
      <c r="AD214" s="20">
        <f>IF(AND(AF214=1,E214&gt;=Dashboard!$B$10,IF(Dashboard!$B$9="≤ Maksimum",AC214&lt;=Dashboard!$B$8,AC214&gt;=Dashboard!$B$8)),1,0)</f>
        <v>1</v>
      </c>
      <c r="AE214" s="20">
        <f>IF(AD214=1,COUNTIFS($AD$2:$AD$351,1,$AC$2:$AC$351,"&gt;"&amp;AC214)+COUNTIFS($AD$2:AD214,1,$AC$2:AC214,AC214),"")</f>
        <v>50</v>
      </c>
      <c r="AF214" s="20">
        <f>IF(OR(Dashboard!$B$6="Semua",ISNUMBER(SEARCH(Dashboard!$B$6,D214))),1,0)</f>
        <v>1</v>
      </c>
      <c r="AG214" s="18">
        <f t="shared" si="48"/>
        <v>2.12</v>
      </c>
      <c r="AH214" s="18">
        <f t="shared" si="49"/>
        <v>0.10000000149011612</v>
      </c>
      <c r="AI214" s="18">
        <f t="shared" si="50"/>
        <v>2.0200000405311584</v>
      </c>
      <c r="AJ214" s="18">
        <f t="shared" si="51"/>
        <v>1.7200000286102295</v>
      </c>
      <c r="AK214" s="20">
        <f>IF(OR(Ruas_Per_Kecamatan!$B$4="Semua",ISNUMBER(SEARCH(Ruas_Per_Kecamatan!$B$4,D214))),1,0)</f>
        <v>1</v>
      </c>
      <c r="AL214" s="20">
        <f>IF(AK214=1,COUNTIF($AK$2:AK214,1),"")</f>
        <v>213</v>
      </c>
      <c r="AM214" s="18">
        <f t="shared" si="52"/>
        <v>2.12</v>
      </c>
      <c r="AN214" s="18">
        <f t="shared" si="53"/>
        <v>0.10000000149011612</v>
      </c>
      <c r="AO214" s="18">
        <f t="shared" si="54"/>
        <v>2.0200000405311584</v>
      </c>
      <c r="AP214" s="18">
        <f t="shared" si="55"/>
        <v>1.7200000286102295</v>
      </c>
    </row>
    <row r="215" spans="1:42" x14ac:dyDescent="0.25">
      <c r="A215" s="17">
        <v>214</v>
      </c>
      <c r="B215" s="17" t="s">
        <v>664</v>
      </c>
      <c r="C215" s="21" t="s">
        <v>261</v>
      </c>
      <c r="D215" s="17" t="s">
        <v>249</v>
      </c>
      <c r="E215" s="18">
        <v>4.3600000000000003</v>
      </c>
      <c r="F215" s="18">
        <v>3.5</v>
      </c>
      <c r="G215" s="18">
        <v>0</v>
      </c>
      <c r="H215" s="18"/>
      <c r="I215" s="18">
        <v>2025</v>
      </c>
      <c r="J215" s="18">
        <v>4.3600001335144043</v>
      </c>
      <c r="K215" s="18">
        <v>0</v>
      </c>
      <c r="L215" s="18">
        <v>0</v>
      </c>
      <c r="M215" s="18">
        <v>0</v>
      </c>
      <c r="N215" s="18">
        <v>0</v>
      </c>
      <c r="O215" s="18">
        <v>2</v>
      </c>
      <c r="P215" s="19">
        <v>0.4587155963302752</v>
      </c>
      <c r="Q215" s="18">
        <v>2.1600000858306885</v>
      </c>
      <c r="R215" s="19">
        <v>0.49541286372263493</v>
      </c>
      <c r="S215" s="18">
        <v>0.20000000298023224</v>
      </c>
      <c r="T215" s="19">
        <v>4.5871560316567021E-2</v>
      </c>
      <c r="U215" s="18">
        <v>0</v>
      </c>
      <c r="V215" s="19">
        <v>0</v>
      </c>
      <c r="W215">
        <f t="shared" si="42"/>
        <v>4.1600000858306885</v>
      </c>
      <c r="X215" s="19">
        <f t="shared" si="43"/>
        <v>0.95412846005291008</v>
      </c>
      <c r="Y215">
        <f t="shared" si="44"/>
        <v>0.20000000298023224</v>
      </c>
      <c r="Z215" s="19">
        <f t="shared" si="45"/>
        <v>4.5871560316567021E-2</v>
      </c>
      <c r="AA215" s="19">
        <f t="shared" si="46"/>
        <v>0.15137615212059893</v>
      </c>
      <c r="AB215" t="str">
        <f t="shared" si="47"/>
        <v>Relatif Mantap</v>
      </c>
      <c r="AC215" s="19">
        <f>IF(Dashboard!$B$7="Mantap (%)",X215,IF(Dashboard!$B$7="Tidak Mantap (%)",Z215,IF(Dashboard!$B$7="Baik (%)",P215,IF(Dashboard!$B$7="Sedang (%)",R215,IF(Dashboard!$B$7="Rusak Ringan (%)",T215,IF(Dashboard!$B$7="Rusak Berat (%)",V215,AA215))))))</f>
        <v>4.5871560316567021E-2</v>
      </c>
      <c r="AD215" s="20">
        <f>IF(AND(AF215=1,E215&gt;=Dashboard!$B$10,IF(Dashboard!$B$9="≤ Maksimum",AC215&lt;=Dashboard!$B$8,AC215&gt;=Dashboard!$B$8)),1,0)</f>
        <v>0</v>
      </c>
      <c r="AE215" s="20" t="str">
        <f>IF(AD215=1,COUNTIFS($AD$2:$AD$351,1,$AC$2:$AC$351,"&gt;"&amp;AC215)+COUNTIFS($AD$2:AD215,1,$AC$2:AC215,AC215),"")</f>
        <v/>
      </c>
      <c r="AF215" s="20">
        <f>IF(OR(Dashboard!$B$6="Semua",ISNUMBER(SEARCH(Dashboard!$B$6,D215))),1,0)</f>
        <v>1</v>
      </c>
      <c r="AG215" s="18">
        <f t="shared" si="48"/>
        <v>4.3600000000000003</v>
      </c>
      <c r="AH215" s="18">
        <f t="shared" si="49"/>
        <v>4.1600000858306885</v>
      </c>
      <c r="AI215" s="18">
        <f t="shared" si="50"/>
        <v>0.20000000298023224</v>
      </c>
      <c r="AJ215" s="18">
        <f t="shared" si="51"/>
        <v>0</v>
      </c>
      <c r="AK215" s="20">
        <f>IF(OR(Ruas_Per_Kecamatan!$B$4="Semua",ISNUMBER(SEARCH(Ruas_Per_Kecamatan!$B$4,D215))),1,0)</f>
        <v>1</v>
      </c>
      <c r="AL215" s="20">
        <f>IF(AK215=1,COUNTIF($AK$2:AK215,1),"")</f>
        <v>214</v>
      </c>
      <c r="AM215" s="18">
        <f t="shared" si="52"/>
        <v>4.3600000000000003</v>
      </c>
      <c r="AN215" s="18">
        <f t="shared" si="53"/>
        <v>4.1600000858306885</v>
      </c>
      <c r="AO215" s="18">
        <f t="shared" si="54"/>
        <v>0.20000000298023224</v>
      </c>
      <c r="AP215" s="18">
        <f t="shared" si="55"/>
        <v>0</v>
      </c>
    </row>
    <row r="216" spans="1:42" x14ac:dyDescent="0.25">
      <c r="A216" s="17">
        <v>215</v>
      </c>
      <c r="B216" s="17" t="s">
        <v>665</v>
      </c>
      <c r="C216" s="21" t="s">
        <v>262</v>
      </c>
      <c r="D216" s="17" t="s">
        <v>249</v>
      </c>
      <c r="E216" s="18">
        <v>0.9</v>
      </c>
      <c r="F216" s="18">
        <v>3.5</v>
      </c>
      <c r="G216" s="18">
        <v>0</v>
      </c>
      <c r="H216" s="18"/>
      <c r="I216" s="18">
        <v>2025</v>
      </c>
      <c r="J216" s="18">
        <v>0.89999997615814209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9">
        <v>0</v>
      </c>
      <c r="Q216" s="18">
        <v>0.40000000596046448</v>
      </c>
      <c r="R216" s="19">
        <v>0.44444445106718272</v>
      </c>
      <c r="S216" s="18">
        <v>0.5</v>
      </c>
      <c r="T216" s="19">
        <v>0.55555555555555558</v>
      </c>
      <c r="U216" s="18">
        <v>0</v>
      </c>
      <c r="V216" s="19">
        <v>0</v>
      </c>
      <c r="W216">
        <f t="shared" si="42"/>
        <v>0.40000000596046448</v>
      </c>
      <c r="X216" s="19">
        <f t="shared" si="43"/>
        <v>0.44444445106718272</v>
      </c>
      <c r="Y216">
        <f t="shared" si="44"/>
        <v>0.5</v>
      </c>
      <c r="Z216" s="19">
        <f t="shared" si="45"/>
        <v>0.55555555555555558</v>
      </c>
      <c r="AA216" s="19">
        <f t="shared" si="46"/>
        <v>0.44444444610012901</v>
      </c>
      <c r="AB216" t="str">
        <f t="shared" si="47"/>
        <v>Tidak Mantap Tinggi</v>
      </c>
      <c r="AC216" s="19">
        <f>IF(Dashboard!$B$7="Mantap (%)",X216,IF(Dashboard!$B$7="Tidak Mantap (%)",Z216,IF(Dashboard!$B$7="Baik (%)",P216,IF(Dashboard!$B$7="Sedang (%)",R216,IF(Dashboard!$B$7="Rusak Ringan (%)",T216,IF(Dashboard!$B$7="Rusak Berat (%)",V216,AA216))))))</f>
        <v>0.55555555555555558</v>
      </c>
      <c r="AD216" s="20">
        <f>IF(AND(AF216=1,E216&gt;=Dashboard!$B$10,IF(Dashboard!$B$9="≤ Maksimum",AC216&lt;=Dashboard!$B$8,AC216&gt;=Dashboard!$B$8)),1,0)</f>
        <v>1</v>
      </c>
      <c r="AE216" s="20">
        <f>IF(AD216=1,COUNTIFS($AD$2:$AD$351,1,$AC$2:$AC$351,"&gt;"&amp;AC216)+COUNTIFS($AD$2:AD216,1,$AC$2:AC216,AC216),"")</f>
        <v>114</v>
      </c>
      <c r="AF216" s="20">
        <f>IF(OR(Dashboard!$B$6="Semua",ISNUMBER(SEARCH(Dashboard!$B$6,D216))),1,0)</f>
        <v>1</v>
      </c>
      <c r="AG216" s="18">
        <f t="shared" si="48"/>
        <v>0.9</v>
      </c>
      <c r="AH216" s="18">
        <f t="shared" si="49"/>
        <v>0.40000000596046448</v>
      </c>
      <c r="AI216" s="18">
        <f t="shared" si="50"/>
        <v>0.5</v>
      </c>
      <c r="AJ216" s="18">
        <f t="shared" si="51"/>
        <v>0</v>
      </c>
      <c r="AK216" s="20">
        <f>IF(OR(Ruas_Per_Kecamatan!$B$4="Semua",ISNUMBER(SEARCH(Ruas_Per_Kecamatan!$B$4,D216))),1,0)</f>
        <v>1</v>
      </c>
      <c r="AL216" s="20">
        <f>IF(AK216=1,COUNTIF($AK$2:AK216,1),"")</f>
        <v>215</v>
      </c>
      <c r="AM216" s="18">
        <f t="shared" si="52"/>
        <v>0.9</v>
      </c>
      <c r="AN216" s="18">
        <f t="shared" si="53"/>
        <v>0.40000000596046448</v>
      </c>
      <c r="AO216" s="18">
        <f t="shared" si="54"/>
        <v>0.5</v>
      </c>
      <c r="AP216" s="18">
        <f t="shared" si="55"/>
        <v>0</v>
      </c>
    </row>
    <row r="217" spans="1:42" x14ac:dyDescent="0.25">
      <c r="A217" s="17">
        <v>216</v>
      </c>
      <c r="B217" s="17" t="s">
        <v>666</v>
      </c>
      <c r="C217" s="21" t="s">
        <v>263</v>
      </c>
      <c r="D217" s="17" t="s">
        <v>249</v>
      </c>
      <c r="E217" s="18">
        <v>1.32</v>
      </c>
      <c r="F217" s="18">
        <v>3.5</v>
      </c>
      <c r="G217" s="18">
        <v>0</v>
      </c>
      <c r="H217" s="18"/>
      <c r="I217" s="18">
        <v>2025</v>
      </c>
      <c r="J217" s="18">
        <v>1.3200000524520874</v>
      </c>
      <c r="K217" s="18">
        <v>0</v>
      </c>
      <c r="L217" s="18">
        <v>0</v>
      </c>
      <c r="M217" s="18">
        <v>0</v>
      </c>
      <c r="N217" s="18">
        <v>0</v>
      </c>
      <c r="O217" s="18">
        <v>1.3200000524520874</v>
      </c>
      <c r="P217" s="19">
        <v>1.0000000397364297</v>
      </c>
      <c r="Q217" s="18">
        <v>0</v>
      </c>
      <c r="R217" s="19">
        <v>0</v>
      </c>
      <c r="S217" s="18">
        <v>0</v>
      </c>
      <c r="T217" s="19">
        <v>0</v>
      </c>
      <c r="U217" s="18">
        <v>0</v>
      </c>
      <c r="V217" s="19">
        <v>0</v>
      </c>
      <c r="W217">
        <f t="shared" si="42"/>
        <v>1.3200000524520874</v>
      </c>
      <c r="X217" s="19">
        <f t="shared" si="43"/>
        <v>1.0000000397364297</v>
      </c>
      <c r="Y217">
        <f t="shared" si="44"/>
        <v>0</v>
      </c>
      <c r="Z217" s="19">
        <f t="shared" si="45"/>
        <v>0</v>
      </c>
      <c r="AA217" s="19">
        <f t="shared" si="46"/>
        <v>0</v>
      </c>
      <c r="AB217" t="str">
        <f t="shared" si="47"/>
        <v>Relatif Mantap</v>
      </c>
      <c r="AC217" s="19">
        <f>IF(Dashboard!$B$7="Mantap (%)",X217,IF(Dashboard!$B$7="Tidak Mantap (%)",Z217,IF(Dashboard!$B$7="Baik (%)",P217,IF(Dashboard!$B$7="Sedang (%)",R217,IF(Dashboard!$B$7="Rusak Ringan (%)",T217,IF(Dashboard!$B$7="Rusak Berat (%)",V217,AA217))))))</f>
        <v>0</v>
      </c>
      <c r="AD217" s="20">
        <f>IF(AND(AF217=1,E217&gt;=Dashboard!$B$10,IF(Dashboard!$B$9="≤ Maksimum",AC217&lt;=Dashboard!$B$8,AC217&gt;=Dashboard!$B$8)),1,0)</f>
        <v>0</v>
      </c>
      <c r="AE217" s="20" t="str">
        <f>IF(AD217=1,COUNTIFS($AD$2:$AD$351,1,$AC$2:$AC$351,"&gt;"&amp;AC217)+COUNTIFS($AD$2:AD217,1,$AC$2:AC217,AC217),"")</f>
        <v/>
      </c>
      <c r="AF217" s="20">
        <f>IF(OR(Dashboard!$B$6="Semua",ISNUMBER(SEARCH(Dashboard!$B$6,D217))),1,0)</f>
        <v>1</v>
      </c>
      <c r="AG217" s="18">
        <f t="shared" si="48"/>
        <v>1.32</v>
      </c>
      <c r="AH217" s="18">
        <f t="shared" si="49"/>
        <v>1.3200000524520874</v>
      </c>
      <c r="AI217" s="18">
        <f t="shared" si="50"/>
        <v>0</v>
      </c>
      <c r="AJ217" s="18">
        <f t="shared" si="51"/>
        <v>0</v>
      </c>
      <c r="AK217" s="20">
        <f>IF(OR(Ruas_Per_Kecamatan!$B$4="Semua",ISNUMBER(SEARCH(Ruas_Per_Kecamatan!$B$4,D217))),1,0)</f>
        <v>1</v>
      </c>
      <c r="AL217" s="20">
        <f>IF(AK217=1,COUNTIF($AK$2:AK217,1),"")</f>
        <v>216</v>
      </c>
      <c r="AM217" s="18">
        <f t="shared" si="52"/>
        <v>1.32</v>
      </c>
      <c r="AN217" s="18">
        <f t="shared" si="53"/>
        <v>1.3200000524520874</v>
      </c>
      <c r="AO217" s="18">
        <f t="shared" si="54"/>
        <v>0</v>
      </c>
      <c r="AP217" s="18">
        <f t="shared" si="55"/>
        <v>0</v>
      </c>
    </row>
    <row r="218" spans="1:42" x14ac:dyDescent="0.25">
      <c r="A218" s="17">
        <v>217</v>
      </c>
      <c r="B218" s="17" t="s">
        <v>667</v>
      </c>
      <c r="C218" s="21" t="s">
        <v>264</v>
      </c>
      <c r="D218" s="17" t="s">
        <v>249</v>
      </c>
      <c r="E218" s="18">
        <v>0.39</v>
      </c>
      <c r="F218" s="18">
        <v>3</v>
      </c>
      <c r="G218" s="18">
        <v>0</v>
      </c>
      <c r="H218" s="18"/>
      <c r="I218" s="18">
        <v>2025</v>
      </c>
      <c r="J218" s="18">
        <v>0.38999998569488525</v>
      </c>
      <c r="K218" s="18">
        <v>0</v>
      </c>
      <c r="L218" s="18">
        <v>0</v>
      </c>
      <c r="M218" s="18">
        <v>0</v>
      </c>
      <c r="N218" s="18">
        <v>0</v>
      </c>
      <c r="O218" s="18">
        <v>0.28999999165534973</v>
      </c>
      <c r="P218" s="19">
        <v>0.74358972219320441</v>
      </c>
      <c r="Q218" s="18">
        <v>0.10000000149011612</v>
      </c>
      <c r="R218" s="19">
        <v>0.25641026023106694</v>
      </c>
      <c r="S218" s="18">
        <v>0</v>
      </c>
      <c r="T218" s="19">
        <v>0</v>
      </c>
      <c r="U218" s="18">
        <v>0</v>
      </c>
      <c r="V218" s="19">
        <v>0</v>
      </c>
      <c r="W218">
        <f t="shared" si="42"/>
        <v>0.38999999314546585</v>
      </c>
      <c r="X218" s="19">
        <f t="shared" si="43"/>
        <v>0.99999998242427135</v>
      </c>
      <c r="Y218">
        <f t="shared" si="44"/>
        <v>0</v>
      </c>
      <c r="Z218" s="19">
        <f t="shared" si="45"/>
        <v>0</v>
      </c>
      <c r="AA218" s="19">
        <f t="shared" si="46"/>
        <v>6.4102565057766736E-2</v>
      </c>
      <c r="AB218" t="str">
        <f t="shared" si="47"/>
        <v>Relatif Mantap</v>
      </c>
      <c r="AC218" s="19">
        <f>IF(Dashboard!$B$7="Mantap (%)",X218,IF(Dashboard!$B$7="Tidak Mantap (%)",Z218,IF(Dashboard!$B$7="Baik (%)",P218,IF(Dashboard!$B$7="Sedang (%)",R218,IF(Dashboard!$B$7="Rusak Ringan (%)",T218,IF(Dashboard!$B$7="Rusak Berat (%)",V218,AA218))))))</f>
        <v>0</v>
      </c>
      <c r="AD218" s="20">
        <f>IF(AND(AF218=1,E218&gt;=Dashboard!$B$10,IF(Dashboard!$B$9="≤ Maksimum",AC218&lt;=Dashboard!$B$8,AC218&gt;=Dashboard!$B$8)),1,0)</f>
        <v>0</v>
      </c>
      <c r="AE218" s="20" t="str">
        <f>IF(AD218=1,COUNTIFS($AD$2:$AD$351,1,$AC$2:$AC$351,"&gt;"&amp;AC218)+COUNTIFS($AD$2:AD218,1,$AC$2:AC218,AC218),"")</f>
        <v/>
      </c>
      <c r="AF218" s="20">
        <f>IF(OR(Dashboard!$B$6="Semua",ISNUMBER(SEARCH(Dashboard!$B$6,D218))),1,0)</f>
        <v>1</v>
      </c>
      <c r="AG218" s="18">
        <f t="shared" si="48"/>
        <v>0.39</v>
      </c>
      <c r="AH218" s="18">
        <f t="shared" si="49"/>
        <v>0.38999999314546585</v>
      </c>
      <c r="AI218" s="18">
        <f t="shared" si="50"/>
        <v>0</v>
      </c>
      <c r="AJ218" s="18">
        <f t="shared" si="51"/>
        <v>0</v>
      </c>
      <c r="AK218" s="20">
        <f>IF(OR(Ruas_Per_Kecamatan!$B$4="Semua",ISNUMBER(SEARCH(Ruas_Per_Kecamatan!$B$4,D218))),1,0)</f>
        <v>1</v>
      </c>
      <c r="AL218" s="20">
        <f>IF(AK218=1,COUNTIF($AK$2:AK218,1),"")</f>
        <v>217</v>
      </c>
      <c r="AM218" s="18">
        <f t="shared" si="52"/>
        <v>0.39</v>
      </c>
      <c r="AN218" s="18">
        <f t="shared" si="53"/>
        <v>0.38999999314546585</v>
      </c>
      <c r="AO218" s="18">
        <f t="shared" si="54"/>
        <v>0</v>
      </c>
      <c r="AP218" s="18">
        <f t="shared" si="55"/>
        <v>0</v>
      </c>
    </row>
    <row r="219" spans="1:42" x14ac:dyDescent="0.25">
      <c r="A219" s="17">
        <v>218</v>
      </c>
      <c r="B219" s="17" t="s">
        <v>668</v>
      </c>
      <c r="C219" s="21" t="s">
        <v>265</v>
      </c>
      <c r="D219" s="17" t="s">
        <v>249</v>
      </c>
      <c r="E219" s="18">
        <v>0.54</v>
      </c>
      <c r="F219" s="18">
        <v>3.5</v>
      </c>
      <c r="G219" s="18">
        <v>0</v>
      </c>
      <c r="H219" s="18"/>
      <c r="I219" s="18">
        <v>2025</v>
      </c>
      <c r="J219" s="18">
        <v>0.54000002145767212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9">
        <v>0</v>
      </c>
      <c r="Q219" s="18">
        <v>0.54000002145767212</v>
      </c>
      <c r="R219" s="19">
        <v>1.0000000397364297</v>
      </c>
      <c r="S219" s="18">
        <v>0</v>
      </c>
      <c r="T219" s="19">
        <v>0</v>
      </c>
      <c r="U219" s="18">
        <v>0</v>
      </c>
      <c r="V219" s="19">
        <v>0</v>
      </c>
      <c r="W219">
        <f t="shared" si="42"/>
        <v>0.54000002145767212</v>
      </c>
      <c r="X219" s="19">
        <f t="shared" si="43"/>
        <v>1.0000000397364297</v>
      </c>
      <c r="Y219">
        <f t="shared" si="44"/>
        <v>0</v>
      </c>
      <c r="Z219" s="19">
        <f t="shared" si="45"/>
        <v>0</v>
      </c>
      <c r="AA219" s="19">
        <f t="shared" si="46"/>
        <v>0.25000000993410743</v>
      </c>
      <c r="AB219" t="str">
        <f t="shared" si="47"/>
        <v>Relatif Mantap</v>
      </c>
      <c r="AC219" s="19">
        <f>IF(Dashboard!$B$7="Mantap (%)",X219,IF(Dashboard!$B$7="Tidak Mantap (%)",Z219,IF(Dashboard!$B$7="Baik (%)",P219,IF(Dashboard!$B$7="Sedang (%)",R219,IF(Dashboard!$B$7="Rusak Ringan (%)",T219,IF(Dashboard!$B$7="Rusak Berat (%)",V219,AA219))))))</f>
        <v>0</v>
      </c>
      <c r="AD219" s="20">
        <f>IF(AND(AF219=1,E219&gt;=Dashboard!$B$10,IF(Dashboard!$B$9="≤ Maksimum",AC219&lt;=Dashboard!$B$8,AC219&gt;=Dashboard!$B$8)),1,0)</f>
        <v>0</v>
      </c>
      <c r="AE219" s="20" t="str">
        <f>IF(AD219=1,COUNTIFS($AD$2:$AD$351,1,$AC$2:$AC$351,"&gt;"&amp;AC219)+COUNTIFS($AD$2:AD219,1,$AC$2:AC219,AC219),"")</f>
        <v/>
      </c>
      <c r="AF219" s="20">
        <f>IF(OR(Dashboard!$B$6="Semua",ISNUMBER(SEARCH(Dashboard!$B$6,D219))),1,0)</f>
        <v>1</v>
      </c>
      <c r="AG219" s="18">
        <f t="shared" si="48"/>
        <v>0.54</v>
      </c>
      <c r="AH219" s="18">
        <f t="shared" si="49"/>
        <v>0.54000002145767212</v>
      </c>
      <c r="AI219" s="18">
        <f t="shared" si="50"/>
        <v>0</v>
      </c>
      <c r="AJ219" s="18">
        <f t="shared" si="51"/>
        <v>0</v>
      </c>
      <c r="AK219" s="20">
        <f>IF(OR(Ruas_Per_Kecamatan!$B$4="Semua",ISNUMBER(SEARCH(Ruas_Per_Kecamatan!$B$4,D219))),1,0)</f>
        <v>1</v>
      </c>
      <c r="AL219" s="20">
        <f>IF(AK219=1,COUNTIF($AK$2:AK219,1),"")</f>
        <v>218</v>
      </c>
      <c r="AM219" s="18">
        <f t="shared" si="52"/>
        <v>0.54</v>
      </c>
      <c r="AN219" s="18">
        <f t="shared" si="53"/>
        <v>0.54000002145767212</v>
      </c>
      <c r="AO219" s="18">
        <f t="shared" si="54"/>
        <v>0</v>
      </c>
      <c r="AP219" s="18">
        <f t="shared" si="55"/>
        <v>0</v>
      </c>
    </row>
    <row r="220" spans="1:42" x14ac:dyDescent="0.25">
      <c r="A220" s="17">
        <v>219</v>
      </c>
      <c r="B220" s="17" t="s">
        <v>669</v>
      </c>
      <c r="C220" s="21" t="s">
        <v>266</v>
      </c>
      <c r="D220" s="17" t="s">
        <v>249</v>
      </c>
      <c r="E220" s="18">
        <v>2.33</v>
      </c>
      <c r="F220" s="18">
        <v>3.5</v>
      </c>
      <c r="G220" s="18">
        <v>0</v>
      </c>
      <c r="H220" s="18"/>
      <c r="I220" s="18">
        <v>2025</v>
      </c>
      <c r="J220" s="18">
        <v>2.3299999237060547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9">
        <v>0</v>
      </c>
      <c r="Q220" s="18">
        <v>2.3299999237060547</v>
      </c>
      <c r="R220" s="19">
        <v>0.99999996725581741</v>
      </c>
      <c r="S220" s="18">
        <v>0</v>
      </c>
      <c r="T220" s="19">
        <v>0</v>
      </c>
      <c r="U220" s="18">
        <v>0</v>
      </c>
      <c r="V220" s="19">
        <v>0</v>
      </c>
      <c r="W220">
        <f t="shared" si="42"/>
        <v>2.3299999237060547</v>
      </c>
      <c r="X220" s="19">
        <f t="shared" si="43"/>
        <v>0.99999996725581741</v>
      </c>
      <c r="Y220">
        <f t="shared" si="44"/>
        <v>0</v>
      </c>
      <c r="Z220" s="19">
        <f t="shared" si="45"/>
        <v>0</v>
      </c>
      <c r="AA220" s="19">
        <f t="shared" si="46"/>
        <v>0.24999999181395435</v>
      </c>
      <c r="AB220" t="str">
        <f t="shared" si="47"/>
        <v>Relatif Mantap</v>
      </c>
      <c r="AC220" s="19">
        <f>IF(Dashboard!$B$7="Mantap (%)",X220,IF(Dashboard!$B$7="Tidak Mantap (%)",Z220,IF(Dashboard!$B$7="Baik (%)",P220,IF(Dashboard!$B$7="Sedang (%)",R220,IF(Dashboard!$B$7="Rusak Ringan (%)",T220,IF(Dashboard!$B$7="Rusak Berat (%)",V220,AA220))))))</f>
        <v>0</v>
      </c>
      <c r="AD220" s="20">
        <f>IF(AND(AF220=1,E220&gt;=Dashboard!$B$10,IF(Dashboard!$B$9="≤ Maksimum",AC220&lt;=Dashboard!$B$8,AC220&gt;=Dashboard!$B$8)),1,0)</f>
        <v>0</v>
      </c>
      <c r="AE220" s="20" t="str">
        <f>IF(AD220=1,COUNTIFS($AD$2:$AD$351,1,$AC$2:$AC$351,"&gt;"&amp;AC220)+COUNTIFS($AD$2:AD220,1,$AC$2:AC220,AC220),"")</f>
        <v/>
      </c>
      <c r="AF220" s="20">
        <f>IF(OR(Dashboard!$B$6="Semua",ISNUMBER(SEARCH(Dashboard!$B$6,D220))),1,0)</f>
        <v>1</v>
      </c>
      <c r="AG220" s="18">
        <f t="shared" si="48"/>
        <v>2.33</v>
      </c>
      <c r="AH220" s="18">
        <f t="shared" si="49"/>
        <v>2.3299999237060547</v>
      </c>
      <c r="AI220" s="18">
        <f t="shared" si="50"/>
        <v>0</v>
      </c>
      <c r="AJ220" s="18">
        <f t="shared" si="51"/>
        <v>0</v>
      </c>
      <c r="AK220" s="20">
        <f>IF(OR(Ruas_Per_Kecamatan!$B$4="Semua",ISNUMBER(SEARCH(Ruas_Per_Kecamatan!$B$4,D220))),1,0)</f>
        <v>1</v>
      </c>
      <c r="AL220" s="20">
        <f>IF(AK220=1,COUNTIF($AK$2:AK220,1),"")</f>
        <v>219</v>
      </c>
      <c r="AM220" s="18">
        <f t="shared" si="52"/>
        <v>2.33</v>
      </c>
      <c r="AN220" s="18">
        <f t="shared" si="53"/>
        <v>2.3299999237060547</v>
      </c>
      <c r="AO220" s="18">
        <f t="shared" si="54"/>
        <v>0</v>
      </c>
      <c r="AP220" s="18">
        <f t="shared" si="55"/>
        <v>0</v>
      </c>
    </row>
    <row r="221" spans="1:42" x14ac:dyDescent="0.25">
      <c r="A221" s="17">
        <v>220</v>
      </c>
      <c r="B221" s="17" t="s">
        <v>670</v>
      </c>
      <c r="C221" s="21" t="s">
        <v>267</v>
      </c>
      <c r="D221" s="17" t="s">
        <v>249</v>
      </c>
      <c r="E221" s="18">
        <v>1.1599999999999999</v>
      </c>
      <c r="F221" s="18">
        <v>3</v>
      </c>
      <c r="G221" s="18">
        <v>0</v>
      </c>
      <c r="H221" s="18"/>
      <c r="I221" s="18">
        <v>2025</v>
      </c>
      <c r="J221" s="18">
        <v>1</v>
      </c>
      <c r="K221" s="18">
        <v>0</v>
      </c>
      <c r="L221" s="18">
        <v>0</v>
      </c>
      <c r="M221" s="18">
        <v>0</v>
      </c>
      <c r="N221" s="18">
        <v>0.15999999642372131</v>
      </c>
      <c r="O221" s="18">
        <v>0</v>
      </c>
      <c r="P221" s="19">
        <v>0</v>
      </c>
      <c r="Q221" s="18">
        <v>0.80000001192092896</v>
      </c>
      <c r="R221" s="19">
        <v>0.689655182690456</v>
      </c>
      <c r="S221" s="18">
        <v>0.20000000298023224</v>
      </c>
      <c r="T221" s="19">
        <v>0.172413795672614</v>
      </c>
      <c r="U221" s="18">
        <v>0.15999999642372131</v>
      </c>
      <c r="V221" s="19">
        <v>0.13793103139975976</v>
      </c>
      <c r="W221">
        <f t="shared" si="42"/>
        <v>0.80000001192092896</v>
      </c>
      <c r="X221" s="19">
        <f t="shared" si="43"/>
        <v>0.689655182690456</v>
      </c>
      <c r="Y221">
        <f t="shared" si="44"/>
        <v>0.35999999940395355</v>
      </c>
      <c r="Z221" s="19">
        <f t="shared" si="45"/>
        <v>0.31034482707237376</v>
      </c>
      <c r="AA221" s="19">
        <f t="shared" si="46"/>
        <v>0.41379310447594214</v>
      </c>
      <c r="AB221" t="str">
        <f t="shared" si="47"/>
        <v>Tidak Mantap Sedang</v>
      </c>
      <c r="AC221" s="19">
        <f>IF(Dashboard!$B$7="Mantap (%)",X221,IF(Dashboard!$B$7="Tidak Mantap (%)",Z221,IF(Dashboard!$B$7="Baik (%)",P221,IF(Dashboard!$B$7="Sedang (%)",R221,IF(Dashboard!$B$7="Rusak Ringan (%)",T221,IF(Dashboard!$B$7="Rusak Berat (%)",V221,AA221))))))</f>
        <v>0.31034482707237376</v>
      </c>
      <c r="AD221" s="20">
        <f>IF(AND(AF221=1,E221&gt;=Dashboard!$B$10,IF(Dashboard!$B$9="≤ Maksimum",AC221&lt;=Dashboard!$B$8,AC221&gt;=Dashboard!$B$8)),1,0)</f>
        <v>1</v>
      </c>
      <c r="AE221" s="20">
        <f>IF(AD221=1,COUNTIFS($AD$2:$AD$351,1,$AC$2:$AC$351,"&gt;"&amp;AC221)+COUNTIFS($AD$2:AD221,1,$AC$2:AC221,AC221),"")</f>
        <v>166</v>
      </c>
      <c r="AF221" s="20">
        <f>IF(OR(Dashboard!$B$6="Semua",ISNUMBER(SEARCH(Dashboard!$B$6,D221))),1,0)</f>
        <v>1</v>
      </c>
      <c r="AG221" s="18">
        <f t="shared" si="48"/>
        <v>1.1599999999999999</v>
      </c>
      <c r="AH221" s="18">
        <f t="shared" si="49"/>
        <v>0.80000001192092896</v>
      </c>
      <c r="AI221" s="18">
        <f t="shared" si="50"/>
        <v>0.35999999940395355</v>
      </c>
      <c r="AJ221" s="18">
        <f t="shared" si="51"/>
        <v>0.15999999642372131</v>
      </c>
      <c r="AK221" s="20">
        <f>IF(OR(Ruas_Per_Kecamatan!$B$4="Semua",ISNUMBER(SEARCH(Ruas_Per_Kecamatan!$B$4,D221))),1,0)</f>
        <v>1</v>
      </c>
      <c r="AL221" s="20">
        <f>IF(AK221=1,COUNTIF($AK$2:AK221,1),"")</f>
        <v>220</v>
      </c>
      <c r="AM221" s="18">
        <f t="shared" si="52"/>
        <v>1.1599999999999999</v>
      </c>
      <c r="AN221" s="18">
        <f t="shared" si="53"/>
        <v>0.80000001192092896</v>
      </c>
      <c r="AO221" s="18">
        <f t="shared" si="54"/>
        <v>0.35999999940395355</v>
      </c>
      <c r="AP221" s="18">
        <f t="shared" si="55"/>
        <v>0.15999999642372131</v>
      </c>
    </row>
    <row r="222" spans="1:42" x14ac:dyDescent="0.25">
      <c r="A222" s="17">
        <v>221</v>
      </c>
      <c r="B222" s="17" t="s">
        <v>671</v>
      </c>
      <c r="C222" s="21" t="s">
        <v>268</v>
      </c>
      <c r="D222" s="17" t="s">
        <v>249</v>
      </c>
      <c r="E222" s="18">
        <v>0.34</v>
      </c>
      <c r="F222" s="18">
        <v>3</v>
      </c>
      <c r="G222" s="18">
        <v>0</v>
      </c>
      <c r="H222" s="18"/>
      <c r="I222" s="18">
        <v>2025</v>
      </c>
      <c r="J222" s="18">
        <v>0.34000000357627869</v>
      </c>
      <c r="K222" s="18">
        <v>0</v>
      </c>
      <c r="L222" s="18">
        <v>0</v>
      </c>
      <c r="M222" s="18">
        <v>0</v>
      </c>
      <c r="N222" s="18">
        <v>0</v>
      </c>
      <c r="O222" s="18">
        <v>0.14000000059604645</v>
      </c>
      <c r="P222" s="19">
        <v>0.41176470763543072</v>
      </c>
      <c r="Q222" s="18">
        <v>0.20000000298023224</v>
      </c>
      <c r="R222" s="19">
        <v>0.58823530288303594</v>
      </c>
      <c r="S222" s="18">
        <v>0</v>
      </c>
      <c r="T222" s="19">
        <v>0</v>
      </c>
      <c r="U222" s="18">
        <v>0</v>
      </c>
      <c r="V222" s="19">
        <v>0</v>
      </c>
      <c r="W222">
        <f t="shared" si="42"/>
        <v>0.34000000357627869</v>
      </c>
      <c r="X222" s="19">
        <f t="shared" si="43"/>
        <v>1.0000000105184665</v>
      </c>
      <c r="Y222">
        <f t="shared" si="44"/>
        <v>0</v>
      </c>
      <c r="Z222" s="19">
        <f t="shared" si="45"/>
        <v>0</v>
      </c>
      <c r="AA222" s="19">
        <f t="shared" si="46"/>
        <v>0.14705882572075898</v>
      </c>
      <c r="AB222" t="str">
        <f t="shared" si="47"/>
        <v>Relatif Mantap</v>
      </c>
      <c r="AC222" s="19">
        <f>IF(Dashboard!$B$7="Mantap (%)",X222,IF(Dashboard!$B$7="Tidak Mantap (%)",Z222,IF(Dashboard!$B$7="Baik (%)",P222,IF(Dashboard!$B$7="Sedang (%)",R222,IF(Dashboard!$B$7="Rusak Ringan (%)",T222,IF(Dashboard!$B$7="Rusak Berat (%)",V222,AA222))))))</f>
        <v>0</v>
      </c>
      <c r="AD222" s="20">
        <f>IF(AND(AF222=1,E222&gt;=Dashboard!$B$10,IF(Dashboard!$B$9="≤ Maksimum",AC222&lt;=Dashboard!$B$8,AC222&gt;=Dashboard!$B$8)),1,0)</f>
        <v>0</v>
      </c>
      <c r="AE222" s="20" t="str">
        <f>IF(AD222=1,COUNTIFS($AD$2:$AD$351,1,$AC$2:$AC$351,"&gt;"&amp;AC222)+COUNTIFS($AD$2:AD222,1,$AC$2:AC222,AC222),"")</f>
        <v/>
      </c>
      <c r="AF222" s="20">
        <f>IF(OR(Dashboard!$B$6="Semua",ISNUMBER(SEARCH(Dashboard!$B$6,D222))),1,0)</f>
        <v>1</v>
      </c>
      <c r="AG222" s="18">
        <f t="shared" si="48"/>
        <v>0.34</v>
      </c>
      <c r="AH222" s="18">
        <f t="shared" si="49"/>
        <v>0.34000000357627869</v>
      </c>
      <c r="AI222" s="18">
        <f t="shared" si="50"/>
        <v>0</v>
      </c>
      <c r="AJ222" s="18">
        <f t="shared" si="51"/>
        <v>0</v>
      </c>
      <c r="AK222" s="20">
        <f>IF(OR(Ruas_Per_Kecamatan!$B$4="Semua",ISNUMBER(SEARCH(Ruas_Per_Kecamatan!$B$4,D222))),1,0)</f>
        <v>1</v>
      </c>
      <c r="AL222" s="20">
        <f>IF(AK222=1,COUNTIF($AK$2:AK222,1),"")</f>
        <v>221</v>
      </c>
      <c r="AM222" s="18">
        <f t="shared" si="52"/>
        <v>0.34</v>
      </c>
      <c r="AN222" s="18">
        <f t="shared" si="53"/>
        <v>0.34000000357627869</v>
      </c>
      <c r="AO222" s="18">
        <f t="shared" si="54"/>
        <v>0</v>
      </c>
      <c r="AP222" s="18">
        <f t="shared" si="55"/>
        <v>0</v>
      </c>
    </row>
    <row r="223" spans="1:42" x14ac:dyDescent="0.25">
      <c r="A223" s="17">
        <v>222</v>
      </c>
      <c r="B223" s="17" t="s">
        <v>672</v>
      </c>
      <c r="C223" s="21" t="s">
        <v>269</v>
      </c>
      <c r="D223" s="17" t="s">
        <v>249</v>
      </c>
      <c r="E223" s="18">
        <v>1.24</v>
      </c>
      <c r="F223" s="18">
        <v>3</v>
      </c>
      <c r="G223" s="18">
        <v>0</v>
      </c>
      <c r="H223" s="18"/>
      <c r="I223" s="18">
        <v>2025</v>
      </c>
      <c r="J223" s="18">
        <v>1.2400000095367432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9">
        <v>0</v>
      </c>
      <c r="Q223" s="18">
        <v>0.63999998569488525</v>
      </c>
      <c r="R223" s="19">
        <v>0.51612902072168165</v>
      </c>
      <c r="S223" s="18">
        <v>0</v>
      </c>
      <c r="T223" s="19">
        <v>0</v>
      </c>
      <c r="U223" s="18">
        <v>0.60000002384185791</v>
      </c>
      <c r="V223" s="19">
        <v>0.48387098696924025</v>
      </c>
      <c r="W223">
        <f t="shared" si="42"/>
        <v>0.63999998569488525</v>
      </c>
      <c r="X223" s="19">
        <f t="shared" si="43"/>
        <v>0.51612902072168165</v>
      </c>
      <c r="Y223">
        <f t="shared" si="44"/>
        <v>0.60000002384185791</v>
      </c>
      <c r="Z223" s="19">
        <f t="shared" si="45"/>
        <v>0.48387098696924025</v>
      </c>
      <c r="AA223" s="19">
        <f t="shared" si="46"/>
        <v>0.61290324214966063</v>
      </c>
      <c r="AB223" t="str">
        <f t="shared" si="47"/>
        <v>Rusak Berat Dominan</v>
      </c>
      <c r="AC223" s="19">
        <f>IF(Dashboard!$B$7="Mantap (%)",X223,IF(Dashboard!$B$7="Tidak Mantap (%)",Z223,IF(Dashboard!$B$7="Baik (%)",P223,IF(Dashboard!$B$7="Sedang (%)",R223,IF(Dashboard!$B$7="Rusak Ringan (%)",T223,IF(Dashboard!$B$7="Rusak Berat (%)",V223,AA223))))))</f>
        <v>0.48387098696924025</v>
      </c>
      <c r="AD223" s="20">
        <f>IF(AND(AF223=1,E223&gt;=Dashboard!$B$10,IF(Dashboard!$B$9="≤ Maksimum",AC223&lt;=Dashboard!$B$8,AC223&gt;=Dashboard!$B$8)),1,0)</f>
        <v>1</v>
      </c>
      <c r="AE223" s="20">
        <f>IF(AD223=1,COUNTIFS($AD$2:$AD$351,1,$AC$2:$AC$351,"&gt;"&amp;AC223)+COUNTIFS($AD$2:AD223,1,$AC$2:AC223,AC223),"")</f>
        <v>126</v>
      </c>
      <c r="AF223" s="20">
        <f>IF(OR(Dashboard!$B$6="Semua",ISNUMBER(SEARCH(Dashboard!$B$6,D223))),1,0)</f>
        <v>1</v>
      </c>
      <c r="AG223" s="18">
        <f t="shared" si="48"/>
        <v>1.24</v>
      </c>
      <c r="AH223" s="18">
        <f t="shared" si="49"/>
        <v>0.63999998569488525</v>
      </c>
      <c r="AI223" s="18">
        <f t="shared" si="50"/>
        <v>0.60000002384185791</v>
      </c>
      <c r="AJ223" s="18">
        <f t="shared" si="51"/>
        <v>0.60000002384185791</v>
      </c>
      <c r="AK223" s="20">
        <f>IF(OR(Ruas_Per_Kecamatan!$B$4="Semua",ISNUMBER(SEARCH(Ruas_Per_Kecamatan!$B$4,D223))),1,0)</f>
        <v>1</v>
      </c>
      <c r="AL223" s="20">
        <f>IF(AK223=1,COUNTIF($AK$2:AK223,1),"")</f>
        <v>222</v>
      </c>
      <c r="AM223" s="18">
        <f t="shared" si="52"/>
        <v>1.24</v>
      </c>
      <c r="AN223" s="18">
        <f t="shared" si="53"/>
        <v>0.63999998569488525</v>
      </c>
      <c r="AO223" s="18">
        <f t="shared" si="54"/>
        <v>0.60000002384185791</v>
      </c>
      <c r="AP223" s="18">
        <f t="shared" si="55"/>
        <v>0.60000002384185791</v>
      </c>
    </row>
    <row r="224" spans="1:42" ht="30" x14ac:dyDescent="0.25">
      <c r="A224" s="17">
        <v>223</v>
      </c>
      <c r="B224" s="17" t="s">
        <v>673</v>
      </c>
      <c r="C224" s="21" t="s">
        <v>270</v>
      </c>
      <c r="D224" s="17" t="s">
        <v>271</v>
      </c>
      <c r="E224" s="18">
        <v>1.86</v>
      </c>
      <c r="F224" s="18">
        <v>3.5</v>
      </c>
      <c r="G224" s="18">
        <v>0</v>
      </c>
      <c r="H224" s="18"/>
      <c r="I224" s="18">
        <v>2025</v>
      </c>
      <c r="J224" s="18">
        <v>1.8600000143051147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9">
        <v>0</v>
      </c>
      <c r="Q224" s="18">
        <v>1.8600000143051147</v>
      </c>
      <c r="R224" s="19">
        <v>1.0000000076909219</v>
      </c>
      <c r="S224" s="18">
        <v>0</v>
      </c>
      <c r="T224" s="19">
        <v>0</v>
      </c>
      <c r="U224" s="18">
        <v>0</v>
      </c>
      <c r="V224" s="19">
        <v>0</v>
      </c>
      <c r="W224">
        <f t="shared" si="42"/>
        <v>1.8600000143051147</v>
      </c>
      <c r="X224" s="19">
        <f t="shared" si="43"/>
        <v>1.0000000076909219</v>
      </c>
      <c r="Y224">
        <f t="shared" si="44"/>
        <v>0</v>
      </c>
      <c r="Z224" s="19">
        <f t="shared" si="45"/>
        <v>0</v>
      </c>
      <c r="AA224" s="19">
        <f t="shared" si="46"/>
        <v>0.25000000192273047</v>
      </c>
      <c r="AB224" t="str">
        <f t="shared" si="47"/>
        <v>Relatif Mantap</v>
      </c>
      <c r="AC224" s="19">
        <f>IF(Dashboard!$B$7="Mantap (%)",X224,IF(Dashboard!$B$7="Tidak Mantap (%)",Z224,IF(Dashboard!$B$7="Baik (%)",P224,IF(Dashboard!$B$7="Sedang (%)",R224,IF(Dashboard!$B$7="Rusak Ringan (%)",T224,IF(Dashboard!$B$7="Rusak Berat (%)",V224,AA224))))))</f>
        <v>0</v>
      </c>
      <c r="AD224" s="20">
        <f>IF(AND(AF224=1,E224&gt;=Dashboard!$B$10,IF(Dashboard!$B$9="≤ Maksimum",AC224&lt;=Dashboard!$B$8,AC224&gt;=Dashboard!$B$8)),1,0)</f>
        <v>0</v>
      </c>
      <c r="AE224" s="20" t="str">
        <f>IF(AD224=1,COUNTIFS($AD$2:$AD$351,1,$AC$2:$AC$351,"&gt;"&amp;AC224)+COUNTIFS($AD$2:AD224,1,$AC$2:AC224,AC224),"")</f>
        <v/>
      </c>
      <c r="AF224" s="20">
        <f>IF(OR(Dashboard!$B$6="Semua",ISNUMBER(SEARCH(Dashboard!$B$6,D224))),1,0)</f>
        <v>1</v>
      </c>
      <c r="AG224" s="18">
        <f t="shared" si="48"/>
        <v>1.86</v>
      </c>
      <c r="AH224" s="18">
        <f t="shared" si="49"/>
        <v>1.8600000143051147</v>
      </c>
      <c r="AI224" s="18">
        <f t="shared" si="50"/>
        <v>0</v>
      </c>
      <c r="AJ224" s="18">
        <f t="shared" si="51"/>
        <v>0</v>
      </c>
      <c r="AK224" s="20">
        <f>IF(OR(Ruas_Per_Kecamatan!$B$4="Semua",ISNUMBER(SEARCH(Ruas_Per_Kecamatan!$B$4,D224))),1,0)</f>
        <v>1</v>
      </c>
      <c r="AL224" s="20">
        <f>IF(AK224=1,COUNTIF($AK$2:AK224,1),"")</f>
        <v>223</v>
      </c>
      <c r="AM224" s="18">
        <f t="shared" si="52"/>
        <v>1.86</v>
      </c>
      <c r="AN224" s="18">
        <f t="shared" si="53"/>
        <v>1.8600000143051147</v>
      </c>
      <c r="AO224" s="18">
        <f t="shared" si="54"/>
        <v>0</v>
      </c>
      <c r="AP224" s="18">
        <f t="shared" si="55"/>
        <v>0</v>
      </c>
    </row>
    <row r="225" spans="1:42" x14ac:dyDescent="0.25">
      <c r="A225" s="17">
        <v>224</v>
      </c>
      <c r="B225" s="17" t="s">
        <v>674</v>
      </c>
      <c r="C225" s="21" t="s">
        <v>272</v>
      </c>
      <c r="D225" s="17" t="s">
        <v>249</v>
      </c>
      <c r="E225" s="18">
        <v>0.82</v>
      </c>
      <c r="F225" s="18">
        <v>3</v>
      </c>
      <c r="G225" s="18">
        <v>0</v>
      </c>
      <c r="H225" s="18"/>
      <c r="I225" s="18">
        <v>2025</v>
      </c>
      <c r="J225" s="18">
        <v>0.69999998807907104</v>
      </c>
      <c r="K225" s="18">
        <v>0</v>
      </c>
      <c r="L225" s="18">
        <v>0</v>
      </c>
      <c r="M225" s="18">
        <v>0</v>
      </c>
      <c r="N225" s="18">
        <v>0.11999999731779099</v>
      </c>
      <c r="O225" s="18">
        <v>0.20000000298023224</v>
      </c>
      <c r="P225" s="19">
        <v>0.24390244265881983</v>
      </c>
      <c r="Q225" s="18">
        <v>0.5</v>
      </c>
      <c r="R225" s="19">
        <v>0.6097560975609756</v>
      </c>
      <c r="S225" s="18">
        <v>0</v>
      </c>
      <c r="T225" s="19">
        <v>0</v>
      </c>
      <c r="U225" s="18">
        <v>0.11999999731779099</v>
      </c>
      <c r="V225" s="19">
        <v>0.14634146014364754</v>
      </c>
      <c r="W225">
        <f t="shared" si="42"/>
        <v>0.70000000298023224</v>
      </c>
      <c r="X225" s="19">
        <f t="shared" si="43"/>
        <v>0.85365854021979548</v>
      </c>
      <c r="Y225">
        <f t="shared" si="44"/>
        <v>0.11999999731779099</v>
      </c>
      <c r="Z225" s="19">
        <f t="shared" si="45"/>
        <v>0.14634146014364754</v>
      </c>
      <c r="AA225" s="19">
        <f t="shared" si="46"/>
        <v>0.29878048453389144</v>
      </c>
      <c r="AB225" t="str">
        <f t="shared" si="47"/>
        <v>Relatif Mantap</v>
      </c>
      <c r="AC225" s="19">
        <f>IF(Dashboard!$B$7="Mantap (%)",X225,IF(Dashboard!$B$7="Tidak Mantap (%)",Z225,IF(Dashboard!$B$7="Baik (%)",P225,IF(Dashboard!$B$7="Sedang (%)",R225,IF(Dashboard!$B$7="Rusak Ringan (%)",T225,IF(Dashboard!$B$7="Rusak Berat (%)",V225,AA225))))))</f>
        <v>0.14634146014364754</v>
      </c>
      <c r="AD225" s="20">
        <f>IF(AND(AF225=1,E225&gt;=Dashboard!$B$10,IF(Dashboard!$B$9="≤ Maksimum",AC225&lt;=Dashboard!$B$8,AC225&gt;=Dashboard!$B$8)),1,0)</f>
        <v>0</v>
      </c>
      <c r="AE225" s="20" t="str">
        <f>IF(AD225=1,COUNTIFS($AD$2:$AD$351,1,$AC$2:$AC$351,"&gt;"&amp;AC225)+COUNTIFS($AD$2:AD225,1,$AC$2:AC225,AC225),"")</f>
        <v/>
      </c>
      <c r="AF225" s="20">
        <f>IF(OR(Dashboard!$B$6="Semua",ISNUMBER(SEARCH(Dashboard!$B$6,D225))),1,0)</f>
        <v>1</v>
      </c>
      <c r="AG225" s="18">
        <f t="shared" si="48"/>
        <v>0.82</v>
      </c>
      <c r="AH225" s="18">
        <f t="shared" si="49"/>
        <v>0.70000000298023224</v>
      </c>
      <c r="AI225" s="18">
        <f t="shared" si="50"/>
        <v>0.11999999731779099</v>
      </c>
      <c r="AJ225" s="18">
        <f t="shared" si="51"/>
        <v>0.11999999731779099</v>
      </c>
      <c r="AK225" s="20">
        <f>IF(OR(Ruas_Per_Kecamatan!$B$4="Semua",ISNUMBER(SEARCH(Ruas_Per_Kecamatan!$B$4,D225))),1,0)</f>
        <v>1</v>
      </c>
      <c r="AL225" s="20">
        <f>IF(AK225=1,COUNTIF($AK$2:AK225,1),"")</f>
        <v>224</v>
      </c>
      <c r="AM225" s="18">
        <f t="shared" si="52"/>
        <v>0.82</v>
      </c>
      <c r="AN225" s="18">
        <f t="shared" si="53"/>
        <v>0.70000000298023224</v>
      </c>
      <c r="AO225" s="18">
        <f t="shared" si="54"/>
        <v>0.11999999731779099</v>
      </c>
      <c r="AP225" s="18">
        <f t="shared" si="55"/>
        <v>0.11999999731779099</v>
      </c>
    </row>
    <row r="226" spans="1:42" x14ac:dyDescent="0.25">
      <c r="A226" s="17">
        <v>225</v>
      </c>
      <c r="B226" s="17" t="s">
        <v>675</v>
      </c>
      <c r="C226" s="21" t="s">
        <v>273</v>
      </c>
      <c r="D226" s="17" t="s">
        <v>249</v>
      </c>
      <c r="E226" s="18">
        <v>0.69</v>
      </c>
      <c r="F226" s="18">
        <v>3</v>
      </c>
      <c r="G226" s="18">
        <v>0</v>
      </c>
      <c r="H226" s="18"/>
      <c r="I226" s="18">
        <v>2025</v>
      </c>
      <c r="J226" s="18">
        <v>0.68999999761581421</v>
      </c>
      <c r="K226" s="18">
        <v>0</v>
      </c>
      <c r="L226" s="18">
        <v>0</v>
      </c>
      <c r="M226" s="18">
        <v>0</v>
      </c>
      <c r="N226" s="18">
        <v>0</v>
      </c>
      <c r="O226" s="18">
        <v>0.68999999761581421</v>
      </c>
      <c r="P226" s="19">
        <v>0.99999999654465832</v>
      </c>
      <c r="Q226" s="18">
        <v>0</v>
      </c>
      <c r="R226" s="19">
        <v>0</v>
      </c>
      <c r="S226" s="18">
        <v>0</v>
      </c>
      <c r="T226" s="19">
        <v>0</v>
      </c>
      <c r="U226" s="18">
        <v>0</v>
      </c>
      <c r="V226" s="19">
        <v>0</v>
      </c>
      <c r="W226">
        <f t="shared" si="42"/>
        <v>0.68999999761581421</v>
      </c>
      <c r="X226" s="19">
        <f t="shared" si="43"/>
        <v>0.99999999654465832</v>
      </c>
      <c r="Y226">
        <f t="shared" si="44"/>
        <v>0</v>
      </c>
      <c r="Z226" s="19">
        <f t="shared" si="45"/>
        <v>0</v>
      </c>
      <c r="AA226" s="19">
        <f t="shared" si="46"/>
        <v>0</v>
      </c>
      <c r="AB226" t="str">
        <f t="shared" si="47"/>
        <v>Relatif Mantap</v>
      </c>
      <c r="AC226" s="19">
        <f>IF(Dashboard!$B$7="Mantap (%)",X226,IF(Dashboard!$B$7="Tidak Mantap (%)",Z226,IF(Dashboard!$B$7="Baik (%)",P226,IF(Dashboard!$B$7="Sedang (%)",R226,IF(Dashboard!$B$7="Rusak Ringan (%)",T226,IF(Dashboard!$B$7="Rusak Berat (%)",V226,AA226))))))</f>
        <v>0</v>
      </c>
      <c r="AD226" s="20">
        <f>IF(AND(AF226=1,E226&gt;=Dashboard!$B$10,IF(Dashboard!$B$9="≤ Maksimum",AC226&lt;=Dashboard!$B$8,AC226&gt;=Dashboard!$B$8)),1,0)</f>
        <v>0</v>
      </c>
      <c r="AE226" s="20" t="str">
        <f>IF(AD226=1,COUNTIFS($AD$2:$AD$351,1,$AC$2:$AC$351,"&gt;"&amp;AC226)+COUNTIFS($AD$2:AD226,1,$AC$2:AC226,AC226),"")</f>
        <v/>
      </c>
      <c r="AF226" s="20">
        <f>IF(OR(Dashboard!$B$6="Semua",ISNUMBER(SEARCH(Dashboard!$B$6,D226))),1,0)</f>
        <v>1</v>
      </c>
      <c r="AG226" s="18">
        <f t="shared" si="48"/>
        <v>0.69</v>
      </c>
      <c r="AH226" s="18">
        <f t="shared" si="49"/>
        <v>0.68999999761581421</v>
      </c>
      <c r="AI226" s="18">
        <f t="shared" si="50"/>
        <v>0</v>
      </c>
      <c r="AJ226" s="18">
        <f t="shared" si="51"/>
        <v>0</v>
      </c>
      <c r="AK226" s="20">
        <f>IF(OR(Ruas_Per_Kecamatan!$B$4="Semua",ISNUMBER(SEARCH(Ruas_Per_Kecamatan!$B$4,D226))),1,0)</f>
        <v>1</v>
      </c>
      <c r="AL226" s="20">
        <f>IF(AK226=1,COUNTIF($AK$2:AK226,1),"")</f>
        <v>225</v>
      </c>
      <c r="AM226" s="18">
        <f t="shared" si="52"/>
        <v>0.69</v>
      </c>
      <c r="AN226" s="18">
        <f t="shared" si="53"/>
        <v>0.68999999761581421</v>
      </c>
      <c r="AO226" s="18">
        <f t="shared" si="54"/>
        <v>0</v>
      </c>
      <c r="AP226" s="18">
        <f t="shared" si="55"/>
        <v>0</v>
      </c>
    </row>
    <row r="227" spans="1:42" x14ac:dyDescent="0.25">
      <c r="A227" s="17">
        <v>226</v>
      </c>
      <c r="B227" s="17" t="s">
        <v>676</v>
      </c>
      <c r="C227" s="21" t="s">
        <v>274</v>
      </c>
      <c r="D227" s="17" t="s">
        <v>249</v>
      </c>
      <c r="E227" s="18">
        <v>0.62</v>
      </c>
      <c r="F227" s="18">
        <v>3</v>
      </c>
      <c r="G227" s="18">
        <v>0</v>
      </c>
      <c r="H227" s="18"/>
      <c r="I227" s="18">
        <v>2025</v>
      </c>
      <c r="J227" s="18">
        <v>0</v>
      </c>
      <c r="K227" s="18">
        <v>0</v>
      </c>
      <c r="L227" s="18">
        <v>0</v>
      </c>
      <c r="M227" s="18">
        <v>0.62000000476837158</v>
      </c>
      <c r="N227" s="18">
        <v>0</v>
      </c>
      <c r="O227" s="18">
        <v>0</v>
      </c>
      <c r="P227" s="19">
        <v>0</v>
      </c>
      <c r="Q227" s="18">
        <v>0</v>
      </c>
      <c r="R227" s="19">
        <v>0</v>
      </c>
      <c r="S227" s="18">
        <v>0</v>
      </c>
      <c r="T227" s="19">
        <v>0</v>
      </c>
      <c r="U227" s="18">
        <v>0.62000000476837158</v>
      </c>
      <c r="V227" s="19">
        <v>1.0000000076909219</v>
      </c>
      <c r="W227">
        <f t="shared" si="42"/>
        <v>0</v>
      </c>
      <c r="X227" s="19">
        <f t="shared" si="43"/>
        <v>0</v>
      </c>
      <c r="Y227">
        <f t="shared" si="44"/>
        <v>0.62000000476837158</v>
      </c>
      <c r="Z227" s="19">
        <f t="shared" si="45"/>
        <v>1.0000000076909219</v>
      </c>
      <c r="AA227" s="19">
        <f t="shared" si="46"/>
        <v>1.0000000076909219</v>
      </c>
      <c r="AB227" t="str">
        <f t="shared" si="47"/>
        <v>Rusak Berat Dominan</v>
      </c>
      <c r="AC227" s="19">
        <f>IF(Dashboard!$B$7="Mantap (%)",X227,IF(Dashboard!$B$7="Tidak Mantap (%)",Z227,IF(Dashboard!$B$7="Baik (%)",P227,IF(Dashboard!$B$7="Sedang (%)",R227,IF(Dashboard!$B$7="Rusak Ringan (%)",T227,IF(Dashboard!$B$7="Rusak Berat (%)",V227,AA227))))))</f>
        <v>1.0000000076909219</v>
      </c>
      <c r="AD227" s="20">
        <f>IF(AND(AF227=1,E227&gt;=Dashboard!$B$10,IF(Dashboard!$B$9="≤ Maksimum",AC227&lt;=Dashboard!$B$8,AC227&gt;=Dashboard!$B$8)),1,0)</f>
        <v>1</v>
      </c>
      <c r="AE227" s="20">
        <f>IF(AD227=1,COUNTIFS($AD$2:$AD$351,1,$AC$2:$AC$351,"&gt;"&amp;AC227)+COUNTIFS($AD$2:AD227,1,$AC$2:AC227,AC227),"")</f>
        <v>24</v>
      </c>
      <c r="AF227" s="20">
        <f>IF(OR(Dashboard!$B$6="Semua",ISNUMBER(SEARCH(Dashboard!$B$6,D227))),1,0)</f>
        <v>1</v>
      </c>
      <c r="AG227" s="18">
        <f t="shared" si="48"/>
        <v>0.62</v>
      </c>
      <c r="AH227" s="18">
        <f t="shared" si="49"/>
        <v>0</v>
      </c>
      <c r="AI227" s="18">
        <f t="shared" si="50"/>
        <v>0.62000000476837158</v>
      </c>
      <c r="AJ227" s="18">
        <f t="shared" si="51"/>
        <v>0.62000000476837158</v>
      </c>
      <c r="AK227" s="20">
        <f>IF(OR(Ruas_Per_Kecamatan!$B$4="Semua",ISNUMBER(SEARCH(Ruas_Per_Kecamatan!$B$4,D227))),1,0)</f>
        <v>1</v>
      </c>
      <c r="AL227" s="20">
        <f>IF(AK227=1,COUNTIF($AK$2:AK227,1),"")</f>
        <v>226</v>
      </c>
      <c r="AM227" s="18">
        <f t="shared" si="52"/>
        <v>0.62</v>
      </c>
      <c r="AN227" s="18">
        <f t="shared" si="53"/>
        <v>0</v>
      </c>
      <c r="AO227" s="18">
        <f t="shared" si="54"/>
        <v>0.62000000476837158</v>
      </c>
      <c r="AP227" s="18">
        <f t="shared" si="55"/>
        <v>0.62000000476837158</v>
      </c>
    </row>
    <row r="228" spans="1:42" x14ac:dyDescent="0.25">
      <c r="A228" s="17">
        <v>227</v>
      </c>
      <c r="B228" s="17" t="s">
        <v>677</v>
      </c>
      <c r="C228" s="21" t="s">
        <v>275</v>
      </c>
      <c r="D228" s="17" t="s">
        <v>249</v>
      </c>
      <c r="E228" s="18">
        <v>1.21</v>
      </c>
      <c r="F228" s="18">
        <v>3.5</v>
      </c>
      <c r="G228" s="18">
        <v>0</v>
      </c>
      <c r="H228" s="18"/>
      <c r="I228" s="18">
        <v>2025</v>
      </c>
      <c r="J228" s="18">
        <v>1.2100000381469727</v>
      </c>
      <c r="K228" s="18">
        <v>0</v>
      </c>
      <c r="L228" s="18">
        <v>0</v>
      </c>
      <c r="M228" s="18">
        <v>0</v>
      </c>
      <c r="N228" s="18">
        <v>0</v>
      </c>
      <c r="O228" s="18">
        <v>1.2100000381469727</v>
      </c>
      <c r="P228" s="19">
        <v>1.0000000315264237</v>
      </c>
      <c r="Q228" s="18">
        <v>0</v>
      </c>
      <c r="R228" s="19">
        <v>0</v>
      </c>
      <c r="S228" s="18">
        <v>0</v>
      </c>
      <c r="T228" s="19">
        <v>0</v>
      </c>
      <c r="U228" s="18">
        <v>0</v>
      </c>
      <c r="V228" s="19">
        <v>0</v>
      </c>
      <c r="W228">
        <f t="shared" si="42"/>
        <v>1.2100000381469727</v>
      </c>
      <c r="X228" s="19">
        <f t="shared" si="43"/>
        <v>1.0000000315264237</v>
      </c>
      <c r="Y228">
        <f t="shared" si="44"/>
        <v>0</v>
      </c>
      <c r="Z228" s="19">
        <f t="shared" si="45"/>
        <v>0</v>
      </c>
      <c r="AA228" s="19">
        <f t="shared" si="46"/>
        <v>0</v>
      </c>
      <c r="AB228" t="str">
        <f t="shared" si="47"/>
        <v>Relatif Mantap</v>
      </c>
      <c r="AC228" s="19">
        <f>IF(Dashboard!$B$7="Mantap (%)",X228,IF(Dashboard!$B$7="Tidak Mantap (%)",Z228,IF(Dashboard!$B$7="Baik (%)",P228,IF(Dashboard!$B$7="Sedang (%)",R228,IF(Dashboard!$B$7="Rusak Ringan (%)",T228,IF(Dashboard!$B$7="Rusak Berat (%)",V228,AA228))))))</f>
        <v>0</v>
      </c>
      <c r="AD228" s="20">
        <f>IF(AND(AF228=1,E228&gt;=Dashboard!$B$10,IF(Dashboard!$B$9="≤ Maksimum",AC228&lt;=Dashboard!$B$8,AC228&gt;=Dashboard!$B$8)),1,0)</f>
        <v>0</v>
      </c>
      <c r="AE228" s="20" t="str">
        <f>IF(AD228=1,COUNTIFS($AD$2:$AD$351,1,$AC$2:$AC$351,"&gt;"&amp;AC228)+COUNTIFS($AD$2:AD228,1,$AC$2:AC228,AC228),"")</f>
        <v/>
      </c>
      <c r="AF228" s="20">
        <f>IF(OR(Dashboard!$B$6="Semua",ISNUMBER(SEARCH(Dashboard!$B$6,D228))),1,0)</f>
        <v>1</v>
      </c>
      <c r="AG228" s="18">
        <f t="shared" si="48"/>
        <v>1.21</v>
      </c>
      <c r="AH228" s="18">
        <f t="shared" si="49"/>
        <v>1.2100000381469727</v>
      </c>
      <c r="AI228" s="18">
        <f t="shared" si="50"/>
        <v>0</v>
      </c>
      <c r="AJ228" s="18">
        <f t="shared" si="51"/>
        <v>0</v>
      </c>
      <c r="AK228" s="20">
        <f>IF(OR(Ruas_Per_Kecamatan!$B$4="Semua",ISNUMBER(SEARCH(Ruas_Per_Kecamatan!$B$4,D228))),1,0)</f>
        <v>1</v>
      </c>
      <c r="AL228" s="20">
        <f>IF(AK228=1,COUNTIF($AK$2:AK228,1),"")</f>
        <v>227</v>
      </c>
      <c r="AM228" s="18">
        <f t="shared" si="52"/>
        <v>1.21</v>
      </c>
      <c r="AN228" s="18">
        <f t="shared" si="53"/>
        <v>1.2100000381469727</v>
      </c>
      <c r="AO228" s="18">
        <f t="shared" si="54"/>
        <v>0</v>
      </c>
      <c r="AP228" s="18">
        <f t="shared" si="55"/>
        <v>0</v>
      </c>
    </row>
    <row r="229" spans="1:42" x14ac:dyDescent="0.25">
      <c r="A229" s="17">
        <v>228</v>
      </c>
      <c r="B229" s="17" t="s">
        <v>678</v>
      </c>
      <c r="C229" s="21" t="s">
        <v>276</v>
      </c>
      <c r="D229" s="17" t="s">
        <v>249</v>
      </c>
      <c r="E229" s="18">
        <v>0.82</v>
      </c>
      <c r="F229" s="18">
        <v>3</v>
      </c>
      <c r="G229" s="18">
        <v>0</v>
      </c>
      <c r="H229" s="18"/>
      <c r="I229" s="18">
        <v>2025</v>
      </c>
      <c r="J229" s="18">
        <v>0.81999999284744263</v>
      </c>
      <c r="K229" s="18">
        <v>0</v>
      </c>
      <c r="L229" s="18">
        <v>0</v>
      </c>
      <c r="M229" s="18">
        <v>0</v>
      </c>
      <c r="N229" s="18">
        <v>0</v>
      </c>
      <c r="O229" s="18">
        <v>0.81999999284744263</v>
      </c>
      <c r="P229" s="19">
        <v>0.99999999127736916</v>
      </c>
      <c r="Q229" s="18">
        <v>0</v>
      </c>
      <c r="R229" s="19">
        <v>0</v>
      </c>
      <c r="S229" s="18">
        <v>0</v>
      </c>
      <c r="T229" s="19">
        <v>0</v>
      </c>
      <c r="U229" s="18">
        <v>0</v>
      </c>
      <c r="V229" s="19">
        <v>0</v>
      </c>
      <c r="W229">
        <f t="shared" si="42"/>
        <v>0.81999999284744263</v>
      </c>
      <c r="X229" s="19">
        <f t="shared" si="43"/>
        <v>0.99999999127736916</v>
      </c>
      <c r="Y229">
        <f t="shared" si="44"/>
        <v>0</v>
      </c>
      <c r="Z229" s="19">
        <f t="shared" si="45"/>
        <v>0</v>
      </c>
      <c r="AA229" s="19">
        <f t="shared" si="46"/>
        <v>0</v>
      </c>
      <c r="AB229" t="str">
        <f t="shared" si="47"/>
        <v>Relatif Mantap</v>
      </c>
      <c r="AC229" s="19">
        <f>IF(Dashboard!$B$7="Mantap (%)",X229,IF(Dashboard!$B$7="Tidak Mantap (%)",Z229,IF(Dashboard!$B$7="Baik (%)",P229,IF(Dashboard!$B$7="Sedang (%)",R229,IF(Dashboard!$B$7="Rusak Ringan (%)",T229,IF(Dashboard!$B$7="Rusak Berat (%)",V229,AA229))))))</f>
        <v>0</v>
      </c>
      <c r="AD229" s="20">
        <f>IF(AND(AF229=1,E229&gt;=Dashboard!$B$10,IF(Dashboard!$B$9="≤ Maksimum",AC229&lt;=Dashboard!$B$8,AC229&gt;=Dashboard!$B$8)),1,0)</f>
        <v>0</v>
      </c>
      <c r="AE229" s="20" t="str">
        <f>IF(AD229=1,COUNTIFS($AD$2:$AD$351,1,$AC$2:$AC$351,"&gt;"&amp;AC229)+COUNTIFS($AD$2:AD229,1,$AC$2:AC229,AC229),"")</f>
        <v/>
      </c>
      <c r="AF229" s="20">
        <f>IF(OR(Dashboard!$B$6="Semua",ISNUMBER(SEARCH(Dashboard!$B$6,D229))),1,0)</f>
        <v>1</v>
      </c>
      <c r="AG229" s="18">
        <f t="shared" si="48"/>
        <v>0.82</v>
      </c>
      <c r="AH229" s="18">
        <f t="shared" si="49"/>
        <v>0.81999999284744263</v>
      </c>
      <c r="AI229" s="18">
        <f t="shared" si="50"/>
        <v>0</v>
      </c>
      <c r="AJ229" s="18">
        <f t="shared" si="51"/>
        <v>0</v>
      </c>
      <c r="AK229" s="20">
        <f>IF(OR(Ruas_Per_Kecamatan!$B$4="Semua",ISNUMBER(SEARCH(Ruas_Per_Kecamatan!$B$4,D229))),1,0)</f>
        <v>1</v>
      </c>
      <c r="AL229" s="20">
        <f>IF(AK229=1,COUNTIF($AK$2:AK229,1),"")</f>
        <v>228</v>
      </c>
      <c r="AM229" s="18">
        <f t="shared" si="52"/>
        <v>0.82</v>
      </c>
      <c r="AN229" s="18">
        <f t="shared" si="53"/>
        <v>0.81999999284744263</v>
      </c>
      <c r="AO229" s="18">
        <f t="shared" si="54"/>
        <v>0</v>
      </c>
      <c r="AP229" s="18">
        <f t="shared" si="55"/>
        <v>0</v>
      </c>
    </row>
    <row r="230" spans="1:42" x14ac:dyDescent="0.25">
      <c r="A230" s="17">
        <v>229</v>
      </c>
      <c r="B230" s="17" t="s">
        <v>679</v>
      </c>
      <c r="C230" s="21" t="s">
        <v>277</v>
      </c>
      <c r="D230" s="17" t="s">
        <v>249</v>
      </c>
      <c r="E230" s="18">
        <v>1.28</v>
      </c>
      <c r="F230" s="18">
        <v>3.5</v>
      </c>
      <c r="G230" s="18">
        <v>0</v>
      </c>
      <c r="H230" s="18"/>
      <c r="I230" s="18">
        <v>2025</v>
      </c>
      <c r="J230" s="18">
        <v>0.60000002384185791</v>
      </c>
      <c r="K230" s="18">
        <v>0</v>
      </c>
      <c r="L230" s="18">
        <v>0</v>
      </c>
      <c r="M230" s="18">
        <v>0.68000000715255737</v>
      </c>
      <c r="N230" s="18">
        <v>0</v>
      </c>
      <c r="O230" s="18">
        <v>0.5</v>
      </c>
      <c r="P230" s="19">
        <v>0.390625</v>
      </c>
      <c r="Q230" s="18">
        <v>0.10000000149011612</v>
      </c>
      <c r="R230" s="19">
        <v>7.8125001164153218E-2</v>
      </c>
      <c r="S230" s="18">
        <v>0</v>
      </c>
      <c r="T230" s="19">
        <v>0</v>
      </c>
      <c r="U230" s="18">
        <v>0.68000000715255737</v>
      </c>
      <c r="V230" s="19">
        <v>0.53125000558793545</v>
      </c>
      <c r="W230">
        <f t="shared" si="42"/>
        <v>0.60000000149011612</v>
      </c>
      <c r="X230" s="19">
        <f t="shared" si="43"/>
        <v>0.46875000116415322</v>
      </c>
      <c r="Y230">
        <f t="shared" si="44"/>
        <v>0.68000000715255737</v>
      </c>
      <c r="Z230" s="19">
        <f t="shared" si="45"/>
        <v>0.53125000558793545</v>
      </c>
      <c r="AA230" s="19">
        <f t="shared" si="46"/>
        <v>0.55078125587897375</v>
      </c>
      <c r="AB230" t="str">
        <f t="shared" si="47"/>
        <v>Rusak Berat Dominan</v>
      </c>
      <c r="AC230" s="19">
        <f>IF(Dashboard!$B$7="Mantap (%)",X230,IF(Dashboard!$B$7="Tidak Mantap (%)",Z230,IF(Dashboard!$B$7="Baik (%)",P230,IF(Dashboard!$B$7="Sedang (%)",R230,IF(Dashboard!$B$7="Rusak Ringan (%)",T230,IF(Dashboard!$B$7="Rusak Berat (%)",V230,AA230))))))</f>
        <v>0.53125000558793545</v>
      </c>
      <c r="AD230" s="20">
        <f>IF(AND(AF230=1,E230&gt;=Dashboard!$B$10,IF(Dashboard!$B$9="≤ Maksimum",AC230&lt;=Dashboard!$B$8,AC230&gt;=Dashboard!$B$8)),1,0)</f>
        <v>1</v>
      </c>
      <c r="AE230" s="20">
        <f>IF(AD230=1,COUNTIFS($AD$2:$AD$351,1,$AC$2:$AC$351,"&gt;"&amp;AC230)+COUNTIFS($AD$2:AD230,1,$AC$2:AC230,AC230),"")</f>
        <v>118</v>
      </c>
      <c r="AF230" s="20">
        <f>IF(OR(Dashboard!$B$6="Semua",ISNUMBER(SEARCH(Dashboard!$B$6,D230))),1,0)</f>
        <v>1</v>
      </c>
      <c r="AG230" s="18">
        <f t="shared" si="48"/>
        <v>1.28</v>
      </c>
      <c r="AH230" s="18">
        <f t="shared" si="49"/>
        <v>0.60000000149011612</v>
      </c>
      <c r="AI230" s="18">
        <f t="shared" si="50"/>
        <v>0.68000000715255737</v>
      </c>
      <c r="AJ230" s="18">
        <f t="shared" si="51"/>
        <v>0.68000000715255737</v>
      </c>
      <c r="AK230" s="20">
        <f>IF(OR(Ruas_Per_Kecamatan!$B$4="Semua",ISNUMBER(SEARCH(Ruas_Per_Kecamatan!$B$4,D230))),1,0)</f>
        <v>1</v>
      </c>
      <c r="AL230" s="20">
        <f>IF(AK230=1,COUNTIF($AK$2:AK230,1),"")</f>
        <v>229</v>
      </c>
      <c r="AM230" s="18">
        <f t="shared" si="52"/>
        <v>1.28</v>
      </c>
      <c r="AN230" s="18">
        <f t="shared" si="53"/>
        <v>0.60000000149011612</v>
      </c>
      <c r="AO230" s="18">
        <f t="shared" si="54"/>
        <v>0.68000000715255737</v>
      </c>
      <c r="AP230" s="18">
        <f t="shared" si="55"/>
        <v>0.68000000715255737</v>
      </c>
    </row>
    <row r="231" spans="1:42" x14ac:dyDescent="0.25">
      <c r="A231" s="17">
        <v>230</v>
      </c>
      <c r="B231" s="17" t="s">
        <v>680</v>
      </c>
      <c r="C231" s="21" t="s">
        <v>278</v>
      </c>
      <c r="D231" s="17" t="s">
        <v>249</v>
      </c>
      <c r="E231" s="18">
        <v>0.71</v>
      </c>
      <c r="F231" s="18">
        <v>3</v>
      </c>
      <c r="G231" s="18">
        <v>0</v>
      </c>
      <c r="H231" s="18"/>
      <c r="I231" s="18">
        <v>2025</v>
      </c>
      <c r="J231" s="18">
        <v>0.70999997854232788</v>
      </c>
      <c r="K231" s="18">
        <v>0</v>
      </c>
      <c r="L231" s="18">
        <v>0</v>
      </c>
      <c r="M231" s="18">
        <v>0</v>
      </c>
      <c r="N231" s="18">
        <v>0</v>
      </c>
      <c r="O231" s="18">
        <v>0.61000001430511475</v>
      </c>
      <c r="P231" s="19">
        <v>0.85915494972551376</v>
      </c>
      <c r="Q231" s="18">
        <v>0.10000000149011612</v>
      </c>
      <c r="R231" s="19">
        <v>0.1408450725212903</v>
      </c>
      <c r="S231" s="18">
        <v>0</v>
      </c>
      <c r="T231" s="19">
        <v>0</v>
      </c>
      <c r="U231" s="18">
        <v>0</v>
      </c>
      <c r="V231" s="19">
        <v>0</v>
      </c>
      <c r="W231">
        <f t="shared" si="42"/>
        <v>0.71000001579523087</v>
      </c>
      <c r="X231" s="19">
        <f t="shared" si="43"/>
        <v>1.0000000222468042</v>
      </c>
      <c r="Y231">
        <f t="shared" si="44"/>
        <v>0</v>
      </c>
      <c r="Z231" s="19">
        <f t="shared" si="45"/>
        <v>0</v>
      </c>
      <c r="AA231" s="19">
        <f t="shared" si="46"/>
        <v>3.5211268130322576E-2</v>
      </c>
      <c r="AB231" t="str">
        <f t="shared" si="47"/>
        <v>Relatif Mantap</v>
      </c>
      <c r="AC231" s="19">
        <f>IF(Dashboard!$B$7="Mantap (%)",X231,IF(Dashboard!$B$7="Tidak Mantap (%)",Z231,IF(Dashboard!$B$7="Baik (%)",P231,IF(Dashboard!$B$7="Sedang (%)",R231,IF(Dashboard!$B$7="Rusak Ringan (%)",T231,IF(Dashboard!$B$7="Rusak Berat (%)",V231,AA231))))))</f>
        <v>0</v>
      </c>
      <c r="AD231" s="20">
        <f>IF(AND(AF231=1,E231&gt;=Dashboard!$B$10,IF(Dashboard!$B$9="≤ Maksimum",AC231&lt;=Dashboard!$B$8,AC231&gt;=Dashboard!$B$8)),1,0)</f>
        <v>0</v>
      </c>
      <c r="AE231" s="20" t="str">
        <f>IF(AD231=1,COUNTIFS($AD$2:$AD$351,1,$AC$2:$AC$351,"&gt;"&amp;AC231)+COUNTIFS($AD$2:AD231,1,$AC$2:AC231,AC231),"")</f>
        <v/>
      </c>
      <c r="AF231" s="20">
        <f>IF(OR(Dashboard!$B$6="Semua",ISNUMBER(SEARCH(Dashboard!$B$6,D231))),1,0)</f>
        <v>1</v>
      </c>
      <c r="AG231" s="18">
        <f t="shared" si="48"/>
        <v>0.71</v>
      </c>
      <c r="AH231" s="18">
        <f t="shared" si="49"/>
        <v>0.71000001579523087</v>
      </c>
      <c r="AI231" s="18">
        <f t="shared" si="50"/>
        <v>0</v>
      </c>
      <c r="AJ231" s="18">
        <f t="shared" si="51"/>
        <v>0</v>
      </c>
      <c r="AK231" s="20">
        <f>IF(OR(Ruas_Per_Kecamatan!$B$4="Semua",ISNUMBER(SEARCH(Ruas_Per_Kecamatan!$B$4,D231))),1,0)</f>
        <v>1</v>
      </c>
      <c r="AL231" s="20">
        <f>IF(AK231=1,COUNTIF($AK$2:AK231,1),"")</f>
        <v>230</v>
      </c>
      <c r="AM231" s="18">
        <f t="shared" si="52"/>
        <v>0.71</v>
      </c>
      <c r="AN231" s="18">
        <f t="shared" si="53"/>
        <v>0.71000001579523087</v>
      </c>
      <c r="AO231" s="18">
        <f t="shared" si="54"/>
        <v>0</v>
      </c>
      <c r="AP231" s="18">
        <f t="shared" si="55"/>
        <v>0</v>
      </c>
    </row>
    <row r="232" spans="1:42" x14ac:dyDescent="0.25">
      <c r="A232" s="17">
        <v>231</v>
      </c>
      <c r="B232" s="17" t="s">
        <v>681</v>
      </c>
      <c r="C232" s="21" t="s">
        <v>279</v>
      </c>
      <c r="D232" s="17" t="s">
        <v>249</v>
      </c>
      <c r="E232" s="18">
        <v>1.23</v>
      </c>
      <c r="F232" s="18">
        <v>3</v>
      </c>
      <c r="G232" s="18">
        <v>0</v>
      </c>
      <c r="H232" s="18"/>
      <c r="I232" s="18">
        <v>2025</v>
      </c>
      <c r="J232" s="18">
        <v>1.2300000190734863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9">
        <v>0</v>
      </c>
      <c r="Q232" s="18">
        <v>0.23000000417232513</v>
      </c>
      <c r="R232" s="19">
        <v>0.18699187331083345</v>
      </c>
      <c r="S232" s="18">
        <v>0.5</v>
      </c>
      <c r="T232" s="19">
        <v>0.4065040650406504</v>
      </c>
      <c r="U232" s="18">
        <v>0.5</v>
      </c>
      <c r="V232" s="19">
        <v>0.4065040650406504</v>
      </c>
      <c r="W232">
        <f t="shared" si="42"/>
        <v>0.23000000417232513</v>
      </c>
      <c r="X232" s="19">
        <f t="shared" si="43"/>
        <v>0.18699187331083345</v>
      </c>
      <c r="Y232">
        <f t="shared" si="44"/>
        <v>1</v>
      </c>
      <c r="Z232" s="19">
        <f t="shared" si="45"/>
        <v>0.81300813008130079</v>
      </c>
      <c r="AA232" s="19">
        <f t="shared" si="46"/>
        <v>0.69715447239274897</v>
      </c>
      <c r="AB232" t="str">
        <f t="shared" si="47"/>
        <v>Rusak Berat Dominan</v>
      </c>
      <c r="AC232" s="19">
        <f>IF(Dashboard!$B$7="Mantap (%)",X232,IF(Dashboard!$B$7="Tidak Mantap (%)",Z232,IF(Dashboard!$B$7="Baik (%)",P232,IF(Dashboard!$B$7="Sedang (%)",R232,IF(Dashboard!$B$7="Rusak Ringan (%)",T232,IF(Dashboard!$B$7="Rusak Berat (%)",V232,AA232))))))</f>
        <v>0.81300813008130079</v>
      </c>
      <c r="AD232" s="20">
        <f>IF(AND(AF232=1,E232&gt;=Dashboard!$B$10,IF(Dashboard!$B$9="≤ Maksimum",AC232&lt;=Dashboard!$B$8,AC232&gt;=Dashboard!$B$8)),1,0)</f>
        <v>1</v>
      </c>
      <c r="AE232" s="20">
        <f>IF(AD232=1,COUNTIFS($AD$2:$AD$351,1,$AC$2:$AC$351,"&gt;"&amp;AC232)+COUNTIFS($AD$2:AD232,1,$AC$2:AC232,AC232),"")</f>
        <v>64</v>
      </c>
      <c r="AF232" s="20">
        <f>IF(OR(Dashboard!$B$6="Semua",ISNUMBER(SEARCH(Dashboard!$B$6,D232))),1,0)</f>
        <v>1</v>
      </c>
      <c r="AG232" s="18">
        <f t="shared" si="48"/>
        <v>1.23</v>
      </c>
      <c r="AH232" s="18">
        <f t="shared" si="49"/>
        <v>0.23000000417232513</v>
      </c>
      <c r="AI232" s="18">
        <f t="shared" si="50"/>
        <v>1</v>
      </c>
      <c r="AJ232" s="18">
        <f t="shared" si="51"/>
        <v>0.5</v>
      </c>
      <c r="AK232" s="20">
        <f>IF(OR(Ruas_Per_Kecamatan!$B$4="Semua",ISNUMBER(SEARCH(Ruas_Per_Kecamatan!$B$4,D232))),1,0)</f>
        <v>1</v>
      </c>
      <c r="AL232" s="20">
        <f>IF(AK232=1,COUNTIF($AK$2:AK232,1),"")</f>
        <v>231</v>
      </c>
      <c r="AM232" s="18">
        <f t="shared" si="52"/>
        <v>1.23</v>
      </c>
      <c r="AN232" s="18">
        <f t="shared" si="53"/>
        <v>0.23000000417232513</v>
      </c>
      <c r="AO232" s="18">
        <f t="shared" si="54"/>
        <v>1</v>
      </c>
      <c r="AP232" s="18">
        <f t="shared" si="55"/>
        <v>0.5</v>
      </c>
    </row>
    <row r="233" spans="1:42" x14ac:dyDescent="0.25">
      <c r="A233" s="17">
        <v>232</v>
      </c>
      <c r="B233" s="17" t="s">
        <v>682</v>
      </c>
      <c r="C233" s="21" t="s">
        <v>280</v>
      </c>
      <c r="D233" s="17" t="s">
        <v>249</v>
      </c>
      <c r="E233" s="18">
        <v>0.52</v>
      </c>
      <c r="F233" s="18">
        <v>3</v>
      </c>
      <c r="G233" s="18">
        <v>0</v>
      </c>
      <c r="H233" s="18"/>
      <c r="I233" s="18">
        <v>2025</v>
      </c>
      <c r="J233" s="18">
        <v>0.51999998092651367</v>
      </c>
      <c r="K233" s="18">
        <v>0</v>
      </c>
      <c r="L233" s="18">
        <v>0</v>
      </c>
      <c r="M233" s="18">
        <v>0</v>
      </c>
      <c r="N233" s="18">
        <v>0</v>
      </c>
      <c r="O233" s="18">
        <v>0.41999998688697815</v>
      </c>
      <c r="P233" s="19">
        <v>0.80769228247495795</v>
      </c>
      <c r="Q233" s="18">
        <v>0.10000000149011612</v>
      </c>
      <c r="R233" s="19">
        <v>0.19230769517330024</v>
      </c>
      <c r="S233" s="18">
        <v>0</v>
      </c>
      <c r="T233" s="19">
        <v>0</v>
      </c>
      <c r="U233" s="18">
        <v>0</v>
      </c>
      <c r="V233" s="19">
        <v>0</v>
      </c>
      <c r="W233">
        <f t="shared" si="42"/>
        <v>0.51999998837709427</v>
      </c>
      <c r="X233" s="19">
        <f t="shared" si="43"/>
        <v>0.99999997764825821</v>
      </c>
      <c r="Y233">
        <f t="shared" si="44"/>
        <v>0</v>
      </c>
      <c r="Z233" s="19">
        <f t="shared" si="45"/>
        <v>0</v>
      </c>
      <c r="AA233" s="19">
        <f t="shared" si="46"/>
        <v>4.8076923793325059E-2</v>
      </c>
      <c r="AB233" t="str">
        <f t="shared" si="47"/>
        <v>Relatif Mantap</v>
      </c>
      <c r="AC233" s="19">
        <f>IF(Dashboard!$B$7="Mantap (%)",X233,IF(Dashboard!$B$7="Tidak Mantap (%)",Z233,IF(Dashboard!$B$7="Baik (%)",P233,IF(Dashboard!$B$7="Sedang (%)",R233,IF(Dashboard!$B$7="Rusak Ringan (%)",T233,IF(Dashboard!$B$7="Rusak Berat (%)",V233,AA233))))))</f>
        <v>0</v>
      </c>
      <c r="AD233" s="20">
        <f>IF(AND(AF233=1,E233&gt;=Dashboard!$B$10,IF(Dashboard!$B$9="≤ Maksimum",AC233&lt;=Dashboard!$B$8,AC233&gt;=Dashboard!$B$8)),1,0)</f>
        <v>0</v>
      </c>
      <c r="AE233" s="20" t="str">
        <f>IF(AD233=1,COUNTIFS($AD$2:$AD$351,1,$AC$2:$AC$351,"&gt;"&amp;AC233)+COUNTIFS($AD$2:AD233,1,$AC$2:AC233,AC233),"")</f>
        <v/>
      </c>
      <c r="AF233" s="20">
        <f>IF(OR(Dashboard!$B$6="Semua",ISNUMBER(SEARCH(Dashboard!$B$6,D233))),1,0)</f>
        <v>1</v>
      </c>
      <c r="AG233" s="18">
        <f t="shared" si="48"/>
        <v>0.52</v>
      </c>
      <c r="AH233" s="18">
        <f t="shared" si="49"/>
        <v>0.51999998837709427</v>
      </c>
      <c r="AI233" s="18">
        <f t="shared" si="50"/>
        <v>0</v>
      </c>
      <c r="AJ233" s="18">
        <f t="shared" si="51"/>
        <v>0</v>
      </c>
      <c r="AK233" s="20">
        <f>IF(OR(Ruas_Per_Kecamatan!$B$4="Semua",ISNUMBER(SEARCH(Ruas_Per_Kecamatan!$B$4,D233))),1,0)</f>
        <v>1</v>
      </c>
      <c r="AL233" s="20">
        <f>IF(AK233=1,COUNTIF($AK$2:AK233,1),"")</f>
        <v>232</v>
      </c>
      <c r="AM233" s="18">
        <f t="shared" si="52"/>
        <v>0.52</v>
      </c>
      <c r="AN233" s="18">
        <f t="shared" si="53"/>
        <v>0.51999998837709427</v>
      </c>
      <c r="AO233" s="18">
        <f t="shared" si="54"/>
        <v>0</v>
      </c>
      <c r="AP233" s="18">
        <f t="shared" si="55"/>
        <v>0</v>
      </c>
    </row>
    <row r="234" spans="1:42" x14ac:dyDescent="0.25">
      <c r="A234" s="17">
        <v>233</v>
      </c>
      <c r="B234" s="17" t="s">
        <v>683</v>
      </c>
      <c r="C234" s="21" t="s">
        <v>281</v>
      </c>
      <c r="D234" s="17" t="s">
        <v>249</v>
      </c>
      <c r="E234" s="18">
        <v>0.34</v>
      </c>
      <c r="F234" s="18">
        <v>3</v>
      </c>
      <c r="G234" s="18">
        <v>0</v>
      </c>
      <c r="H234" s="18"/>
      <c r="I234" s="18">
        <v>2025</v>
      </c>
      <c r="J234" s="18">
        <v>0.34000000357627869</v>
      </c>
      <c r="K234" s="18">
        <v>0</v>
      </c>
      <c r="L234" s="18">
        <v>0</v>
      </c>
      <c r="M234" s="18">
        <v>0</v>
      </c>
      <c r="N234" s="18">
        <v>0</v>
      </c>
      <c r="O234" s="18">
        <v>0.34000000357627869</v>
      </c>
      <c r="P234" s="19">
        <v>1.0000000105184665</v>
      </c>
      <c r="Q234" s="18">
        <v>0</v>
      </c>
      <c r="R234" s="19">
        <v>0</v>
      </c>
      <c r="S234" s="18">
        <v>0</v>
      </c>
      <c r="T234" s="19">
        <v>0</v>
      </c>
      <c r="U234" s="18">
        <v>0</v>
      </c>
      <c r="V234" s="19">
        <v>0</v>
      </c>
      <c r="W234">
        <f t="shared" si="42"/>
        <v>0.34000000357627869</v>
      </c>
      <c r="X234" s="19">
        <f t="shared" si="43"/>
        <v>1.0000000105184665</v>
      </c>
      <c r="Y234">
        <f t="shared" si="44"/>
        <v>0</v>
      </c>
      <c r="Z234" s="19">
        <f t="shared" si="45"/>
        <v>0</v>
      </c>
      <c r="AA234" s="19">
        <f t="shared" si="46"/>
        <v>0</v>
      </c>
      <c r="AB234" t="str">
        <f t="shared" si="47"/>
        <v>Relatif Mantap</v>
      </c>
      <c r="AC234" s="19">
        <f>IF(Dashboard!$B$7="Mantap (%)",X234,IF(Dashboard!$B$7="Tidak Mantap (%)",Z234,IF(Dashboard!$B$7="Baik (%)",P234,IF(Dashboard!$B$7="Sedang (%)",R234,IF(Dashboard!$B$7="Rusak Ringan (%)",T234,IF(Dashboard!$B$7="Rusak Berat (%)",V234,AA234))))))</f>
        <v>0</v>
      </c>
      <c r="AD234" s="20">
        <f>IF(AND(AF234=1,E234&gt;=Dashboard!$B$10,IF(Dashboard!$B$9="≤ Maksimum",AC234&lt;=Dashboard!$B$8,AC234&gt;=Dashboard!$B$8)),1,0)</f>
        <v>0</v>
      </c>
      <c r="AE234" s="20" t="str">
        <f>IF(AD234=1,COUNTIFS($AD$2:$AD$351,1,$AC$2:$AC$351,"&gt;"&amp;AC234)+COUNTIFS($AD$2:AD234,1,$AC$2:AC234,AC234),"")</f>
        <v/>
      </c>
      <c r="AF234" s="20">
        <f>IF(OR(Dashboard!$B$6="Semua",ISNUMBER(SEARCH(Dashboard!$B$6,D234))),1,0)</f>
        <v>1</v>
      </c>
      <c r="AG234" s="18">
        <f t="shared" si="48"/>
        <v>0.34</v>
      </c>
      <c r="AH234" s="18">
        <f t="shared" si="49"/>
        <v>0.34000000357627869</v>
      </c>
      <c r="AI234" s="18">
        <f t="shared" si="50"/>
        <v>0</v>
      </c>
      <c r="AJ234" s="18">
        <f t="shared" si="51"/>
        <v>0</v>
      </c>
      <c r="AK234" s="20">
        <f>IF(OR(Ruas_Per_Kecamatan!$B$4="Semua",ISNUMBER(SEARCH(Ruas_Per_Kecamatan!$B$4,D234))),1,0)</f>
        <v>1</v>
      </c>
      <c r="AL234" s="20">
        <f>IF(AK234=1,COUNTIF($AK$2:AK234,1),"")</f>
        <v>233</v>
      </c>
      <c r="AM234" s="18">
        <f t="shared" si="52"/>
        <v>0.34</v>
      </c>
      <c r="AN234" s="18">
        <f t="shared" si="53"/>
        <v>0.34000000357627869</v>
      </c>
      <c r="AO234" s="18">
        <f t="shared" si="54"/>
        <v>0</v>
      </c>
      <c r="AP234" s="18">
        <f t="shared" si="55"/>
        <v>0</v>
      </c>
    </row>
    <row r="235" spans="1:42" x14ac:dyDescent="0.25">
      <c r="A235" s="17">
        <v>234</v>
      </c>
      <c r="B235" s="17" t="s">
        <v>684</v>
      </c>
      <c r="C235" s="21" t="s">
        <v>282</v>
      </c>
      <c r="D235" s="17" t="s">
        <v>249</v>
      </c>
      <c r="E235" s="18">
        <v>1.06</v>
      </c>
      <c r="F235" s="18">
        <v>3</v>
      </c>
      <c r="G235" s="18">
        <v>0</v>
      </c>
      <c r="H235" s="18"/>
      <c r="I235" s="18">
        <v>2025</v>
      </c>
      <c r="J235" s="18">
        <v>1.059999942779541</v>
      </c>
      <c r="K235" s="18">
        <v>0</v>
      </c>
      <c r="L235" s="18">
        <v>0</v>
      </c>
      <c r="M235" s="18">
        <v>0</v>
      </c>
      <c r="N235" s="18">
        <v>0</v>
      </c>
      <c r="O235" s="18">
        <v>0.25999999046325684</v>
      </c>
      <c r="P235" s="19">
        <v>0.24528300987099699</v>
      </c>
      <c r="Q235" s="18">
        <v>0.80000001192092896</v>
      </c>
      <c r="R235" s="19">
        <v>0.75471699237823486</v>
      </c>
      <c r="S235" s="18">
        <v>0</v>
      </c>
      <c r="T235" s="19">
        <v>0</v>
      </c>
      <c r="U235" s="18">
        <v>0</v>
      </c>
      <c r="V235" s="19">
        <v>0</v>
      </c>
      <c r="W235">
        <f t="shared" si="42"/>
        <v>1.0600000023841858</v>
      </c>
      <c r="X235" s="19">
        <f t="shared" si="43"/>
        <v>1.0000000022492319</v>
      </c>
      <c r="Y235">
        <f t="shared" si="44"/>
        <v>0</v>
      </c>
      <c r="Z235" s="19">
        <f t="shared" si="45"/>
        <v>0</v>
      </c>
      <c r="AA235" s="19">
        <f t="shared" si="46"/>
        <v>0.18867924809455872</v>
      </c>
      <c r="AB235" t="str">
        <f t="shared" si="47"/>
        <v>Relatif Mantap</v>
      </c>
      <c r="AC235" s="19">
        <f>IF(Dashboard!$B$7="Mantap (%)",X235,IF(Dashboard!$B$7="Tidak Mantap (%)",Z235,IF(Dashboard!$B$7="Baik (%)",P235,IF(Dashboard!$B$7="Sedang (%)",R235,IF(Dashboard!$B$7="Rusak Ringan (%)",T235,IF(Dashboard!$B$7="Rusak Berat (%)",V235,AA235))))))</f>
        <v>0</v>
      </c>
      <c r="AD235" s="20">
        <f>IF(AND(AF235=1,E235&gt;=Dashboard!$B$10,IF(Dashboard!$B$9="≤ Maksimum",AC235&lt;=Dashboard!$B$8,AC235&gt;=Dashboard!$B$8)),1,0)</f>
        <v>0</v>
      </c>
      <c r="AE235" s="20" t="str">
        <f>IF(AD235=1,COUNTIFS($AD$2:$AD$351,1,$AC$2:$AC$351,"&gt;"&amp;AC235)+COUNTIFS($AD$2:AD235,1,$AC$2:AC235,AC235),"")</f>
        <v/>
      </c>
      <c r="AF235" s="20">
        <f>IF(OR(Dashboard!$B$6="Semua",ISNUMBER(SEARCH(Dashboard!$B$6,D235))),1,0)</f>
        <v>1</v>
      </c>
      <c r="AG235" s="18">
        <f t="shared" si="48"/>
        <v>1.06</v>
      </c>
      <c r="AH235" s="18">
        <f t="shared" si="49"/>
        <v>1.0600000023841858</v>
      </c>
      <c r="AI235" s="18">
        <f t="shared" si="50"/>
        <v>0</v>
      </c>
      <c r="AJ235" s="18">
        <f t="shared" si="51"/>
        <v>0</v>
      </c>
      <c r="AK235" s="20">
        <f>IF(OR(Ruas_Per_Kecamatan!$B$4="Semua",ISNUMBER(SEARCH(Ruas_Per_Kecamatan!$B$4,D235))),1,0)</f>
        <v>1</v>
      </c>
      <c r="AL235" s="20">
        <f>IF(AK235=1,COUNTIF($AK$2:AK235,1),"")</f>
        <v>234</v>
      </c>
      <c r="AM235" s="18">
        <f t="shared" si="52"/>
        <v>1.06</v>
      </c>
      <c r="AN235" s="18">
        <f t="shared" si="53"/>
        <v>1.0600000023841858</v>
      </c>
      <c r="AO235" s="18">
        <f t="shared" si="54"/>
        <v>0</v>
      </c>
      <c r="AP235" s="18">
        <f t="shared" si="55"/>
        <v>0</v>
      </c>
    </row>
    <row r="236" spans="1:42" x14ac:dyDescent="0.25">
      <c r="A236" s="17">
        <v>235</v>
      </c>
      <c r="B236" s="17" t="s">
        <v>685</v>
      </c>
      <c r="C236" s="21" t="s">
        <v>283</v>
      </c>
      <c r="D236" s="17" t="s">
        <v>249</v>
      </c>
      <c r="E236" s="18">
        <v>0.5</v>
      </c>
      <c r="F236" s="18">
        <v>3</v>
      </c>
      <c r="G236" s="18">
        <v>0</v>
      </c>
      <c r="H236" s="18"/>
      <c r="I236" s="18">
        <v>2025</v>
      </c>
      <c r="J236" s="18">
        <v>0.5</v>
      </c>
      <c r="K236" s="18">
        <v>0</v>
      </c>
      <c r="L236" s="18">
        <v>0</v>
      </c>
      <c r="M236" s="18">
        <v>0</v>
      </c>
      <c r="N236" s="18">
        <v>0</v>
      </c>
      <c r="O236" s="18">
        <v>0.20000000298023224</v>
      </c>
      <c r="P236" s="19">
        <v>0.40000000596046448</v>
      </c>
      <c r="Q236" s="18">
        <v>0.30000001192092896</v>
      </c>
      <c r="R236" s="19">
        <v>0.60000002384185791</v>
      </c>
      <c r="S236" s="18">
        <v>0</v>
      </c>
      <c r="T236" s="19">
        <v>0</v>
      </c>
      <c r="U236" s="18">
        <v>0</v>
      </c>
      <c r="V236" s="19">
        <v>0</v>
      </c>
      <c r="W236">
        <f t="shared" si="42"/>
        <v>0.50000001490116119</v>
      </c>
      <c r="X236" s="19">
        <f t="shared" si="43"/>
        <v>1.0000000298023224</v>
      </c>
      <c r="Y236">
        <f t="shared" si="44"/>
        <v>0</v>
      </c>
      <c r="Z236" s="19">
        <f t="shared" si="45"/>
        <v>0</v>
      </c>
      <c r="AA236" s="19">
        <f t="shared" si="46"/>
        <v>0.15000000596046448</v>
      </c>
      <c r="AB236" t="str">
        <f t="shared" si="47"/>
        <v>Relatif Mantap</v>
      </c>
      <c r="AC236" s="19">
        <f>IF(Dashboard!$B$7="Mantap (%)",X236,IF(Dashboard!$B$7="Tidak Mantap (%)",Z236,IF(Dashboard!$B$7="Baik (%)",P236,IF(Dashboard!$B$7="Sedang (%)",R236,IF(Dashboard!$B$7="Rusak Ringan (%)",T236,IF(Dashboard!$B$7="Rusak Berat (%)",V236,AA236))))))</f>
        <v>0</v>
      </c>
      <c r="AD236" s="20">
        <f>IF(AND(AF236=1,E236&gt;=Dashboard!$B$10,IF(Dashboard!$B$9="≤ Maksimum",AC236&lt;=Dashboard!$B$8,AC236&gt;=Dashboard!$B$8)),1,0)</f>
        <v>0</v>
      </c>
      <c r="AE236" s="20" t="str">
        <f>IF(AD236=1,COUNTIFS($AD$2:$AD$351,1,$AC$2:$AC$351,"&gt;"&amp;AC236)+COUNTIFS($AD$2:AD236,1,$AC$2:AC236,AC236),"")</f>
        <v/>
      </c>
      <c r="AF236" s="20">
        <f>IF(OR(Dashboard!$B$6="Semua",ISNUMBER(SEARCH(Dashboard!$B$6,D236))),1,0)</f>
        <v>1</v>
      </c>
      <c r="AG236" s="18">
        <f t="shared" si="48"/>
        <v>0.5</v>
      </c>
      <c r="AH236" s="18">
        <f t="shared" si="49"/>
        <v>0.50000001490116119</v>
      </c>
      <c r="AI236" s="18">
        <f t="shared" si="50"/>
        <v>0</v>
      </c>
      <c r="AJ236" s="18">
        <f t="shared" si="51"/>
        <v>0</v>
      </c>
      <c r="AK236" s="20">
        <f>IF(OR(Ruas_Per_Kecamatan!$B$4="Semua",ISNUMBER(SEARCH(Ruas_Per_Kecamatan!$B$4,D236))),1,0)</f>
        <v>1</v>
      </c>
      <c r="AL236" s="20">
        <f>IF(AK236=1,COUNTIF($AK$2:AK236,1),"")</f>
        <v>235</v>
      </c>
      <c r="AM236" s="18">
        <f t="shared" si="52"/>
        <v>0.5</v>
      </c>
      <c r="AN236" s="18">
        <f t="shared" si="53"/>
        <v>0.50000001490116119</v>
      </c>
      <c r="AO236" s="18">
        <f t="shared" si="54"/>
        <v>0</v>
      </c>
      <c r="AP236" s="18">
        <f t="shared" si="55"/>
        <v>0</v>
      </c>
    </row>
    <row r="237" spans="1:42" ht="30" x14ac:dyDescent="0.25">
      <c r="A237" s="17">
        <v>236</v>
      </c>
      <c r="B237" s="17" t="s">
        <v>686</v>
      </c>
      <c r="C237" s="21" t="s">
        <v>284</v>
      </c>
      <c r="D237" s="17" t="s">
        <v>249</v>
      </c>
      <c r="E237" s="18">
        <v>0.6</v>
      </c>
      <c r="F237" s="18">
        <v>3.5</v>
      </c>
      <c r="G237" s="18">
        <v>0</v>
      </c>
      <c r="H237" s="18"/>
      <c r="I237" s="18">
        <v>2025</v>
      </c>
      <c r="J237" s="18">
        <v>0.60000002384185791</v>
      </c>
      <c r="K237" s="18">
        <v>0</v>
      </c>
      <c r="L237" s="18">
        <v>0</v>
      </c>
      <c r="M237" s="18">
        <v>0</v>
      </c>
      <c r="N237" s="18">
        <v>0</v>
      </c>
      <c r="O237" s="18">
        <v>0.60000002384185791</v>
      </c>
      <c r="P237" s="19">
        <v>1.0000000397364299</v>
      </c>
      <c r="Q237" s="18">
        <v>0</v>
      </c>
      <c r="R237" s="19">
        <v>0</v>
      </c>
      <c r="S237" s="18">
        <v>0</v>
      </c>
      <c r="T237" s="19">
        <v>0</v>
      </c>
      <c r="U237" s="18">
        <v>0</v>
      </c>
      <c r="V237" s="19">
        <v>0</v>
      </c>
      <c r="W237">
        <f t="shared" si="42"/>
        <v>0.60000002384185791</v>
      </c>
      <c r="X237" s="19">
        <f t="shared" si="43"/>
        <v>1.0000000397364299</v>
      </c>
      <c r="Y237">
        <f t="shared" si="44"/>
        <v>0</v>
      </c>
      <c r="Z237" s="19">
        <f t="shared" si="45"/>
        <v>0</v>
      </c>
      <c r="AA237" s="19">
        <f t="shared" si="46"/>
        <v>0</v>
      </c>
      <c r="AB237" t="str">
        <f t="shared" si="47"/>
        <v>Relatif Mantap</v>
      </c>
      <c r="AC237" s="19">
        <f>IF(Dashboard!$B$7="Mantap (%)",X237,IF(Dashboard!$B$7="Tidak Mantap (%)",Z237,IF(Dashboard!$B$7="Baik (%)",P237,IF(Dashboard!$B$7="Sedang (%)",R237,IF(Dashboard!$B$7="Rusak Ringan (%)",T237,IF(Dashboard!$B$7="Rusak Berat (%)",V237,AA237))))))</f>
        <v>0</v>
      </c>
      <c r="AD237" s="20">
        <f>IF(AND(AF237=1,E237&gt;=Dashboard!$B$10,IF(Dashboard!$B$9="≤ Maksimum",AC237&lt;=Dashboard!$B$8,AC237&gt;=Dashboard!$B$8)),1,0)</f>
        <v>0</v>
      </c>
      <c r="AE237" s="20" t="str">
        <f>IF(AD237=1,COUNTIFS($AD$2:$AD$351,1,$AC$2:$AC$351,"&gt;"&amp;AC237)+COUNTIFS($AD$2:AD237,1,$AC$2:AC237,AC237),"")</f>
        <v/>
      </c>
      <c r="AF237" s="20">
        <f>IF(OR(Dashboard!$B$6="Semua",ISNUMBER(SEARCH(Dashboard!$B$6,D237))),1,0)</f>
        <v>1</v>
      </c>
      <c r="AG237" s="18">
        <f t="shared" si="48"/>
        <v>0.6</v>
      </c>
      <c r="AH237" s="18">
        <f t="shared" si="49"/>
        <v>0.60000002384185791</v>
      </c>
      <c r="AI237" s="18">
        <f t="shared" si="50"/>
        <v>0</v>
      </c>
      <c r="AJ237" s="18">
        <f t="shared" si="51"/>
        <v>0</v>
      </c>
      <c r="AK237" s="20">
        <f>IF(OR(Ruas_Per_Kecamatan!$B$4="Semua",ISNUMBER(SEARCH(Ruas_Per_Kecamatan!$B$4,D237))),1,0)</f>
        <v>1</v>
      </c>
      <c r="AL237" s="20">
        <f>IF(AK237=1,COUNTIF($AK$2:AK237,1),"")</f>
        <v>236</v>
      </c>
      <c r="AM237" s="18">
        <f t="shared" si="52"/>
        <v>0.6</v>
      </c>
      <c r="AN237" s="18">
        <f t="shared" si="53"/>
        <v>0.60000002384185791</v>
      </c>
      <c r="AO237" s="18">
        <f t="shared" si="54"/>
        <v>0</v>
      </c>
      <c r="AP237" s="18">
        <f t="shared" si="55"/>
        <v>0</v>
      </c>
    </row>
    <row r="238" spans="1:42" x14ac:dyDescent="0.25">
      <c r="A238" s="17">
        <v>237</v>
      </c>
      <c r="B238" s="17" t="s">
        <v>687</v>
      </c>
      <c r="C238" s="21" t="s">
        <v>285</v>
      </c>
      <c r="D238" s="17" t="s">
        <v>249</v>
      </c>
      <c r="E238" s="18">
        <v>0.52</v>
      </c>
      <c r="F238" s="18">
        <v>3</v>
      </c>
      <c r="G238" s="18">
        <v>0</v>
      </c>
      <c r="H238" s="18"/>
      <c r="I238" s="18">
        <v>2025</v>
      </c>
      <c r="J238" s="18">
        <v>0.51999998092651367</v>
      </c>
      <c r="K238" s="18">
        <v>0</v>
      </c>
      <c r="L238" s="18">
        <v>0</v>
      </c>
      <c r="M238" s="18">
        <v>0</v>
      </c>
      <c r="N238" s="18">
        <v>0</v>
      </c>
      <c r="O238" s="18">
        <v>0.41999998688697815</v>
      </c>
      <c r="P238" s="19">
        <v>0.80769228247495795</v>
      </c>
      <c r="Q238" s="18">
        <v>0.10000000149011612</v>
      </c>
      <c r="R238" s="19">
        <v>0.19230769517330024</v>
      </c>
      <c r="S238" s="18">
        <v>0</v>
      </c>
      <c r="T238" s="19">
        <v>0</v>
      </c>
      <c r="U238" s="18">
        <v>0</v>
      </c>
      <c r="V238" s="19">
        <v>0</v>
      </c>
      <c r="W238">
        <f t="shared" si="42"/>
        <v>0.51999998837709427</v>
      </c>
      <c r="X238" s="19">
        <f t="shared" si="43"/>
        <v>0.99999997764825821</v>
      </c>
      <c r="Y238">
        <f t="shared" si="44"/>
        <v>0</v>
      </c>
      <c r="Z238" s="19">
        <f t="shared" si="45"/>
        <v>0</v>
      </c>
      <c r="AA238" s="19">
        <f t="shared" si="46"/>
        <v>4.8076923793325059E-2</v>
      </c>
      <c r="AB238" t="str">
        <f t="shared" si="47"/>
        <v>Relatif Mantap</v>
      </c>
      <c r="AC238" s="19">
        <f>IF(Dashboard!$B$7="Mantap (%)",X238,IF(Dashboard!$B$7="Tidak Mantap (%)",Z238,IF(Dashboard!$B$7="Baik (%)",P238,IF(Dashboard!$B$7="Sedang (%)",R238,IF(Dashboard!$B$7="Rusak Ringan (%)",T238,IF(Dashboard!$B$7="Rusak Berat (%)",V238,AA238))))))</f>
        <v>0</v>
      </c>
      <c r="AD238" s="20">
        <f>IF(AND(AF238=1,E238&gt;=Dashboard!$B$10,IF(Dashboard!$B$9="≤ Maksimum",AC238&lt;=Dashboard!$B$8,AC238&gt;=Dashboard!$B$8)),1,0)</f>
        <v>0</v>
      </c>
      <c r="AE238" s="20" t="str">
        <f>IF(AD238=1,COUNTIFS($AD$2:$AD$351,1,$AC$2:$AC$351,"&gt;"&amp;AC238)+COUNTIFS($AD$2:AD238,1,$AC$2:AC238,AC238),"")</f>
        <v/>
      </c>
      <c r="AF238" s="20">
        <f>IF(OR(Dashboard!$B$6="Semua",ISNUMBER(SEARCH(Dashboard!$B$6,D238))),1,0)</f>
        <v>1</v>
      </c>
      <c r="AG238" s="18">
        <f t="shared" si="48"/>
        <v>0.52</v>
      </c>
      <c r="AH238" s="18">
        <f t="shared" si="49"/>
        <v>0.51999998837709427</v>
      </c>
      <c r="AI238" s="18">
        <f t="shared" si="50"/>
        <v>0</v>
      </c>
      <c r="AJ238" s="18">
        <f t="shared" si="51"/>
        <v>0</v>
      </c>
      <c r="AK238" s="20">
        <f>IF(OR(Ruas_Per_Kecamatan!$B$4="Semua",ISNUMBER(SEARCH(Ruas_Per_Kecamatan!$B$4,D238))),1,0)</f>
        <v>1</v>
      </c>
      <c r="AL238" s="20">
        <f>IF(AK238=1,COUNTIF($AK$2:AK238,1),"")</f>
        <v>237</v>
      </c>
      <c r="AM238" s="18">
        <f t="shared" si="52"/>
        <v>0.52</v>
      </c>
      <c r="AN238" s="18">
        <f t="shared" si="53"/>
        <v>0.51999998837709427</v>
      </c>
      <c r="AO238" s="18">
        <f t="shared" si="54"/>
        <v>0</v>
      </c>
      <c r="AP238" s="18">
        <f t="shared" si="55"/>
        <v>0</v>
      </c>
    </row>
    <row r="239" spans="1:42" x14ac:dyDescent="0.25">
      <c r="A239" s="17">
        <v>238</v>
      </c>
      <c r="B239" s="17" t="s">
        <v>688</v>
      </c>
      <c r="C239" s="21" t="s">
        <v>286</v>
      </c>
      <c r="D239" s="17" t="s">
        <v>249</v>
      </c>
      <c r="E239" s="18">
        <v>0.47</v>
      </c>
      <c r="F239" s="18">
        <v>3</v>
      </c>
      <c r="G239" s="18">
        <v>0</v>
      </c>
      <c r="H239" s="18"/>
      <c r="I239" s="18">
        <v>2025</v>
      </c>
      <c r="J239" s="18">
        <v>0.4699999988079071</v>
      </c>
      <c r="K239" s="18">
        <v>0</v>
      </c>
      <c r="L239" s="18">
        <v>0</v>
      </c>
      <c r="M239" s="18">
        <v>0</v>
      </c>
      <c r="N239" s="18">
        <v>0</v>
      </c>
      <c r="O239" s="18">
        <v>0.10000000149011612</v>
      </c>
      <c r="P239" s="19">
        <v>0.21276596061726835</v>
      </c>
      <c r="Q239" s="18">
        <v>0.37000000476837158</v>
      </c>
      <c r="R239" s="19">
        <v>0.78723405269866298</v>
      </c>
      <c r="S239" s="18">
        <v>0</v>
      </c>
      <c r="T239" s="19">
        <v>0</v>
      </c>
      <c r="U239" s="18">
        <v>0</v>
      </c>
      <c r="V239" s="19">
        <v>0</v>
      </c>
      <c r="W239">
        <f t="shared" si="42"/>
        <v>0.4700000062584877</v>
      </c>
      <c r="X239" s="19">
        <f t="shared" si="43"/>
        <v>1.0000000133159312</v>
      </c>
      <c r="Y239">
        <f t="shared" si="44"/>
        <v>0</v>
      </c>
      <c r="Z239" s="19">
        <f t="shared" si="45"/>
        <v>0</v>
      </c>
      <c r="AA239" s="19">
        <f t="shared" si="46"/>
        <v>0.19680851317466574</v>
      </c>
      <c r="AB239" t="str">
        <f t="shared" si="47"/>
        <v>Relatif Mantap</v>
      </c>
      <c r="AC239" s="19">
        <f>IF(Dashboard!$B$7="Mantap (%)",X239,IF(Dashboard!$B$7="Tidak Mantap (%)",Z239,IF(Dashboard!$B$7="Baik (%)",P239,IF(Dashboard!$B$7="Sedang (%)",R239,IF(Dashboard!$B$7="Rusak Ringan (%)",T239,IF(Dashboard!$B$7="Rusak Berat (%)",V239,AA239))))))</f>
        <v>0</v>
      </c>
      <c r="AD239" s="20">
        <f>IF(AND(AF239=1,E239&gt;=Dashboard!$B$10,IF(Dashboard!$B$9="≤ Maksimum",AC239&lt;=Dashboard!$B$8,AC239&gt;=Dashboard!$B$8)),1,0)</f>
        <v>0</v>
      </c>
      <c r="AE239" s="20" t="str">
        <f>IF(AD239=1,COUNTIFS($AD$2:$AD$351,1,$AC$2:$AC$351,"&gt;"&amp;AC239)+COUNTIFS($AD$2:AD239,1,$AC$2:AC239,AC239),"")</f>
        <v/>
      </c>
      <c r="AF239" s="20">
        <f>IF(OR(Dashboard!$B$6="Semua",ISNUMBER(SEARCH(Dashboard!$B$6,D239))),1,0)</f>
        <v>1</v>
      </c>
      <c r="AG239" s="18">
        <f t="shared" si="48"/>
        <v>0.47</v>
      </c>
      <c r="AH239" s="18">
        <f t="shared" si="49"/>
        <v>0.4700000062584877</v>
      </c>
      <c r="AI239" s="18">
        <f t="shared" si="50"/>
        <v>0</v>
      </c>
      <c r="AJ239" s="18">
        <f t="shared" si="51"/>
        <v>0</v>
      </c>
      <c r="AK239" s="20">
        <f>IF(OR(Ruas_Per_Kecamatan!$B$4="Semua",ISNUMBER(SEARCH(Ruas_Per_Kecamatan!$B$4,D239))),1,0)</f>
        <v>1</v>
      </c>
      <c r="AL239" s="20">
        <f>IF(AK239=1,COUNTIF($AK$2:AK239,1),"")</f>
        <v>238</v>
      </c>
      <c r="AM239" s="18">
        <f t="shared" si="52"/>
        <v>0.47</v>
      </c>
      <c r="AN239" s="18">
        <f t="shared" si="53"/>
        <v>0.4700000062584877</v>
      </c>
      <c r="AO239" s="18">
        <f t="shared" si="54"/>
        <v>0</v>
      </c>
      <c r="AP239" s="18">
        <f t="shared" si="55"/>
        <v>0</v>
      </c>
    </row>
    <row r="240" spans="1:42" x14ac:dyDescent="0.25">
      <c r="A240" s="17">
        <v>239</v>
      </c>
      <c r="B240" s="17" t="s">
        <v>689</v>
      </c>
      <c r="C240" s="21" t="s">
        <v>287</v>
      </c>
      <c r="D240" s="17" t="s">
        <v>249</v>
      </c>
      <c r="E240" s="18">
        <v>0.3</v>
      </c>
      <c r="F240" s="18">
        <v>3</v>
      </c>
      <c r="G240" s="18">
        <v>0</v>
      </c>
      <c r="H240" s="18"/>
      <c r="I240" s="18">
        <v>2025</v>
      </c>
      <c r="J240" s="18">
        <v>0.30000001192092896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9">
        <v>0</v>
      </c>
      <c r="Q240" s="18">
        <v>0.10000000149011612</v>
      </c>
      <c r="R240" s="19">
        <v>0.33333333830038708</v>
      </c>
      <c r="S240" s="18">
        <v>0.20000000298023224</v>
      </c>
      <c r="T240" s="19">
        <v>0.66666667660077417</v>
      </c>
      <c r="U240" s="18">
        <v>0</v>
      </c>
      <c r="V240" s="19">
        <v>0</v>
      </c>
      <c r="W240">
        <f t="shared" si="42"/>
        <v>0.10000000149011612</v>
      </c>
      <c r="X240" s="19">
        <f t="shared" si="43"/>
        <v>0.33333333830038708</v>
      </c>
      <c r="Y240">
        <f t="shared" si="44"/>
        <v>0.20000000298023224</v>
      </c>
      <c r="Z240" s="19">
        <f t="shared" si="45"/>
        <v>0.66666667660077417</v>
      </c>
      <c r="AA240" s="19">
        <f t="shared" si="46"/>
        <v>0.48333334053556126</v>
      </c>
      <c r="AB240" t="str">
        <f t="shared" si="47"/>
        <v>Tidak Mantap Tinggi</v>
      </c>
      <c r="AC240" s="19">
        <f>IF(Dashboard!$B$7="Mantap (%)",X240,IF(Dashboard!$B$7="Tidak Mantap (%)",Z240,IF(Dashboard!$B$7="Baik (%)",P240,IF(Dashboard!$B$7="Sedang (%)",R240,IF(Dashboard!$B$7="Rusak Ringan (%)",T240,IF(Dashboard!$B$7="Rusak Berat (%)",V240,AA240))))))</f>
        <v>0.66666667660077417</v>
      </c>
      <c r="AD240" s="20">
        <f>IF(AND(AF240=1,E240&gt;=Dashboard!$B$10,IF(Dashboard!$B$9="≤ Maksimum",AC240&lt;=Dashboard!$B$8,AC240&gt;=Dashboard!$B$8)),1,0)</f>
        <v>1</v>
      </c>
      <c r="AE240" s="20">
        <f>IF(AD240=1,COUNTIFS($AD$2:$AD$351,1,$AC$2:$AC$351,"&gt;"&amp;AC240)+COUNTIFS($AD$2:AD240,1,$AC$2:AC240,AC240),"")</f>
        <v>95</v>
      </c>
      <c r="AF240" s="20">
        <f>IF(OR(Dashboard!$B$6="Semua",ISNUMBER(SEARCH(Dashboard!$B$6,D240))),1,0)</f>
        <v>1</v>
      </c>
      <c r="AG240" s="18">
        <f t="shared" si="48"/>
        <v>0.3</v>
      </c>
      <c r="AH240" s="18">
        <f t="shared" si="49"/>
        <v>0.10000000149011612</v>
      </c>
      <c r="AI240" s="18">
        <f t="shared" si="50"/>
        <v>0.20000000298023224</v>
      </c>
      <c r="AJ240" s="18">
        <f t="shared" si="51"/>
        <v>0</v>
      </c>
      <c r="AK240" s="20">
        <f>IF(OR(Ruas_Per_Kecamatan!$B$4="Semua",ISNUMBER(SEARCH(Ruas_Per_Kecamatan!$B$4,D240))),1,0)</f>
        <v>1</v>
      </c>
      <c r="AL240" s="20">
        <f>IF(AK240=1,COUNTIF($AK$2:AK240,1),"")</f>
        <v>239</v>
      </c>
      <c r="AM240" s="18">
        <f t="shared" si="52"/>
        <v>0.3</v>
      </c>
      <c r="AN240" s="18">
        <f t="shared" si="53"/>
        <v>0.10000000149011612</v>
      </c>
      <c r="AO240" s="18">
        <f t="shared" si="54"/>
        <v>0.20000000298023224</v>
      </c>
      <c r="AP240" s="18">
        <f t="shared" si="55"/>
        <v>0</v>
      </c>
    </row>
    <row r="241" spans="1:42" x14ac:dyDescent="0.25">
      <c r="A241" s="17">
        <v>240</v>
      </c>
      <c r="B241" s="17" t="s">
        <v>690</v>
      </c>
      <c r="C241" s="21" t="s">
        <v>288</v>
      </c>
      <c r="D241" s="17" t="s">
        <v>249</v>
      </c>
      <c r="E241" s="18">
        <v>0.5</v>
      </c>
      <c r="F241" s="18">
        <v>3</v>
      </c>
      <c r="G241" s="18">
        <v>0</v>
      </c>
      <c r="H241" s="18"/>
      <c r="I241" s="18">
        <v>2025</v>
      </c>
      <c r="J241" s="18">
        <v>0.5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9">
        <v>0</v>
      </c>
      <c r="Q241" s="18">
        <v>0.5</v>
      </c>
      <c r="R241" s="19">
        <v>1</v>
      </c>
      <c r="S241" s="18">
        <v>0</v>
      </c>
      <c r="T241" s="19">
        <v>0</v>
      </c>
      <c r="U241" s="18">
        <v>0</v>
      </c>
      <c r="V241" s="19">
        <v>0</v>
      </c>
      <c r="W241">
        <f t="shared" si="42"/>
        <v>0.5</v>
      </c>
      <c r="X241" s="19">
        <f t="shared" si="43"/>
        <v>1</v>
      </c>
      <c r="Y241">
        <f t="shared" si="44"/>
        <v>0</v>
      </c>
      <c r="Z241" s="19">
        <f t="shared" si="45"/>
        <v>0</v>
      </c>
      <c r="AA241" s="19">
        <f t="shared" si="46"/>
        <v>0.25</v>
      </c>
      <c r="AB241" t="str">
        <f t="shared" si="47"/>
        <v>Relatif Mantap</v>
      </c>
      <c r="AC241" s="19">
        <f>IF(Dashboard!$B$7="Mantap (%)",X241,IF(Dashboard!$B$7="Tidak Mantap (%)",Z241,IF(Dashboard!$B$7="Baik (%)",P241,IF(Dashboard!$B$7="Sedang (%)",R241,IF(Dashboard!$B$7="Rusak Ringan (%)",T241,IF(Dashboard!$B$7="Rusak Berat (%)",V241,AA241))))))</f>
        <v>0</v>
      </c>
      <c r="AD241" s="20">
        <f>IF(AND(AF241=1,E241&gt;=Dashboard!$B$10,IF(Dashboard!$B$9="≤ Maksimum",AC241&lt;=Dashboard!$B$8,AC241&gt;=Dashboard!$B$8)),1,0)</f>
        <v>0</v>
      </c>
      <c r="AE241" s="20" t="str">
        <f>IF(AD241=1,COUNTIFS($AD$2:$AD$351,1,$AC$2:$AC$351,"&gt;"&amp;AC241)+COUNTIFS($AD$2:AD241,1,$AC$2:AC241,AC241),"")</f>
        <v/>
      </c>
      <c r="AF241" s="20">
        <f>IF(OR(Dashboard!$B$6="Semua",ISNUMBER(SEARCH(Dashboard!$B$6,D241))),1,0)</f>
        <v>1</v>
      </c>
      <c r="AG241" s="18">
        <f t="shared" si="48"/>
        <v>0.5</v>
      </c>
      <c r="AH241" s="18">
        <f t="shared" si="49"/>
        <v>0.5</v>
      </c>
      <c r="AI241" s="18">
        <f t="shared" si="50"/>
        <v>0</v>
      </c>
      <c r="AJ241" s="18">
        <f t="shared" si="51"/>
        <v>0</v>
      </c>
      <c r="AK241" s="20">
        <f>IF(OR(Ruas_Per_Kecamatan!$B$4="Semua",ISNUMBER(SEARCH(Ruas_Per_Kecamatan!$B$4,D241))),1,0)</f>
        <v>1</v>
      </c>
      <c r="AL241" s="20">
        <f>IF(AK241=1,COUNTIF($AK$2:AK241,1),"")</f>
        <v>240</v>
      </c>
      <c r="AM241" s="18">
        <f t="shared" si="52"/>
        <v>0.5</v>
      </c>
      <c r="AN241" s="18">
        <f t="shared" si="53"/>
        <v>0.5</v>
      </c>
      <c r="AO241" s="18">
        <f t="shared" si="54"/>
        <v>0</v>
      </c>
      <c r="AP241" s="18">
        <f t="shared" si="55"/>
        <v>0</v>
      </c>
    </row>
    <row r="242" spans="1:42" x14ac:dyDescent="0.25">
      <c r="A242" s="17">
        <v>241</v>
      </c>
      <c r="B242" s="17" t="s">
        <v>691</v>
      </c>
      <c r="C242" s="21" t="s">
        <v>289</v>
      </c>
      <c r="D242" s="17" t="s">
        <v>249</v>
      </c>
      <c r="E242" s="18">
        <v>0.83</v>
      </c>
      <c r="F242" s="18">
        <v>3</v>
      </c>
      <c r="G242" s="18">
        <v>0</v>
      </c>
      <c r="H242" s="18"/>
      <c r="I242" s="18">
        <v>2025</v>
      </c>
      <c r="J242" s="18">
        <v>0.82999998331069946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9">
        <v>0</v>
      </c>
      <c r="Q242" s="18">
        <v>0</v>
      </c>
      <c r="R242" s="19">
        <v>0</v>
      </c>
      <c r="S242" s="18">
        <v>0</v>
      </c>
      <c r="T242" s="19">
        <v>0</v>
      </c>
      <c r="U242" s="18">
        <v>0.82999998331069946</v>
      </c>
      <c r="V242" s="19">
        <v>0.99999997989240907</v>
      </c>
      <c r="W242">
        <f t="shared" si="42"/>
        <v>0</v>
      </c>
      <c r="X242" s="19">
        <f t="shared" si="43"/>
        <v>0</v>
      </c>
      <c r="Y242">
        <f t="shared" si="44"/>
        <v>0.82999998331069946</v>
      </c>
      <c r="Z242" s="19">
        <f t="shared" si="45"/>
        <v>0.99999997989240907</v>
      </c>
      <c r="AA242" s="19">
        <f t="shared" si="46"/>
        <v>0.99999997989240907</v>
      </c>
      <c r="AB242" t="str">
        <f t="shared" si="47"/>
        <v>Rusak Berat Dominan</v>
      </c>
      <c r="AC242" s="19">
        <f>IF(Dashboard!$B$7="Mantap (%)",X242,IF(Dashboard!$B$7="Tidak Mantap (%)",Z242,IF(Dashboard!$B$7="Baik (%)",P242,IF(Dashboard!$B$7="Sedang (%)",R242,IF(Dashboard!$B$7="Rusak Ringan (%)",T242,IF(Dashboard!$B$7="Rusak Berat (%)",V242,AA242))))))</f>
        <v>0.99999997989240907</v>
      </c>
      <c r="AD242" s="20">
        <f>IF(AND(AF242=1,E242&gt;=Dashboard!$B$10,IF(Dashboard!$B$9="≤ Maksimum",AC242&lt;=Dashboard!$B$8,AC242&gt;=Dashboard!$B$8)),1,0)</f>
        <v>1</v>
      </c>
      <c r="AE242" s="20">
        <f>IF(AD242=1,COUNTIFS($AD$2:$AD$351,1,$AC$2:$AC$351,"&gt;"&amp;AC242)+COUNTIFS($AD$2:AD242,1,$AC$2:AC242,AC242),"")</f>
        <v>39</v>
      </c>
      <c r="AF242" s="20">
        <f>IF(OR(Dashboard!$B$6="Semua",ISNUMBER(SEARCH(Dashboard!$B$6,D242))),1,0)</f>
        <v>1</v>
      </c>
      <c r="AG242" s="18">
        <f t="shared" si="48"/>
        <v>0.83</v>
      </c>
      <c r="AH242" s="18">
        <f t="shared" si="49"/>
        <v>0</v>
      </c>
      <c r="AI242" s="18">
        <f t="shared" si="50"/>
        <v>0.82999998331069946</v>
      </c>
      <c r="AJ242" s="18">
        <f t="shared" si="51"/>
        <v>0.82999998331069946</v>
      </c>
      <c r="AK242" s="20">
        <f>IF(OR(Ruas_Per_Kecamatan!$B$4="Semua",ISNUMBER(SEARCH(Ruas_Per_Kecamatan!$B$4,D242))),1,0)</f>
        <v>1</v>
      </c>
      <c r="AL242" s="20">
        <f>IF(AK242=1,COUNTIF($AK$2:AK242,1),"")</f>
        <v>241</v>
      </c>
      <c r="AM242" s="18">
        <f t="shared" si="52"/>
        <v>0.83</v>
      </c>
      <c r="AN242" s="18">
        <f t="shared" si="53"/>
        <v>0</v>
      </c>
      <c r="AO242" s="18">
        <f t="shared" si="54"/>
        <v>0.82999998331069946</v>
      </c>
      <c r="AP242" s="18">
        <f t="shared" si="55"/>
        <v>0.82999998331069946</v>
      </c>
    </row>
    <row r="243" spans="1:42" x14ac:dyDescent="0.25">
      <c r="A243" s="17">
        <v>242</v>
      </c>
      <c r="B243" s="17" t="s">
        <v>692</v>
      </c>
      <c r="C243" s="21" t="s">
        <v>290</v>
      </c>
      <c r="D243" s="17" t="s">
        <v>249</v>
      </c>
      <c r="E243" s="18">
        <v>1.05</v>
      </c>
      <c r="F243" s="18">
        <v>3.5</v>
      </c>
      <c r="G243" s="18">
        <v>0</v>
      </c>
      <c r="H243" s="18"/>
      <c r="I243" s="18">
        <v>2025</v>
      </c>
      <c r="J243" s="18">
        <v>0</v>
      </c>
      <c r="K243" s="18">
        <v>0</v>
      </c>
      <c r="L243" s="18">
        <v>0</v>
      </c>
      <c r="M243" s="18">
        <v>1.0499999523162842</v>
      </c>
      <c r="N243" s="18">
        <v>0</v>
      </c>
      <c r="O243" s="18">
        <v>0</v>
      </c>
      <c r="P243" s="19">
        <v>0</v>
      </c>
      <c r="Q243" s="18">
        <v>0</v>
      </c>
      <c r="R243" s="19">
        <v>0</v>
      </c>
      <c r="S243" s="18">
        <v>0</v>
      </c>
      <c r="T243" s="19">
        <v>0</v>
      </c>
      <c r="U243" s="18">
        <v>1.0499999523162842</v>
      </c>
      <c r="V243" s="19">
        <v>0.99999995458693725</v>
      </c>
      <c r="W243">
        <f t="shared" si="42"/>
        <v>0</v>
      </c>
      <c r="X243" s="19">
        <f t="shared" si="43"/>
        <v>0</v>
      </c>
      <c r="Y243">
        <f t="shared" si="44"/>
        <v>1.0499999523162842</v>
      </c>
      <c r="Z243" s="19">
        <f t="shared" si="45"/>
        <v>0.99999995458693725</v>
      </c>
      <c r="AA243" s="19">
        <f t="shared" si="46"/>
        <v>0.99999995458693725</v>
      </c>
      <c r="AB243" t="str">
        <f t="shared" si="47"/>
        <v>Rusak Berat Dominan</v>
      </c>
      <c r="AC243" s="19">
        <f>IF(Dashboard!$B$7="Mantap (%)",X243,IF(Dashboard!$B$7="Tidak Mantap (%)",Z243,IF(Dashboard!$B$7="Baik (%)",P243,IF(Dashboard!$B$7="Sedang (%)",R243,IF(Dashboard!$B$7="Rusak Ringan (%)",T243,IF(Dashboard!$B$7="Rusak Berat (%)",V243,AA243))))))</f>
        <v>0.99999995458693725</v>
      </c>
      <c r="AD243" s="20">
        <f>IF(AND(AF243=1,E243&gt;=Dashboard!$B$10,IF(Dashboard!$B$9="≤ Maksimum",AC243&lt;=Dashboard!$B$8,AC243&gt;=Dashboard!$B$8)),1,0)</f>
        <v>1</v>
      </c>
      <c r="AE243" s="20">
        <f>IF(AD243=1,COUNTIFS($AD$2:$AD$351,1,$AC$2:$AC$351,"&gt;"&amp;AC243)+COUNTIFS($AD$2:AD243,1,$AC$2:AC243,AC243),"")</f>
        <v>48</v>
      </c>
      <c r="AF243" s="20">
        <f>IF(OR(Dashboard!$B$6="Semua",ISNUMBER(SEARCH(Dashboard!$B$6,D243))),1,0)</f>
        <v>1</v>
      </c>
      <c r="AG243" s="18">
        <f t="shared" si="48"/>
        <v>1.05</v>
      </c>
      <c r="AH243" s="18">
        <f t="shared" si="49"/>
        <v>0</v>
      </c>
      <c r="AI243" s="18">
        <f t="shared" si="50"/>
        <v>1.0499999523162842</v>
      </c>
      <c r="AJ243" s="18">
        <f t="shared" si="51"/>
        <v>1.0499999523162842</v>
      </c>
      <c r="AK243" s="20">
        <f>IF(OR(Ruas_Per_Kecamatan!$B$4="Semua",ISNUMBER(SEARCH(Ruas_Per_Kecamatan!$B$4,D243))),1,0)</f>
        <v>1</v>
      </c>
      <c r="AL243" s="20">
        <f>IF(AK243=1,COUNTIF($AK$2:AK243,1),"")</f>
        <v>242</v>
      </c>
      <c r="AM243" s="18">
        <f t="shared" si="52"/>
        <v>1.05</v>
      </c>
      <c r="AN243" s="18">
        <f t="shared" si="53"/>
        <v>0</v>
      </c>
      <c r="AO243" s="18">
        <f t="shared" si="54"/>
        <v>1.0499999523162842</v>
      </c>
      <c r="AP243" s="18">
        <f t="shared" si="55"/>
        <v>1.0499999523162842</v>
      </c>
    </row>
    <row r="244" spans="1:42" ht="30" x14ac:dyDescent="0.25">
      <c r="A244" s="17">
        <v>243</v>
      </c>
      <c r="B244" s="17" t="s">
        <v>693</v>
      </c>
      <c r="C244" s="21" t="s">
        <v>291</v>
      </c>
      <c r="D244" s="17" t="s">
        <v>249</v>
      </c>
      <c r="E244" s="18">
        <v>1.39</v>
      </c>
      <c r="F244" s="18">
        <v>3</v>
      </c>
      <c r="G244" s="18">
        <v>0</v>
      </c>
      <c r="H244" s="18"/>
      <c r="I244" s="18">
        <v>2025</v>
      </c>
      <c r="J244" s="18">
        <v>1.3899999856948853</v>
      </c>
      <c r="K244" s="18">
        <v>0</v>
      </c>
      <c r="L244" s="18">
        <v>0</v>
      </c>
      <c r="M244" s="18">
        <v>0</v>
      </c>
      <c r="N244" s="18">
        <v>0</v>
      </c>
      <c r="O244" s="18">
        <v>0.40000000596046448</v>
      </c>
      <c r="P244" s="19">
        <v>0.28776978846076584</v>
      </c>
      <c r="Q244" s="18">
        <v>0.49000000953674316</v>
      </c>
      <c r="R244" s="19">
        <v>0.35251799247247712</v>
      </c>
      <c r="S244" s="18">
        <v>0.5</v>
      </c>
      <c r="T244" s="19">
        <v>0.35971223021582738</v>
      </c>
      <c r="U244" s="18">
        <v>0</v>
      </c>
      <c r="V244" s="19">
        <v>0</v>
      </c>
      <c r="W244">
        <f t="shared" si="42"/>
        <v>0.89000001549720764</v>
      </c>
      <c r="X244" s="19">
        <f t="shared" si="43"/>
        <v>0.6402877809332429</v>
      </c>
      <c r="Y244">
        <f t="shared" si="44"/>
        <v>0.5</v>
      </c>
      <c r="Z244" s="19">
        <f t="shared" si="45"/>
        <v>0.35971223021582738</v>
      </c>
      <c r="AA244" s="19">
        <f t="shared" si="46"/>
        <v>0.30395683624761571</v>
      </c>
      <c r="AB244" t="str">
        <f t="shared" si="47"/>
        <v>Tidak Mantap Sedang</v>
      </c>
      <c r="AC244" s="19">
        <f>IF(Dashboard!$B$7="Mantap (%)",X244,IF(Dashboard!$B$7="Tidak Mantap (%)",Z244,IF(Dashboard!$B$7="Baik (%)",P244,IF(Dashboard!$B$7="Sedang (%)",R244,IF(Dashboard!$B$7="Rusak Ringan (%)",T244,IF(Dashboard!$B$7="Rusak Berat (%)",V244,AA244))))))</f>
        <v>0.35971223021582738</v>
      </c>
      <c r="AD244" s="20">
        <f>IF(AND(AF244=1,E244&gt;=Dashboard!$B$10,IF(Dashboard!$B$9="≤ Maksimum",AC244&lt;=Dashboard!$B$8,AC244&gt;=Dashboard!$B$8)),1,0)</f>
        <v>1</v>
      </c>
      <c r="AE244" s="20">
        <f>IF(AD244=1,COUNTIFS($AD$2:$AD$351,1,$AC$2:$AC$351,"&gt;"&amp;AC244)+COUNTIFS($AD$2:AD244,1,$AC$2:AC244,AC244),"")</f>
        <v>157</v>
      </c>
      <c r="AF244" s="20">
        <f>IF(OR(Dashboard!$B$6="Semua",ISNUMBER(SEARCH(Dashboard!$B$6,D244))),1,0)</f>
        <v>1</v>
      </c>
      <c r="AG244" s="18">
        <f t="shared" si="48"/>
        <v>1.39</v>
      </c>
      <c r="AH244" s="18">
        <f t="shared" si="49"/>
        <v>0.89000001549720764</v>
      </c>
      <c r="AI244" s="18">
        <f t="shared" si="50"/>
        <v>0.5</v>
      </c>
      <c r="AJ244" s="18">
        <f t="shared" si="51"/>
        <v>0</v>
      </c>
      <c r="AK244" s="20">
        <f>IF(OR(Ruas_Per_Kecamatan!$B$4="Semua",ISNUMBER(SEARCH(Ruas_Per_Kecamatan!$B$4,D244))),1,0)</f>
        <v>1</v>
      </c>
      <c r="AL244" s="20">
        <f>IF(AK244=1,COUNTIF($AK$2:AK244,1),"")</f>
        <v>243</v>
      </c>
      <c r="AM244" s="18">
        <f t="shared" si="52"/>
        <v>1.39</v>
      </c>
      <c r="AN244" s="18">
        <f t="shared" si="53"/>
        <v>0.89000001549720764</v>
      </c>
      <c r="AO244" s="18">
        <f t="shared" si="54"/>
        <v>0.5</v>
      </c>
      <c r="AP244" s="18">
        <f t="shared" si="55"/>
        <v>0</v>
      </c>
    </row>
    <row r="245" spans="1:42" x14ac:dyDescent="0.25">
      <c r="A245" s="17">
        <v>244</v>
      </c>
      <c r="B245" s="17" t="s">
        <v>694</v>
      </c>
      <c r="C245" s="21" t="s">
        <v>292</v>
      </c>
      <c r="D245" s="17" t="s">
        <v>249</v>
      </c>
      <c r="E245" s="18">
        <v>0.34</v>
      </c>
      <c r="F245" s="18">
        <v>3</v>
      </c>
      <c r="G245" s="18">
        <v>0</v>
      </c>
      <c r="H245" s="18"/>
      <c r="I245" s="18">
        <v>2025</v>
      </c>
      <c r="J245" s="18">
        <v>0.34000000357627869</v>
      </c>
      <c r="K245" s="18">
        <v>0</v>
      </c>
      <c r="L245" s="18">
        <v>0</v>
      </c>
      <c r="M245" s="18">
        <v>0</v>
      </c>
      <c r="N245" s="18">
        <v>0</v>
      </c>
      <c r="O245" s="18">
        <v>0.23999999463558197</v>
      </c>
      <c r="P245" s="19">
        <v>0.70588233716347637</v>
      </c>
      <c r="Q245" s="18">
        <v>0.10000000149011612</v>
      </c>
      <c r="R245" s="19">
        <v>0.29411765144151797</v>
      </c>
      <c r="S245" s="18">
        <v>0</v>
      </c>
      <c r="T245" s="19">
        <v>0</v>
      </c>
      <c r="U245" s="18">
        <v>0</v>
      </c>
      <c r="V245" s="19">
        <v>0</v>
      </c>
      <c r="W245">
        <f t="shared" si="42"/>
        <v>0.33999999612569809</v>
      </c>
      <c r="X245" s="19">
        <f t="shared" si="43"/>
        <v>0.99999998860499428</v>
      </c>
      <c r="Y245">
        <f t="shared" si="44"/>
        <v>0</v>
      </c>
      <c r="Z245" s="19">
        <f t="shared" si="45"/>
        <v>0</v>
      </c>
      <c r="AA245" s="19">
        <f t="shared" si="46"/>
        <v>7.3529412860379492E-2</v>
      </c>
      <c r="AB245" t="str">
        <f t="shared" si="47"/>
        <v>Relatif Mantap</v>
      </c>
      <c r="AC245" s="19">
        <f>IF(Dashboard!$B$7="Mantap (%)",X245,IF(Dashboard!$B$7="Tidak Mantap (%)",Z245,IF(Dashboard!$B$7="Baik (%)",P245,IF(Dashboard!$B$7="Sedang (%)",R245,IF(Dashboard!$B$7="Rusak Ringan (%)",T245,IF(Dashboard!$B$7="Rusak Berat (%)",V245,AA245))))))</f>
        <v>0</v>
      </c>
      <c r="AD245" s="20">
        <f>IF(AND(AF245=1,E245&gt;=Dashboard!$B$10,IF(Dashboard!$B$9="≤ Maksimum",AC245&lt;=Dashboard!$B$8,AC245&gt;=Dashboard!$B$8)),1,0)</f>
        <v>0</v>
      </c>
      <c r="AE245" s="20" t="str">
        <f>IF(AD245=1,COUNTIFS($AD$2:$AD$351,1,$AC$2:$AC$351,"&gt;"&amp;AC245)+COUNTIFS($AD$2:AD245,1,$AC$2:AC245,AC245),"")</f>
        <v/>
      </c>
      <c r="AF245" s="20">
        <f>IF(OR(Dashboard!$B$6="Semua",ISNUMBER(SEARCH(Dashboard!$B$6,D245))),1,0)</f>
        <v>1</v>
      </c>
      <c r="AG245" s="18">
        <f t="shared" si="48"/>
        <v>0.34</v>
      </c>
      <c r="AH245" s="18">
        <f t="shared" si="49"/>
        <v>0.33999999612569809</v>
      </c>
      <c r="AI245" s="18">
        <f t="shared" si="50"/>
        <v>0</v>
      </c>
      <c r="AJ245" s="18">
        <f t="shared" si="51"/>
        <v>0</v>
      </c>
      <c r="AK245" s="20">
        <f>IF(OR(Ruas_Per_Kecamatan!$B$4="Semua",ISNUMBER(SEARCH(Ruas_Per_Kecamatan!$B$4,D245))),1,0)</f>
        <v>1</v>
      </c>
      <c r="AL245" s="20">
        <f>IF(AK245=1,COUNTIF($AK$2:AK245,1),"")</f>
        <v>244</v>
      </c>
      <c r="AM245" s="18">
        <f t="shared" si="52"/>
        <v>0.34</v>
      </c>
      <c r="AN245" s="18">
        <f t="shared" si="53"/>
        <v>0.33999999612569809</v>
      </c>
      <c r="AO245" s="18">
        <f t="shared" si="54"/>
        <v>0</v>
      </c>
      <c r="AP245" s="18">
        <f t="shared" si="55"/>
        <v>0</v>
      </c>
    </row>
    <row r="246" spans="1:42" x14ac:dyDescent="0.25">
      <c r="A246" s="17">
        <v>245</v>
      </c>
      <c r="B246" s="17" t="s">
        <v>695</v>
      </c>
      <c r="C246" s="21" t="s">
        <v>293</v>
      </c>
      <c r="D246" s="17" t="s">
        <v>249</v>
      </c>
      <c r="E246" s="18">
        <v>0.76</v>
      </c>
      <c r="F246" s="18">
        <v>3</v>
      </c>
      <c r="G246" s="18">
        <v>0</v>
      </c>
      <c r="H246" s="18"/>
      <c r="I246" s="18">
        <v>2025</v>
      </c>
      <c r="J246" s="18">
        <v>0.15999999642372131</v>
      </c>
      <c r="K246" s="18">
        <v>0</v>
      </c>
      <c r="L246" s="18">
        <v>0</v>
      </c>
      <c r="M246" s="18">
        <v>0</v>
      </c>
      <c r="N246" s="18">
        <v>0.60000002384185791</v>
      </c>
      <c r="O246" s="18">
        <v>0</v>
      </c>
      <c r="P246" s="19">
        <v>0</v>
      </c>
      <c r="Q246" s="18">
        <v>0.15999999642372131</v>
      </c>
      <c r="R246" s="19">
        <v>0.21052631108384384</v>
      </c>
      <c r="S246" s="18">
        <v>0</v>
      </c>
      <c r="T246" s="19">
        <v>0</v>
      </c>
      <c r="U246" s="18">
        <v>0.60000002384185791</v>
      </c>
      <c r="V246" s="19">
        <v>0.78947371558139201</v>
      </c>
      <c r="W246">
        <f t="shared" si="42"/>
        <v>0.15999999642372131</v>
      </c>
      <c r="X246" s="19">
        <f t="shared" si="43"/>
        <v>0.21052631108384384</v>
      </c>
      <c r="Y246">
        <f t="shared" si="44"/>
        <v>0.60000002384185791</v>
      </c>
      <c r="Z246" s="19">
        <f t="shared" si="45"/>
        <v>0.78947371558139201</v>
      </c>
      <c r="AA246" s="19">
        <f t="shared" si="46"/>
        <v>0.84210529335235296</v>
      </c>
      <c r="AB246" t="str">
        <f t="shared" si="47"/>
        <v>Rusak Berat Dominan</v>
      </c>
      <c r="AC246" s="19">
        <f>IF(Dashboard!$B$7="Mantap (%)",X246,IF(Dashboard!$B$7="Tidak Mantap (%)",Z246,IF(Dashboard!$B$7="Baik (%)",P246,IF(Dashboard!$B$7="Sedang (%)",R246,IF(Dashboard!$B$7="Rusak Ringan (%)",T246,IF(Dashboard!$B$7="Rusak Berat (%)",V246,AA246))))))</f>
        <v>0.78947371558139201</v>
      </c>
      <c r="AD246" s="20">
        <f>IF(AND(AF246=1,E246&gt;=Dashboard!$B$10,IF(Dashboard!$B$9="≤ Maksimum",AC246&lt;=Dashboard!$B$8,AC246&gt;=Dashboard!$B$8)),1,0)</f>
        <v>1</v>
      </c>
      <c r="AE246" s="20">
        <f>IF(AD246=1,COUNTIFS($AD$2:$AD$351,1,$AC$2:$AC$351,"&gt;"&amp;AC246)+COUNTIFS($AD$2:AD246,1,$AC$2:AC246,AC246),"")</f>
        <v>69</v>
      </c>
      <c r="AF246" s="20">
        <f>IF(OR(Dashboard!$B$6="Semua",ISNUMBER(SEARCH(Dashboard!$B$6,D246))),1,0)</f>
        <v>1</v>
      </c>
      <c r="AG246" s="18">
        <f t="shared" si="48"/>
        <v>0.76</v>
      </c>
      <c r="AH246" s="18">
        <f t="shared" si="49"/>
        <v>0.15999999642372131</v>
      </c>
      <c r="AI246" s="18">
        <f t="shared" si="50"/>
        <v>0.60000002384185791</v>
      </c>
      <c r="AJ246" s="18">
        <f t="shared" si="51"/>
        <v>0.60000002384185791</v>
      </c>
      <c r="AK246" s="20">
        <f>IF(OR(Ruas_Per_Kecamatan!$B$4="Semua",ISNUMBER(SEARCH(Ruas_Per_Kecamatan!$B$4,D246))),1,0)</f>
        <v>1</v>
      </c>
      <c r="AL246" s="20">
        <f>IF(AK246=1,COUNTIF($AK$2:AK246,1),"")</f>
        <v>245</v>
      </c>
      <c r="AM246" s="18">
        <f t="shared" si="52"/>
        <v>0.76</v>
      </c>
      <c r="AN246" s="18">
        <f t="shared" si="53"/>
        <v>0.15999999642372131</v>
      </c>
      <c r="AO246" s="18">
        <f t="shared" si="54"/>
        <v>0.60000002384185791</v>
      </c>
      <c r="AP246" s="18">
        <f t="shared" si="55"/>
        <v>0.60000002384185791</v>
      </c>
    </row>
    <row r="247" spans="1:42" x14ac:dyDescent="0.25">
      <c r="A247" s="17">
        <v>246</v>
      </c>
      <c r="B247" s="17" t="s">
        <v>696</v>
      </c>
      <c r="C247" s="21" t="s">
        <v>294</v>
      </c>
      <c r="D247" s="17" t="s">
        <v>295</v>
      </c>
      <c r="E247" s="18">
        <v>1.26</v>
      </c>
      <c r="F247" s="18">
        <v>3.5</v>
      </c>
      <c r="G247" s="18">
        <v>0</v>
      </c>
      <c r="H247" s="18"/>
      <c r="I247" s="18">
        <v>2025</v>
      </c>
      <c r="J247" s="18">
        <v>1.2599999904632568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9">
        <v>0</v>
      </c>
      <c r="Q247" s="18">
        <v>1.1599999666213989</v>
      </c>
      <c r="R247" s="19">
        <v>0.92063489414396737</v>
      </c>
      <c r="S247" s="18">
        <v>0.10000000149011612</v>
      </c>
      <c r="T247" s="19">
        <v>7.93650805477112E-2</v>
      </c>
      <c r="U247" s="18">
        <v>0</v>
      </c>
      <c r="V247" s="19">
        <v>0</v>
      </c>
      <c r="W247">
        <f t="shared" si="42"/>
        <v>1.1599999666213989</v>
      </c>
      <c r="X247" s="19">
        <f t="shared" si="43"/>
        <v>0.92063489414396737</v>
      </c>
      <c r="Y247">
        <f t="shared" si="44"/>
        <v>0.10000000149011612</v>
      </c>
      <c r="Z247" s="19">
        <f t="shared" si="45"/>
        <v>7.93650805477112E-2</v>
      </c>
      <c r="AA247" s="19">
        <f t="shared" si="46"/>
        <v>0.27777777186461855</v>
      </c>
      <c r="AB247" t="str">
        <f t="shared" si="47"/>
        <v>Relatif Mantap</v>
      </c>
      <c r="AC247" s="19">
        <f>IF(Dashboard!$B$7="Mantap (%)",X247,IF(Dashboard!$B$7="Tidak Mantap (%)",Z247,IF(Dashboard!$B$7="Baik (%)",P247,IF(Dashboard!$B$7="Sedang (%)",R247,IF(Dashboard!$B$7="Rusak Ringan (%)",T247,IF(Dashboard!$B$7="Rusak Berat (%)",V247,AA247))))))</f>
        <v>7.93650805477112E-2</v>
      </c>
      <c r="AD247" s="20">
        <f>IF(AND(AF247=1,E247&gt;=Dashboard!$B$10,IF(Dashboard!$B$9="≤ Maksimum",AC247&lt;=Dashboard!$B$8,AC247&gt;=Dashboard!$B$8)),1,0)</f>
        <v>0</v>
      </c>
      <c r="AE247" s="20" t="str">
        <f>IF(AD247=1,COUNTIFS($AD$2:$AD$351,1,$AC$2:$AC$351,"&gt;"&amp;AC247)+COUNTIFS($AD$2:AD247,1,$AC$2:AC247,AC247),"")</f>
        <v/>
      </c>
      <c r="AF247" s="20">
        <f>IF(OR(Dashboard!$B$6="Semua",ISNUMBER(SEARCH(Dashboard!$B$6,D247))),1,0)</f>
        <v>1</v>
      </c>
      <c r="AG247" s="18">
        <f t="shared" si="48"/>
        <v>1.26</v>
      </c>
      <c r="AH247" s="18">
        <f t="shared" si="49"/>
        <v>1.1599999666213989</v>
      </c>
      <c r="AI247" s="18">
        <f t="shared" si="50"/>
        <v>0.10000000149011612</v>
      </c>
      <c r="AJ247" s="18">
        <f t="shared" si="51"/>
        <v>0</v>
      </c>
      <c r="AK247" s="20">
        <f>IF(OR(Ruas_Per_Kecamatan!$B$4="Semua",ISNUMBER(SEARCH(Ruas_Per_Kecamatan!$B$4,D247))),1,0)</f>
        <v>1</v>
      </c>
      <c r="AL247" s="20">
        <f>IF(AK247=1,COUNTIF($AK$2:AK247,1),"")</f>
        <v>246</v>
      </c>
      <c r="AM247" s="18">
        <f t="shared" si="52"/>
        <v>1.26</v>
      </c>
      <c r="AN247" s="18">
        <f t="shared" si="53"/>
        <v>1.1599999666213989</v>
      </c>
      <c r="AO247" s="18">
        <f t="shared" si="54"/>
        <v>0.10000000149011612</v>
      </c>
      <c r="AP247" s="18">
        <f t="shared" si="55"/>
        <v>0</v>
      </c>
    </row>
    <row r="248" spans="1:42" x14ac:dyDescent="0.25">
      <c r="A248" s="17">
        <v>247</v>
      </c>
      <c r="B248" s="17" t="s">
        <v>697</v>
      </c>
      <c r="C248" s="21" t="s">
        <v>296</v>
      </c>
      <c r="D248" s="17" t="s">
        <v>295</v>
      </c>
      <c r="E248" s="18">
        <v>5.21</v>
      </c>
      <c r="F248" s="18">
        <v>3.5</v>
      </c>
      <c r="G248" s="18">
        <v>0</v>
      </c>
      <c r="H248" s="18"/>
      <c r="I248" s="18">
        <v>2025</v>
      </c>
      <c r="J248" s="18">
        <v>5.2100000381469727</v>
      </c>
      <c r="K248" s="18">
        <v>0</v>
      </c>
      <c r="L248" s="18">
        <v>0</v>
      </c>
      <c r="M248" s="18">
        <v>0</v>
      </c>
      <c r="N248" s="18">
        <v>0</v>
      </c>
      <c r="O248" s="18">
        <v>1.309999942779541</v>
      </c>
      <c r="P248" s="19">
        <v>0.25143952836459521</v>
      </c>
      <c r="Q248" s="18">
        <v>3.5999999046325684</v>
      </c>
      <c r="R248" s="19">
        <v>0.69097886845154866</v>
      </c>
      <c r="S248" s="18">
        <v>0.30000001192092896</v>
      </c>
      <c r="T248" s="19">
        <v>5.7581576184439341E-2</v>
      </c>
      <c r="U248" s="18">
        <v>0</v>
      </c>
      <c r="V248" s="19">
        <v>0</v>
      </c>
      <c r="W248">
        <f t="shared" si="42"/>
        <v>4.9099998474121094</v>
      </c>
      <c r="X248" s="19">
        <f t="shared" si="43"/>
        <v>0.94241839681614381</v>
      </c>
      <c r="Y248">
        <f t="shared" si="44"/>
        <v>0.30000001192092896</v>
      </c>
      <c r="Z248" s="19">
        <f t="shared" si="45"/>
        <v>5.7581576184439341E-2</v>
      </c>
      <c r="AA248" s="19">
        <f t="shared" si="46"/>
        <v>0.20729366282355077</v>
      </c>
      <c r="AB248" t="str">
        <f t="shared" si="47"/>
        <v>Relatif Mantap</v>
      </c>
      <c r="AC248" s="19">
        <f>IF(Dashboard!$B$7="Mantap (%)",X248,IF(Dashboard!$B$7="Tidak Mantap (%)",Z248,IF(Dashboard!$B$7="Baik (%)",P248,IF(Dashboard!$B$7="Sedang (%)",R248,IF(Dashboard!$B$7="Rusak Ringan (%)",T248,IF(Dashboard!$B$7="Rusak Berat (%)",V248,AA248))))))</f>
        <v>5.7581576184439341E-2</v>
      </c>
      <c r="AD248" s="20">
        <f>IF(AND(AF248=1,E248&gt;=Dashboard!$B$10,IF(Dashboard!$B$9="≤ Maksimum",AC248&lt;=Dashboard!$B$8,AC248&gt;=Dashboard!$B$8)),1,0)</f>
        <v>0</v>
      </c>
      <c r="AE248" s="20" t="str">
        <f>IF(AD248=1,COUNTIFS($AD$2:$AD$351,1,$AC$2:$AC$351,"&gt;"&amp;AC248)+COUNTIFS($AD$2:AD248,1,$AC$2:AC248,AC248),"")</f>
        <v/>
      </c>
      <c r="AF248" s="20">
        <f>IF(OR(Dashboard!$B$6="Semua",ISNUMBER(SEARCH(Dashboard!$B$6,D248))),1,0)</f>
        <v>1</v>
      </c>
      <c r="AG248" s="18">
        <f t="shared" si="48"/>
        <v>5.21</v>
      </c>
      <c r="AH248" s="18">
        <f t="shared" si="49"/>
        <v>4.9099998474121094</v>
      </c>
      <c r="AI248" s="18">
        <f t="shared" si="50"/>
        <v>0.30000001192092896</v>
      </c>
      <c r="AJ248" s="18">
        <f t="shared" si="51"/>
        <v>0</v>
      </c>
      <c r="AK248" s="20">
        <f>IF(OR(Ruas_Per_Kecamatan!$B$4="Semua",ISNUMBER(SEARCH(Ruas_Per_Kecamatan!$B$4,D248))),1,0)</f>
        <v>1</v>
      </c>
      <c r="AL248" s="20">
        <f>IF(AK248=1,COUNTIF($AK$2:AK248,1),"")</f>
        <v>247</v>
      </c>
      <c r="AM248" s="18">
        <f t="shared" si="52"/>
        <v>5.21</v>
      </c>
      <c r="AN248" s="18">
        <f t="shared" si="53"/>
        <v>4.9099998474121094</v>
      </c>
      <c r="AO248" s="18">
        <f t="shared" si="54"/>
        <v>0.30000001192092896</v>
      </c>
      <c r="AP248" s="18">
        <f t="shared" si="55"/>
        <v>0</v>
      </c>
    </row>
    <row r="249" spans="1:42" x14ac:dyDescent="0.25">
      <c r="A249" s="17">
        <v>248</v>
      </c>
      <c r="B249" s="17" t="s">
        <v>698</v>
      </c>
      <c r="C249" s="21" t="s">
        <v>297</v>
      </c>
      <c r="D249" s="17" t="s">
        <v>295</v>
      </c>
      <c r="E249" s="18">
        <v>5.69</v>
      </c>
      <c r="F249" s="18">
        <v>5</v>
      </c>
      <c r="G249" s="18">
        <v>0</v>
      </c>
      <c r="H249" s="18"/>
      <c r="I249" s="18">
        <v>2025</v>
      </c>
      <c r="J249" s="18">
        <v>0</v>
      </c>
      <c r="K249" s="18">
        <v>0</v>
      </c>
      <c r="L249" s="18">
        <v>0</v>
      </c>
      <c r="M249" s="18">
        <v>5.690000057220459</v>
      </c>
      <c r="N249" s="18">
        <v>0</v>
      </c>
      <c r="O249" s="18">
        <v>0</v>
      </c>
      <c r="P249" s="19">
        <v>0</v>
      </c>
      <c r="Q249" s="18">
        <v>0</v>
      </c>
      <c r="R249" s="19">
        <v>0</v>
      </c>
      <c r="S249" s="18">
        <v>0</v>
      </c>
      <c r="T249" s="19">
        <v>0</v>
      </c>
      <c r="U249" s="18">
        <v>5.690000057220459</v>
      </c>
      <c r="V249" s="19">
        <v>1.0000000100563196</v>
      </c>
      <c r="W249">
        <f t="shared" si="42"/>
        <v>0</v>
      </c>
      <c r="X249" s="19">
        <f t="shared" si="43"/>
        <v>0</v>
      </c>
      <c r="Y249">
        <f t="shared" si="44"/>
        <v>5.690000057220459</v>
      </c>
      <c r="Z249" s="19">
        <f t="shared" si="45"/>
        <v>1.0000000100563196</v>
      </c>
      <c r="AA249" s="19">
        <f t="shared" si="46"/>
        <v>1.0000000100563196</v>
      </c>
      <c r="AB249" t="str">
        <f t="shared" si="47"/>
        <v>Rusak Berat Dominan</v>
      </c>
      <c r="AC249" s="19">
        <f>IF(Dashboard!$B$7="Mantap (%)",X249,IF(Dashboard!$B$7="Tidak Mantap (%)",Z249,IF(Dashboard!$B$7="Baik (%)",P249,IF(Dashboard!$B$7="Sedang (%)",R249,IF(Dashboard!$B$7="Rusak Ringan (%)",T249,IF(Dashboard!$B$7="Rusak Berat (%)",V249,AA249))))))</f>
        <v>1.0000000100563196</v>
      </c>
      <c r="AD249" s="20">
        <f>IF(AND(AF249=1,E249&gt;=Dashboard!$B$10,IF(Dashboard!$B$9="≤ Maksimum",AC249&lt;=Dashboard!$B$8,AC249&gt;=Dashboard!$B$8)),1,0)</f>
        <v>1</v>
      </c>
      <c r="AE249" s="20">
        <f>IF(AD249=1,COUNTIFS($AD$2:$AD$351,1,$AC$2:$AC$351,"&gt;"&amp;AC249)+COUNTIFS($AD$2:AD249,1,$AC$2:AC249,AC249),"")</f>
        <v>20</v>
      </c>
      <c r="AF249" s="20">
        <f>IF(OR(Dashboard!$B$6="Semua",ISNUMBER(SEARCH(Dashboard!$B$6,D249))),1,0)</f>
        <v>1</v>
      </c>
      <c r="AG249" s="18">
        <f t="shared" si="48"/>
        <v>5.69</v>
      </c>
      <c r="AH249" s="18">
        <f t="shared" si="49"/>
        <v>0</v>
      </c>
      <c r="AI249" s="18">
        <f t="shared" si="50"/>
        <v>5.690000057220459</v>
      </c>
      <c r="AJ249" s="18">
        <f t="shared" si="51"/>
        <v>5.690000057220459</v>
      </c>
      <c r="AK249" s="20">
        <f>IF(OR(Ruas_Per_Kecamatan!$B$4="Semua",ISNUMBER(SEARCH(Ruas_Per_Kecamatan!$B$4,D249))),1,0)</f>
        <v>1</v>
      </c>
      <c r="AL249" s="20">
        <f>IF(AK249=1,COUNTIF($AK$2:AK249,1),"")</f>
        <v>248</v>
      </c>
      <c r="AM249" s="18">
        <f t="shared" si="52"/>
        <v>5.69</v>
      </c>
      <c r="AN249" s="18">
        <f t="shared" si="53"/>
        <v>0</v>
      </c>
      <c r="AO249" s="18">
        <f t="shared" si="54"/>
        <v>5.690000057220459</v>
      </c>
      <c r="AP249" s="18">
        <f t="shared" si="55"/>
        <v>5.690000057220459</v>
      </c>
    </row>
    <row r="250" spans="1:42" x14ac:dyDescent="0.25">
      <c r="A250" s="17">
        <v>249</v>
      </c>
      <c r="B250" s="17" t="s">
        <v>699</v>
      </c>
      <c r="C250" s="21" t="s">
        <v>298</v>
      </c>
      <c r="D250" s="17" t="s">
        <v>295</v>
      </c>
      <c r="E250" s="18">
        <v>9.7100000000000009</v>
      </c>
      <c r="F250" s="18">
        <v>4</v>
      </c>
      <c r="G250" s="18">
        <v>0</v>
      </c>
      <c r="H250" s="18"/>
      <c r="I250" s="18">
        <v>2025</v>
      </c>
      <c r="J250" s="18">
        <v>7.3000001907348633</v>
      </c>
      <c r="K250" s="18">
        <v>0</v>
      </c>
      <c r="L250" s="18">
        <v>0</v>
      </c>
      <c r="M250" s="18">
        <v>0</v>
      </c>
      <c r="N250" s="18">
        <v>2.4100000858306885</v>
      </c>
      <c r="O250" s="18">
        <v>6.5999999046325684</v>
      </c>
      <c r="P250" s="19">
        <v>0.67971162766555793</v>
      </c>
      <c r="Q250" s="18">
        <v>0.69999998807907104</v>
      </c>
      <c r="R250" s="19">
        <v>7.2090626990635523E-2</v>
      </c>
      <c r="S250" s="18">
        <v>0</v>
      </c>
      <c r="T250" s="19">
        <v>0</v>
      </c>
      <c r="U250" s="18">
        <v>2.4100000858306885</v>
      </c>
      <c r="V250" s="19">
        <v>0.24819774313395349</v>
      </c>
      <c r="W250">
        <f t="shared" si="42"/>
        <v>7.2999998927116394</v>
      </c>
      <c r="X250" s="19">
        <f t="shared" si="43"/>
        <v>0.75180225465619344</v>
      </c>
      <c r="Y250">
        <f t="shared" si="44"/>
        <v>2.4100000858306885</v>
      </c>
      <c r="Z250" s="19">
        <f t="shared" si="45"/>
        <v>0.24819774313395349</v>
      </c>
      <c r="AA250" s="19">
        <f t="shared" si="46"/>
        <v>0.26622039988161239</v>
      </c>
      <c r="AB250" t="str">
        <f t="shared" si="47"/>
        <v>Rusak Berat Dominan</v>
      </c>
      <c r="AC250" s="19">
        <f>IF(Dashboard!$B$7="Mantap (%)",X250,IF(Dashboard!$B$7="Tidak Mantap (%)",Z250,IF(Dashboard!$B$7="Baik (%)",P250,IF(Dashboard!$B$7="Sedang (%)",R250,IF(Dashboard!$B$7="Rusak Ringan (%)",T250,IF(Dashboard!$B$7="Rusak Berat (%)",V250,AA250))))))</f>
        <v>0.24819774313395349</v>
      </c>
      <c r="AD250" s="20">
        <f>IF(AND(AF250=1,E250&gt;=Dashboard!$B$10,IF(Dashboard!$B$9="≤ Maksimum",AC250&lt;=Dashboard!$B$8,AC250&gt;=Dashboard!$B$8)),1,0)</f>
        <v>1</v>
      </c>
      <c r="AE250" s="20">
        <f>IF(AD250=1,COUNTIFS($AD$2:$AD$351,1,$AC$2:$AC$351,"&gt;"&amp;AC250)+COUNTIFS($AD$2:AD250,1,$AC$2:AC250,AC250),"")</f>
        <v>177</v>
      </c>
      <c r="AF250" s="20">
        <f>IF(OR(Dashboard!$B$6="Semua",ISNUMBER(SEARCH(Dashboard!$B$6,D250))),1,0)</f>
        <v>1</v>
      </c>
      <c r="AG250" s="18">
        <f t="shared" si="48"/>
        <v>9.7100000000000009</v>
      </c>
      <c r="AH250" s="18">
        <f t="shared" si="49"/>
        <v>7.2999998927116394</v>
      </c>
      <c r="AI250" s="18">
        <f t="shared" si="50"/>
        <v>2.4100000858306885</v>
      </c>
      <c r="AJ250" s="18">
        <f t="shared" si="51"/>
        <v>2.4100000858306885</v>
      </c>
      <c r="AK250" s="20">
        <f>IF(OR(Ruas_Per_Kecamatan!$B$4="Semua",ISNUMBER(SEARCH(Ruas_Per_Kecamatan!$B$4,D250))),1,0)</f>
        <v>1</v>
      </c>
      <c r="AL250" s="20">
        <f>IF(AK250=1,COUNTIF($AK$2:AK250,1),"")</f>
        <v>249</v>
      </c>
      <c r="AM250" s="18">
        <f t="shared" si="52"/>
        <v>9.7100000000000009</v>
      </c>
      <c r="AN250" s="18">
        <f t="shared" si="53"/>
        <v>7.2999998927116394</v>
      </c>
      <c r="AO250" s="18">
        <f t="shared" si="54"/>
        <v>2.4100000858306885</v>
      </c>
      <c r="AP250" s="18">
        <f t="shared" si="55"/>
        <v>2.4100000858306885</v>
      </c>
    </row>
    <row r="251" spans="1:42" x14ac:dyDescent="0.25">
      <c r="A251" s="17">
        <v>250</v>
      </c>
      <c r="B251" s="17" t="s">
        <v>700</v>
      </c>
      <c r="C251" s="21" t="s">
        <v>299</v>
      </c>
      <c r="D251" s="17" t="s">
        <v>300</v>
      </c>
      <c r="E251" s="18">
        <v>4.34</v>
      </c>
      <c r="F251" s="18">
        <v>3.5</v>
      </c>
      <c r="G251" s="18">
        <v>0</v>
      </c>
      <c r="H251" s="18"/>
      <c r="I251" s="18">
        <v>2025</v>
      </c>
      <c r="J251" s="18">
        <v>4.3400001525878906</v>
      </c>
      <c r="K251" s="18">
        <v>0</v>
      </c>
      <c r="L251" s="18">
        <v>0</v>
      </c>
      <c r="M251" s="18">
        <v>0</v>
      </c>
      <c r="N251" s="18">
        <v>0</v>
      </c>
      <c r="O251" s="18">
        <v>1.5399999618530273</v>
      </c>
      <c r="P251" s="19">
        <v>0.35483870088779434</v>
      </c>
      <c r="Q251" s="18">
        <v>1.3999999761581421</v>
      </c>
      <c r="R251" s="19">
        <v>0.32258063966777467</v>
      </c>
      <c r="S251" s="18">
        <v>1.3999999761581421</v>
      </c>
      <c r="T251" s="19">
        <v>0.32258063966777467</v>
      </c>
      <c r="U251" s="18">
        <v>0</v>
      </c>
      <c r="V251" s="19">
        <v>0</v>
      </c>
      <c r="W251">
        <f t="shared" si="42"/>
        <v>2.9399999380111694</v>
      </c>
      <c r="X251" s="19">
        <f t="shared" si="43"/>
        <v>0.67741934055556896</v>
      </c>
      <c r="Y251">
        <f t="shared" si="44"/>
        <v>1.3999999761581421</v>
      </c>
      <c r="Z251" s="19">
        <f t="shared" si="45"/>
        <v>0.32258063966777467</v>
      </c>
      <c r="AA251" s="19">
        <f t="shared" si="46"/>
        <v>0.27419354371760846</v>
      </c>
      <c r="AB251" t="str">
        <f t="shared" si="47"/>
        <v>Tidak Mantap Sedang</v>
      </c>
      <c r="AC251" s="19">
        <f>IF(Dashboard!$B$7="Mantap (%)",X251,IF(Dashboard!$B$7="Tidak Mantap (%)",Z251,IF(Dashboard!$B$7="Baik (%)",P251,IF(Dashboard!$B$7="Sedang (%)",R251,IF(Dashboard!$B$7="Rusak Ringan (%)",T251,IF(Dashboard!$B$7="Rusak Berat (%)",V251,AA251))))))</f>
        <v>0.32258063966777467</v>
      </c>
      <c r="AD251" s="20">
        <f>IF(AND(AF251=1,E251&gt;=Dashboard!$B$10,IF(Dashboard!$B$9="≤ Maksimum",AC251&lt;=Dashboard!$B$8,AC251&gt;=Dashboard!$B$8)),1,0)</f>
        <v>1</v>
      </c>
      <c r="AE251" s="20">
        <f>IF(AD251=1,COUNTIFS($AD$2:$AD$351,1,$AC$2:$AC$351,"&gt;"&amp;AC251)+COUNTIFS($AD$2:AD251,1,$AC$2:AC251,AC251),"")</f>
        <v>163</v>
      </c>
      <c r="AF251" s="20">
        <f>IF(OR(Dashboard!$B$6="Semua",ISNUMBER(SEARCH(Dashboard!$B$6,D251))),1,0)</f>
        <v>1</v>
      </c>
      <c r="AG251" s="18">
        <f t="shared" si="48"/>
        <v>4.34</v>
      </c>
      <c r="AH251" s="18">
        <f t="shared" si="49"/>
        <v>2.9399999380111694</v>
      </c>
      <c r="AI251" s="18">
        <f t="shared" si="50"/>
        <v>1.3999999761581421</v>
      </c>
      <c r="AJ251" s="18">
        <f t="shared" si="51"/>
        <v>0</v>
      </c>
      <c r="AK251" s="20">
        <f>IF(OR(Ruas_Per_Kecamatan!$B$4="Semua",ISNUMBER(SEARCH(Ruas_Per_Kecamatan!$B$4,D251))),1,0)</f>
        <v>1</v>
      </c>
      <c r="AL251" s="20">
        <f>IF(AK251=1,COUNTIF($AK$2:AK251,1),"")</f>
        <v>250</v>
      </c>
      <c r="AM251" s="18">
        <f t="shared" si="52"/>
        <v>4.34</v>
      </c>
      <c r="AN251" s="18">
        <f t="shared" si="53"/>
        <v>2.9399999380111694</v>
      </c>
      <c r="AO251" s="18">
        <f t="shared" si="54"/>
        <v>1.3999999761581421</v>
      </c>
      <c r="AP251" s="18">
        <f t="shared" si="55"/>
        <v>0</v>
      </c>
    </row>
    <row r="252" spans="1:42" x14ac:dyDescent="0.25">
      <c r="A252" s="17">
        <v>251</v>
      </c>
      <c r="B252" s="17" t="s">
        <v>701</v>
      </c>
      <c r="C252" s="21" t="s">
        <v>301</v>
      </c>
      <c r="D252" s="17" t="s">
        <v>295</v>
      </c>
      <c r="E252" s="18">
        <v>1.66</v>
      </c>
      <c r="F252" s="18">
        <v>3</v>
      </c>
      <c r="G252" s="18">
        <v>0</v>
      </c>
      <c r="H252" s="18"/>
      <c r="I252" s="18">
        <v>2025</v>
      </c>
      <c r="J252" s="18">
        <v>1.6599999666213989</v>
      </c>
      <c r="K252" s="18">
        <v>0</v>
      </c>
      <c r="L252" s="18">
        <v>0</v>
      </c>
      <c r="M252" s="18">
        <v>0</v>
      </c>
      <c r="N252" s="18">
        <v>0</v>
      </c>
      <c r="O252" s="18">
        <v>1.059999942779541</v>
      </c>
      <c r="P252" s="19">
        <v>0.63855418239731387</v>
      </c>
      <c r="Q252" s="18">
        <v>0.60000002384185791</v>
      </c>
      <c r="R252" s="19">
        <v>0.36144579749509514</v>
      </c>
      <c r="S252" s="18">
        <v>0</v>
      </c>
      <c r="T252" s="19">
        <v>0</v>
      </c>
      <c r="U252" s="18">
        <v>0</v>
      </c>
      <c r="V252" s="19">
        <v>0</v>
      </c>
      <c r="W252">
        <f t="shared" si="42"/>
        <v>1.6599999666213989</v>
      </c>
      <c r="X252" s="19">
        <f t="shared" si="43"/>
        <v>0.99999997989240907</v>
      </c>
      <c r="Y252">
        <f t="shared" si="44"/>
        <v>0</v>
      </c>
      <c r="Z252" s="19">
        <f t="shared" si="45"/>
        <v>0</v>
      </c>
      <c r="AA252" s="19">
        <f t="shared" si="46"/>
        <v>9.0361449373773786E-2</v>
      </c>
      <c r="AB252" t="str">
        <f t="shared" si="47"/>
        <v>Relatif Mantap</v>
      </c>
      <c r="AC252" s="19">
        <f>IF(Dashboard!$B$7="Mantap (%)",X252,IF(Dashboard!$B$7="Tidak Mantap (%)",Z252,IF(Dashboard!$B$7="Baik (%)",P252,IF(Dashboard!$B$7="Sedang (%)",R252,IF(Dashboard!$B$7="Rusak Ringan (%)",T252,IF(Dashboard!$B$7="Rusak Berat (%)",V252,AA252))))))</f>
        <v>0</v>
      </c>
      <c r="AD252" s="20">
        <f>IF(AND(AF252=1,E252&gt;=Dashboard!$B$10,IF(Dashboard!$B$9="≤ Maksimum",AC252&lt;=Dashboard!$B$8,AC252&gt;=Dashboard!$B$8)),1,0)</f>
        <v>0</v>
      </c>
      <c r="AE252" s="20" t="str">
        <f>IF(AD252=1,COUNTIFS($AD$2:$AD$351,1,$AC$2:$AC$351,"&gt;"&amp;AC252)+COUNTIFS($AD$2:AD252,1,$AC$2:AC252,AC252),"")</f>
        <v/>
      </c>
      <c r="AF252" s="20">
        <f>IF(OR(Dashboard!$B$6="Semua",ISNUMBER(SEARCH(Dashboard!$B$6,D252))),1,0)</f>
        <v>1</v>
      </c>
      <c r="AG252" s="18">
        <f t="shared" si="48"/>
        <v>1.66</v>
      </c>
      <c r="AH252" s="18">
        <f t="shared" si="49"/>
        <v>1.6599999666213989</v>
      </c>
      <c r="AI252" s="18">
        <f t="shared" si="50"/>
        <v>0</v>
      </c>
      <c r="AJ252" s="18">
        <f t="shared" si="51"/>
        <v>0</v>
      </c>
      <c r="AK252" s="20">
        <f>IF(OR(Ruas_Per_Kecamatan!$B$4="Semua",ISNUMBER(SEARCH(Ruas_Per_Kecamatan!$B$4,D252))),1,0)</f>
        <v>1</v>
      </c>
      <c r="AL252" s="20">
        <f>IF(AK252=1,COUNTIF($AK$2:AK252,1),"")</f>
        <v>251</v>
      </c>
      <c r="AM252" s="18">
        <f t="shared" si="52"/>
        <v>1.66</v>
      </c>
      <c r="AN252" s="18">
        <f t="shared" si="53"/>
        <v>1.6599999666213989</v>
      </c>
      <c r="AO252" s="18">
        <f t="shared" si="54"/>
        <v>0</v>
      </c>
      <c r="AP252" s="18">
        <f t="shared" si="55"/>
        <v>0</v>
      </c>
    </row>
    <row r="253" spans="1:42" x14ac:dyDescent="0.25">
      <c r="A253" s="17">
        <v>252</v>
      </c>
      <c r="B253" s="17" t="s">
        <v>702</v>
      </c>
      <c r="C253" s="21" t="s">
        <v>302</v>
      </c>
      <c r="D253" s="17" t="s">
        <v>295</v>
      </c>
      <c r="E253" s="18">
        <v>2.72</v>
      </c>
      <c r="F253" s="18">
        <v>3</v>
      </c>
      <c r="G253" s="18">
        <v>0</v>
      </c>
      <c r="H253" s="18"/>
      <c r="I253" s="18">
        <v>2025</v>
      </c>
      <c r="J253" s="18">
        <v>2.7200000286102295</v>
      </c>
      <c r="K253" s="18">
        <v>0</v>
      </c>
      <c r="L253" s="18">
        <v>0</v>
      </c>
      <c r="M253" s="18">
        <v>0</v>
      </c>
      <c r="N253" s="18">
        <v>0</v>
      </c>
      <c r="O253" s="18">
        <v>0.69999998807907104</v>
      </c>
      <c r="P253" s="19">
        <v>0.25735293679377608</v>
      </c>
      <c r="Q253" s="18">
        <v>2.0199999809265137</v>
      </c>
      <c r="R253" s="19">
        <v>0.74264705181121826</v>
      </c>
      <c r="S253" s="18">
        <v>0</v>
      </c>
      <c r="T253" s="19">
        <v>0</v>
      </c>
      <c r="U253" s="18">
        <v>0</v>
      </c>
      <c r="V253" s="19">
        <v>0</v>
      </c>
      <c r="W253">
        <f t="shared" si="42"/>
        <v>2.7199999690055847</v>
      </c>
      <c r="X253" s="19">
        <f t="shared" si="43"/>
        <v>0.99999998860499428</v>
      </c>
      <c r="Y253">
        <f t="shared" si="44"/>
        <v>0</v>
      </c>
      <c r="Z253" s="19">
        <f t="shared" si="45"/>
        <v>0</v>
      </c>
      <c r="AA253" s="19">
        <f t="shared" si="46"/>
        <v>0.18566176295280457</v>
      </c>
      <c r="AB253" t="str">
        <f t="shared" si="47"/>
        <v>Relatif Mantap</v>
      </c>
      <c r="AC253" s="19">
        <f>IF(Dashboard!$B$7="Mantap (%)",X253,IF(Dashboard!$B$7="Tidak Mantap (%)",Z253,IF(Dashboard!$B$7="Baik (%)",P253,IF(Dashboard!$B$7="Sedang (%)",R253,IF(Dashboard!$B$7="Rusak Ringan (%)",T253,IF(Dashboard!$B$7="Rusak Berat (%)",V253,AA253))))))</f>
        <v>0</v>
      </c>
      <c r="AD253" s="20">
        <f>IF(AND(AF253=1,E253&gt;=Dashboard!$B$10,IF(Dashboard!$B$9="≤ Maksimum",AC253&lt;=Dashboard!$B$8,AC253&gt;=Dashboard!$B$8)),1,0)</f>
        <v>0</v>
      </c>
      <c r="AE253" s="20" t="str">
        <f>IF(AD253=1,COUNTIFS($AD$2:$AD$351,1,$AC$2:$AC$351,"&gt;"&amp;AC253)+COUNTIFS($AD$2:AD253,1,$AC$2:AC253,AC253),"")</f>
        <v/>
      </c>
      <c r="AF253" s="20">
        <f>IF(OR(Dashboard!$B$6="Semua",ISNUMBER(SEARCH(Dashboard!$B$6,D253))),1,0)</f>
        <v>1</v>
      </c>
      <c r="AG253" s="18">
        <f t="shared" si="48"/>
        <v>2.72</v>
      </c>
      <c r="AH253" s="18">
        <f t="shared" si="49"/>
        <v>2.7199999690055847</v>
      </c>
      <c r="AI253" s="18">
        <f t="shared" si="50"/>
        <v>0</v>
      </c>
      <c r="AJ253" s="18">
        <f t="shared" si="51"/>
        <v>0</v>
      </c>
      <c r="AK253" s="20">
        <f>IF(OR(Ruas_Per_Kecamatan!$B$4="Semua",ISNUMBER(SEARCH(Ruas_Per_Kecamatan!$B$4,D253))),1,0)</f>
        <v>1</v>
      </c>
      <c r="AL253" s="20">
        <f>IF(AK253=1,COUNTIF($AK$2:AK253,1),"")</f>
        <v>252</v>
      </c>
      <c r="AM253" s="18">
        <f t="shared" si="52"/>
        <v>2.72</v>
      </c>
      <c r="AN253" s="18">
        <f t="shared" si="53"/>
        <v>2.7199999690055847</v>
      </c>
      <c r="AO253" s="18">
        <f t="shared" si="54"/>
        <v>0</v>
      </c>
      <c r="AP253" s="18">
        <f t="shared" si="55"/>
        <v>0</v>
      </c>
    </row>
    <row r="254" spans="1:42" x14ac:dyDescent="0.25">
      <c r="A254" s="17">
        <v>253</v>
      </c>
      <c r="B254" s="17" t="s">
        <v>703</v>
      </c>
      <c r="C254" s="21" t="s">
        <v>303</v>
      </c>
      <c r="D254" s="17" t="s">
        <v>295</v>
      </c>
      <c r="E254" s="18">
        <v>0.64</v>
      </c>
      <c r="F254" s="18">
        <v>3</v>
      </c>
      <c r="G254" s="18">
        <v>0</v>
      </c>
      <c r="H254" s="18"/>
      <c r="I254" s="18">
        <v>2025</v>
      </c>
      <c r="J254" s="18">
        <v>0.5</v>
      </c>
      <c r="K254" s="18">
        <v>0</v>
      </c>
      <c r="L254" s="18">
        <v>0</v>
      </c>
      <c r="M254" s="18">
        <v>0</v>
      </c>
      <c r="N254" s="18">
        <v>0.14000000059604645</v>
      </c>
      <c r="O254" s="18">
        <v>0</v>
      </c>
      <c r="P254" s="19">
        <v>0</v>
      </c>
      <c r="Q254" s="18">
        <v>0.40000000596046448</v>
      </c>
      <c r="R254" s="19">
        <v>0.62500000931322575</v>
      </c>
      <c r="S254" s="18">
        <v>0</v>
      </c>
      <c r="T254" s="19">
        <v>0</v>
      </c>
      <c r="U254" s="18">
        <v>0.24000000208616257</v>
      </c>
      <c r="V254" s="19">
        <v>0.37500000325962901</v>
      </c>
      <c r="W254">
        <f t="shared" si="42"/>
        <v>0.40000000596046448</v>
      </c>
      <c r="X254" s="19">
        <f t="shared" si="43"/>
        <v>0.62500000931322575</v>
      </c>
      <c r="Y254">
        <f t="shared" si="44"/>
        <v>0.24000000208616257</v>
      </c>
      <c r="Z254" s="19">
        <f t="shared" si="45"/>
        <v>0.37500000325962901</v>
      </c>
      <c r="AA254" s="19">
        <f t="shared" si="46"/>
        <v>0.53125000558793545</v>
      </c>
      <c r="AB254" t="str">
        <f t="shared" si="47"/>
        <v>Rusak Berat Dominan</v>
      </c>
      <c r="AC254" s="19">
        <f>IF(Dashboard!$B$7="Mantap (%)",X254,IF(Dashboard!$B$7="Tidak Mantap (%)",Z254,IF(Dashboard!$B$7="Baik (%)",P254,IF(Dashboard!$B$7="Sedang (%)",R254,IF(Dashboard!$B$7="Rusak Ringan (%)",T254,IF(Dashboard!$B$7="Rusak Berat (%)",V254,AA254))))))</f>
        <v>0.37500000325962901</v>
      </c>
      <c r="AD254" s="20">
        <f>IF(AND(AF254=1,E254&gt;=Dashboard!$B$10,IF(Dashboard!$B$9="≤ Maksimum",AC254&lt;=Dashboard!$B$8,AC254&gt;=Dashboard!$B$8)),1,0)</f>
        <v>1</v>
      </c>
      <c r="AE254" s="20">
        <f>IF(AD254=1,COUNTIFS($AD$2:$AD$351,1,$AC$2:$AC$351,"&gt;"&amp;AC254)+COUNTIFS($AD$2:AD254,1,$AC$2:AC254,AC254),"")</f>
        <v>152</v>
      </c>
      <c r="AF254" s="20">
        <f>IF(OR(Dashboard!$B$6="Semua",ISNUMBER(SEARCH(Dashboard!$B$6,D254))),1,0)</f>
        <v>1</v>
      </c>
      <c r="AG254" s="18">
        <f t="shared" si="48"/>
        <v>0.64</v>
      </c>
      <c r="AH254" s="18">
        <f t="shared" si="49"/>
        <v>0.40000000596046448</v>
      </c>
      <c r="AI254" s="18">
        <f t="shared" si="50"/>
        <v>0.24000000208616257</v>
      </c>
      <c r="AJ254" s="18">
        <f t="shared" si="51"/>
        <v>0.24000000208616257</v>
      </c>
      <c r="AK254" s="20">
        <f>IF(OR(Ruas_Per_Kecamatan!$B$4="Semua",ISNUMBER(SEARCH(Ruas_Per_Kecamatan!$B$4,D254))),1,0)</f>
        <v>1</v>
      </c>
      <c r="AL254" s="20">
        <f>IF(AK254=1,COUNTIF($AK$2:AK254,1),"")</f>
        <v>253</v>
      </c>
      <c r="AM254" s="18">
        <f t="shared" si="52"/>
        <v>0.64</v>
      </c>
      <c r="AN254" s="18">
        <f t="shared" si="53"/>
        <v>0.40000000596046448</v>
      </c>
      <c r="AO254" s="18">
        <f t="shared" si="54"/>
        <v>0.24000000208616257</v>
      </c>
      <c r="AP254" s="18">
        <f t="shared" si="55"/>
        <v>0.24000000208616257</v>
      </c>
    </row>
    <row r="255" spans="1:42" ht="30" x14ac:dyDescent="0.25">
      <c r="A255" s="17">
        <v>254</v>
      </c>
      <c r="B255" s="17" t="s">
        <v>704</v>
      </c>
      <c r="C255" s="21" t="s">
        <v>304</v>
      </c>
      <c r="D255" s="17" t="s">
        <v>300</v>
      </c>
      <c r="E255" s="18">
        <v>6.1</v>
      </c>
      <c r="F255" s="18">
        <v>3</v>
      </c>
      <c r="G255" s="18">
        <v>0</v>
      </c>
      <c r="H255" s="18"/>
      <c r="I255" s="18">
        <v>2025</v>
      </c>
      <c r="J255" s="18">
        <v>6</v>
      </c>
      <c r="K255" s="18">
        <v>0</v>
      </c>
      <c r="L255" s="18">
        <v>0</v>
      </c>
      <c r="M255" s="18">
        <v>0.10000000149011612</v>
      </c>
      <c r="N255" s="18">
        <v>0</v>
      </c>
      <c r="O255" s="18">
        <v>1.6000000238418579</v>
      </c>
      <c r="P255" s="19">
        <v>0.26229508587571443</v>
      </c>
      <c r="Q255" s="18">
        <v>2.2999999523162842</v>
      </c>
      <c r="R255" s="19">
        <v>0.37704917251086628</v>
      </c>
      <c r="S255" s="18">
        <v>1.3999999761581421</v>
      </c>
      <c r="T255" s="19">
        <v>0.22950819281281018</v>
      </c>
      <c r="U255" s="18">
        <v>0.79999998956918716</v>
      </c>
      <c r="V255" s="19">
        <v>0.13114753927363726</v>
      </c>
      <c r="W255">
        <f t="shared" si="42"/>
        <v>3.8999999761581421</v>
      </c>
      <c r="X255" s="19">
        <f t="shared" si="43"/>
        <v>0.63934425838658071</v>
      </c>
      <c r="Y255">
        <f t="shared" si="44"/>
        <v>2.1999999657273293</v>
      </c>
      <c r="Z255" s="19">
        <f t="shared" si="45"/>
        <v>0.36065573208644747</v>
      </c>
      <c r="AA255" s="19">
        <f t="shared" si="46"/>
        <v>0.36311474808903993</v>
      </c>
      <c r="AB255" t="str">
        <f t="shared" si="47"/>
        <v>Tidak Mantap Sedang</v>
      </c>
      <c r="AC255" s="19">
        <f>IF(Dashboard!$B$7="Mantap (%)",X255,IF(Dashboard!$B$7="Tidak Mantap (%)",Z255,IF(Dashboard!$B$7="Baik (%)",P255,IF(Dashboard!$B$7="Sedang (%)",R255,IF(Dashboard!$B$7="Rusak Ringan (%)",T255,IF(Dashboard!$B$7="Rusak Berat (%)",V255,AA255))))))</f>
        <v>0.36065573208644747</v>
      </c>
      <c r="AD255" s="20">
        <f>IF(AND(AF255=1,E255&gt;=Dashboard!$B$10,IF(Dashboard!$B$9="≤ Maksimum",AC255&lt;=Dashboard!$B$8,AC255&gt;=Dashboard!$B$8)),1,0)</f>
        <v>1</v>
      </c>
      <c r="AE255" s="20">
        <f>IF(AD255=1,COUNTIFS($AD$2:$AD$351,1,$AC$2:$AC$351,"&gt;"&amp;AC255)+COUNTIFS($AD$2:AD255,1,$AC$2:AC255,AC255),"")</f>
        <v>156</v>
      </c>
      <c r="AF255" s="20">
        <f>IF(OR(Dashboard!$B$6="Semua",ISNUMBER(SEARCH(Dashboard!$B$6,D255))),1,0)</f>
        <v>1</v>
      </c>
      <c r="AG255" s="18">
        <f t="shared" si="48"/>
        <v>6.1</v>
      </c>
      <c r="AH255" s="18">
        <f t="shared" si="49"/>
        <v>3.8999999761581421</v>
      </c>
      <c r="AI255" s="18">
        <f t="shared" si="50"/>
        <v>2.1999999657273293</v>
      </c>
      <c r="AJ255" s="18">
        <f t="shared" si="51"/>
        <v>0.79999998956918716</v>
      </c>
      <c r="AK255" s="20">
        <f>IF(OR(Ruas_Per_Kecamatan!$B$4="Semua",ISNUMBER(SEARCH(Ruas_Per_Kecamatan!$B$4,D255))),1,0)</f>
        <v>1</v>
      </c>
      <c r="AL255" s="20">
        <f>IF(AK255=1,COUNTIF($AK$2:AK255,1),"")</f>
        <v>254</v>
      </c>
      <c r="AM255" s="18">
        <f t="shared" si="52"/>
        <v>6.1</v>
      </c>
      <c r="AN255" s="18">
        <f t="shared" si="53"/>
        <v>3.8999999761581421</v>
      </c>
      <c r="AO255" s="18">
        <f t="shared" si="54"/>
        <v>2.1999999657273293</v>
      </c>
      <c r="AP255" s="18">
        <f t="shared" si="55"/>
        <v>0.79999998956918716</v>
      </c>
    </row>
    <row r="256" spans="1:42" ht="30" x14ac:dyDescent="0.25">
      <c r="A256" s="17">
        <v>255</v>
      </c>
      <c r="B256" s="17" t="s">
        <v>705</v>
      </c>
      <c r="C256" s="21" t="s">
        <v>305</v>
      </c>
      <c r="D256" s="17" t="s">
        <v>295</v>
      </c>
      <c r="E256" s="18">
        <v>0.82</v>
      </c>
      <c r="F256" s="18">
        <v>3</v>
      </c>
      <c r="G256" s="18">
        <v>0</v>
      </c>
      <c r="H256" s="18"/>
      <c r="I256" s="18">
        <v>2025</v>
      </c>
      <c r="J256" s="18">
        <v>0</v>
      </c>
      <c r="K256" s="18">
        <v>0</v>
      </c>
      <c r="L256" s="18">
        <v>0.81999999284744263</v>
      </c>
      <c r="M256" s="18">
        <v>0</v>
      </c>
      <c r="N256" s="18">
        <v>0</v>
      </c>
      <c r="O256" s="18">
        <v>0</v>
      </c>
      <c r="P256" s="19">
        <v>0</v>
      </c>
      <c r="Q256" s="18">
        <v>0</v>
      </c>
      <c r="R256" s="19">
        <v>0</v>
      </c>
      <c r="S256" s="18">
        <v>0</v>
      </c>
      <c r="T256" s="19">
        <v>0</v>
      </c>
      <c r="U256" s="18">
        <v>0.81999999284744263</v>
      </c>
      <c r="V256" s="19">
        <v>0.99999999127736916</v>
      </c>
      <c r="W256">
        <f t="shared" si="42"/>
        <v>0</v>
      </c>
      <c r="X256" s="19">
        <f t="shared" si="43"/>
        <v>0</v>
      </c>
      <c r="Y256">
        <f t="shared" si="44"/>
        <v>0.81999999284744263</v>
      </c>
      <c r="Z256" s="19">
        <f t="shared" si="45"/>
        <v>0.99999999127736916</v>
      </c>
      <c r="AA256" s="19">
        <f t="shared" si="46"/>
        <v>0.99999999127736916</v>
      </c>
      <c r="AB256" t="str">
        <f t="shared" si="47"/>
        <v>Rusak Berat Dominan</v>
      </c>
      <c r="AC256" s="19">
        <f>IF(Dashboard!$B$7="Mantap (%)",X256,IF(Dashboard!$B$7="Tidak Mantap (%)",Z256,IF(Dashboard!$B$7="Baik (%)",P256,IF(Dashboard!$B$7="Sedang (%)",R256,IF(Dashboard!$B$7="Rusak Ringan (%)",T256,IF(Dashboard!$B$7="Rusak Berat (%)",V256,AA256))))))</f>
        <v>0.99999999127736916</v>
      </c>
      <c r="AD256" s="20">
        <f>IF(AND(AF256=1,E256&gt;=Dashboard!$B$10,IF(Dashboard!$B$9="≤ Maksimum",AC256&lt;=Dashboard!$B$8,AC256&gt;=Dashboard!$B$8)),1,0)</f>
        <v>1</v>
      </c>
      <c r="AE256" s="20">
        <f>IF(AD256=1,COUNTIFS($AD$2:$AD$351,1,$AC$2:$AC$351,"&gt;"&amp;AC256)+COUNTIFS($AD$2:AD256,1,$AC$2:AC256,AC256),"")</f>
        <v>33</v>
      </c>
      <c r="AF256" s="20">
        <f>IF(OR(Dashboard!$B$6="Semua",ISNUMBER(SEARCH(Dashboard!$B$6,D256))),1,0)</f>
        <v>1</v>
      </c>
      <c r="AG256" s="18">
        <f t="shared" si="48"/>
        <v>0.82</v>
      </c>
      <c r="AH256" s="18">
        <f t="shared" si="49"/>
        <v>0</v>
      </c>
      <c r="AI256" s="18">
        <f t="shared" si="50"/>
        <v>0.81999999284744263</v>
      </c>
      <c r="AJ256" s="18">
        <f t="shared" si="51"/>
        <v>0.81999999284744263</v>
      </c>
      <c r="AK256" s="20">
        <f>IF(OR(Ruas_Per_Kecamatan!$B$4="Semua",ISNUMBER(SEARCH(Ruas_Per_Kecamatan!$B$4,D256))),1,0)</f>
        <v>1</v>
      </c>
      <c r="AL256" s="20">
        <f>IF(AK256=1,COUNTIF($AK$2:AK256,1),"")</f>
        <v>255</v>
      </c>
      <c r="AM256" s="18">
        <f t="shared" si="52"/>
        <v>0.82</v>
      </c>
      <c r="AN256" s="18">
        <f t="shared" si="53"/>
        <v>0</v>
      </c>
      <c r="AO256" s="18">
        <f t="shared" si="54"/>
        <v>0.81999999284744263</v>
      </c>
      <c r="AP256" s="18">
        <f t="shared" si="55"/>
        <v>0.81999999284744263</v>
      </c>
    </row>
    <row r="257" spans="1:42" x14ac:dyDescent="0.25">
      <c r="A257" s="17">
        <v>256</v>
      </c>
      <c r="B257" s="17" t="s">
        <v>706</v>
      </c>
      <c r="C257" s="21" t="s">
        <v>306</v>
      </c>
      <c r="D257" s="17" t="s">
        <v>295</v>
      </c>
      <c r="E257" s="18">
        <v>1.46</v>
      </c>
      <c r="F257" s="18">
        <v>2.5</v>
      </c>
      <c r="G257" s="18">
        <v>0</v>
      </c>
      <c r="H257" s="18"/>
      <c r="I257" s="18">
        <v>2025</v>
      </c>
      <c r="J257" s="18">
        <v>0</v>
      </c>
      <c r="K257" s="18">
        <v>0</v>
      </c>
      <c r="L257" s="18">
        <v>0</v>
      </c>
      <c r="M257" s="18">
        <v>0</v>
      </c>
      <c r="N257" s="18">
        <v>1.4600000381469727</v>
      </c>
      <c r="O257" s="18">
        <v>0</v>
      </c>
      <c r="P257" s="19">
        <v>0</v>
      </c>
      <c r="Q257" s="18">
        <v>0</v>
      </c>
      <c r="R257" s="19">
        <v>0</v>
      </c>
      <c r="S257" s="18">
        <v>0</v>
      </c>
      <c r="T257" s="19">
        <v>0</v>
      </c>
      <c r="U257" s="18">
        <v>1.4600000381469727</v>
      </c>
      <c r="V257" s="19">
        <v>1.0000000261280635</v>
      </c>
      <c r="W257">
        <f t="shared" si="42"/>
        <v>0</v>
      </c>
      <c r="X257" s="19">
        <f t="shared" si="43"/>
        <v>0</v>
      </c>
      <c r="Y257">
        <f t="shared" si="44"/>
        <v>1.4600000381469727</v>
      </c>
      <c r="Z257" s="19">
        <f t="shared" si="45"/>
        <v>1.0000000261280635</v>
      </c>
      <c r="AA257" s="19">
        <f t="shared" si="46"/>
        <v>1.0000000261280635</v>
      </c>
      <c r="AB257" t="str">
        <f t="shared" si="47"/>
        <v>Rusak Berat Dominan</v>
      </c>
      <c r="AC257" s="19">
        <f>IF(Dashboard!$B$7="Mantap (%)",X257,IF(Dashboard!$B$7="Tidak Mantap (%)",Z257,IF(Dashboard!$B$7="Baik (%)",P257,IF(Dashboard!$B$7="Sedang (%)",R257,IF(Dashboard!$B$7="Rusak Ringan (%)",T257,IF(Dashboard!$B$7="Rusak Berat (%)",V257,AA257))))))</f>
        <v>1.0000000261280635</v>
      </c>
      <c r="AD257" s="20">
        <f>IF(AND(AF257=1,E257&gt;=Dashboard!$B$10,IF(Dashboard!$B$9="≤ Maksimum",AC257&lt;=Dashboard!$B$8,AC257&gt;=Dashboard!$B$8)),1,0)</f>
        <v>1</v>
      </c>
      <c r="AE257" s="20">
        <f>IF(AD257=1,COUNTIFS($AD$2:$AD$351,1,$AC$2:$AC$351,"&gt;"&amp;AC257)+COUNTIFS($AD$2:AD257,1,$AC$2:AC257,AC257),"")</f>
        <v>12</v>
      </c>
      <c r="AF257" s="20">
        <f>IF(OR(Dashboard!$B$6="Semua",ISNUMBER(SEARCH(Dashboard!$B$6,D257))),1,0)</f>
        <v>1</v>
      </c>
      <c r="AG257" s="18">
        <f t="shared" si="48"/>
        <v>1.46</v>
      </c>
      <c r="AH257" s="18">
        <f t="shared" si="49"/>
        <v>0</v>
      </c>
      <c r="AI257" s="18">
        <f t="shared" si="50"/>
        <v>1.4600000381469727</v>
      </c>
      <c r="AJ257" s="18">
        <f t="shared" si="51"/>
        <v>1.4600000381469727</v>
      </c>
      <c r="AK257" s="20">
        <f>IF(OR(Ruas_Per_Kecamatan!$B$4="Semua",ISNUMBER(SEARCH(Ruas_Per_Kecamatan!$B$4,D257))),1,0)</f>
        <v>1</v>
      </c>
      <c r="AL257" s="20">
        <f>IF(AK257=1,COUNTIF($AK$2:AK257,1),"")</f>
        <v>256</v>
      </c>
      <c r="AM257" s="18">
        <f t="shared" si="52"/>
        <v>1.46</v>
      </c>
      <c r="AN257" s="18">
        <f t="shared" si="53"/>
        <v>0</v>
      </c>
      <c r="AO257" s="18">
        <f t="shared" si="54"/>
        <v>1.4600000381469727</v>
      </c>
      <c r="AP257" s="18">
        <f t="shared" si="55"/>
        <v>1.4600000381469727</v>
      </c>
    </row>
    <row r="258" spans="1:42" x14ac:dyDescent="0.25">
      <c r="A258" s="17">
        <v>257</v>
      </c>
      <c r="B258" s="17" t="s">
        <v>707</v>
      </c>
      <c r="C258" s="21" t="s">
        <v>307</v>
      </c>
      <c r="D258" s="17" t="s">
        <v>295</v>
      </c>
      <c r="E258" s="18">
        <v>0.86</v>
      </c>
      <c r="F258" s="18">
        <v>4.190000057220459</v>
      </c>
      <c r="G258" s="18">
        <v>0</v>
      </c>
      <c r="H258" s="18"/>
      <c r="I258" s="18">
        <v>2025</v>
      </c>
      <c r="J258" s="18">
        <v>0.5</v>
      </c>
      <c r="K258" s="18">
        <v>0</v>
      </c>
      <c r="L258" s="18">
        <v>0.30000001192092896</v>
      </c>
      <c r="M258" s="18">
        <v>5.9999998658895493E-2</v>
      </c>
      <c r="N258" s="18">
        <v>0</v>
      </c>
      <c r="O258" s="18">
        <v>0.5</v>
      </c>
      <c r="P258" s="19">
        <v>0.58139534883720934</v>
      </c>
      <c r="Q258" s="18">
        <v>0.10000000149011612</v>
      </c>
      <c r="R258" s="19">
        <v>0.11627907150013503</v>
      </c>
      <c r="S258" s="18">
        <v>0</v>
      </c>
      <c r="T258" s="19">
        <v>0</v>
      </c>
      <c r="U258" s="18">
        <v>0.26000000163912773</v>
      </c>
      <c r="V258" s="19">
        <v>0.30232558330131132</v>
      </c>
      <c r="W258">
        <f t="shared" ref="W258:W321" si="56">O258+Q258</f>
        <v>0.60000000149011612</v>
      </c>
      <c r="X258" s="19">
        <f t="shared" ref="X258:X321" si="57">IFERROR(W258/E258,0)</f>
        <v>0.69767442033734428</v>
      </c>
      <c r="Y258">
        <f t="shared" ref="Y258:Y321" si="58">S258+U258</f>
        <v>0.26000000163912773</v>
      </c>
      <c r="Z258" s="19">
        <f t="shared" ref="Z258:Z321" si="59">IFERROR(Y258/E258,0)</f>
        <v>0.30232558330131132</v>
      </c>
      <c r="AA258" s="19">
        <f t="shared" ref="AA258:AA321" si="60">0.25*R258+0.6*T258+V258</f>
        <v>0.33139535117634505</v>
      </c>
      <c r="AB258" t="str">
        <f t="shared" ref="AB258:AB321" si="61">IF(V258&gt;=0.2,"Rusak Berat Dominan",IF(Z258&gt;=0.5,"Tidak Mantap Tinggi",IF(Z258&gt;=0.2,"Tidak Mantap Sedang","Relatif Mantap")))</f>
        <v>Rusak Berat Dominan</v>
      </c>
      <c r="AC258" s="19">
        <f>IF(Dashboard!$B$7="Mantap (%)",X258,IF(Dashboard!$B$7="Tidak Mantap (%)",Z258,IF(Dashboard!$B$7="Baik (%)",P258,IF(Dashboard!$B$7="Sedang (%)",R258,IF(Dashboard!$B$7="Rusak Ringan (%)",T258,IF(Dashboard!$B$7="Rusak Berat (%)",V258,AA258))))))</f>
        <v>0.30232558330131132</v>
      </c>
      <c r="AD258" s="20">
        <f>IF(AND(AF258=1,E258&gt;=Dashboard!$B$10,IF(Dashboard!$B$9="≤ Maksimum",AC258&lt;=Dashboard!$B$8,AC258&gt;=Dashboard!$B$8)),1,0)</f>
        <v>1</v>
      </c>
      <c r="AE258" s="20">
        <f>IF(AD258=1,COUNTIFS($AD$2:$AD$351,1,$AC$2:$AC$351,"&gt;"&amp;AC258)+COUNTIFS($AD$2:AD258,1,$AC$2:AC258,AC258),"")</f>
        <v>168</v>
      </c>
      <c r="AF258" s="20">
        <f>IF(OR(Dashboard!$B$6="Semua",ISNUMBER(SEARCH(Dashboard!$B$6,D258))),1,0)</f>
        <v>1</v>
      </c>
      <c r="AG258" s="18">
        <f t="shared" ref="AG258:AG321" si="62">AF258*E258</f>
        <v>0.86</v>
      </c>
      <c r="AH258" s="18">
        <f t="shared" ref="AH258:AH321" si="63">AF258*W258</f>
        <v>0.60000000149011612</v>
      </c>
      <c r="AI258" s="18">
        <f t="shared" ref="AI258:AI321" si="64">AF258*Y258</f>
        <v>0.26000000163912773</v>
      </c>
      <c r="AJ258" s="18">
        <f t="shared" ref="AJ258:AJ321" si="65">AF258*U258</f>
        <v>0.26000000163912773</v>
      </c>
      <c r="AK258" s="20">
        <f>IF(OR(Ruas_Per_Kecamatan!$B$4="Semua",ISNUMBER(SEARCH(Ruas_Per_Kecamatan!$B$4,D258))),1,0)</f>
        <v>1</v>
      </c>
      <c r="AL258" s="20">
        <f>IF(AK258=1,COUNTIF($AK$2:AK258,1),"")</f>
        <v>257</v>
      </c>
      <c r="AM258" s="18">
        <f t="shared" ref="AM258:AM321" si="66">AK258*E258</f>
        <v>0.86</v>
      </c>
      <c r="AN258" s="18">
        <f t="shared" ref="AN258:AN321" si="67">AK258*W258</f>
        <v>0.60000000149011612</v>
      </c>
      <c r="AO258" s="18">
        <f t="shared" ref="AO258:AO321" si="68">AK258*Y258</f>
        <v>0.26000000163912773</v>
      </c>
      <c r="AP258" s="18">
        <f t="shared" ref="AP258:AP321" si="69">AK258*U258</f>
        <v>0.26000000163912773</v>
      </c>
    </row>
    <row r="259" spans="1:42" x14ac:dyDescent="0.25">
      <c r="A259" s="17">
        <v>258</v>
      </c>
      <c r="B259" s="17" t="s">
        <v>708</v>
      </c>
      <c r="C259" s="21" t="s">
        <v>308</v>
      </c>
      <c r="D259" s="17" t="s">
        <v>309</v>
      </c>
      <c r="E259" s="18">
        <v>7.65</v>
      </c>
      <c r="F259" s="18">
        <v>3</v>
      </c>
      <c r="G259" s="18">
        <v>0</v>
      </c>
      <c r="H259" s="18"/>
      <c r="I259" s="18">
        <v>2025</v>
      </c>
      <c r="J259" s="18">
        <v>7.6500000953674316</v>
      </c>
      <c r="K259" s="18">
        <v>0</v>
      </c>
      <c r="L259" s="18">
        <v>0</v>
      </c>
      <c r="M259" s="18">
        <v>0</v>
      </c>
      <c r="N259" s="18">
        <v>0</v>
      </c>
      <c r="O259" s="18">
        <v>2.2000000476837158</v>
      </c>
      <c r="P259" s="19">
        <v>0.28758170557957069</v>
      </c>
      <c r="Q259" s="18">
        <v>3.0499999523162842</v>
      </c>
      <c r="R259" s="19">
        <v>0.39869280422435083</v>
      </c>
      <c r="S259" s="18">
        <v>2</v>
      </c>
      <c r="T259" s="19">
        <v>0.26143790849673204</v>
      </c>
      <c r="U259" s="18">
        <v>0.40000000596046448</v>
      </c>
      <c r="V259" s="19">
        <v>5.2287582478492085E-2</v>
      </c>
      <c r="W259">
        <f t="shared" si="56"/>
        <v>5.25</v>
      </c>
      <c r="X259" s="19">
        <f t="shared" si="57"/>
        <v>0.68627450980392157</v>
      </c>
      <c r="Y259">
        <f t="shared" si="58"/>
        <v>2.4000000059604645</v>
      </c>
      <c r="Z259" s="19">
        <f t="shared" si="59"/>
        <v>0.31372549097522412</v>
      </c>
      <c r="AA259" s="19">
        <f t="shared" si="60"/>
        <v>0.30882352863261897</v>
      </c>
      <c r="AB259" t="str">
        <f t="shared" si="61"/>
        <v>Tidak Mantap Sedang</v>
      </c>
      <c r="AC259" s="19">
        <f>IF(Dashboard!$B$7="Mantap (%)",X259,IF(Dashboard!$B$7="Tidak Mantap (%)",Z259,IF(Dashboard!$B$7="Baik (%)",P259,IF(Dashboard!$B$7="Sedang (%)",R259,IF(Dashboard!$B$7="Rusak Ringan (%)",T259,IF(Dashboard!$B$7="Rusak Berat (%)",V259,AA259))))))</f>
        <v>0.31372549097522412</v>
      </c>
      <c r="AD259" s="20">
        <f>IF(AND(AF259=1,E259&gt;=Dashboard!$B$10,IF(Dashboard!$B$9="≤ Maksimum",AC259&lt;=Dashboard!$B$8,AC259&gt;=Dashboard!$B$8)),1,0)</f>
        <v>1</v>
      </c>
      <c r="AE259" s="20">
        <f>IF(AD259=1,COUNTIFS($AD$2:$AD$351,1,$AC$2:$AC$351,"&gt;"&amp;AC259)+COUNTIFS($AD$2:AD259,1,$AC$2:AC259,AC259),"")</f>
        <v>165</v>
      </c>
      <c r="AF259" s="20">
        <f>IF(OR(Dashboard!$B$6="Semua",ISNUMBER(SEARCH(Dashboard!$B$6,D259))),1,0)</f>
        <v>1</v>
      </c>
      <c r="AG259" s="18">
        <f t="shared" si="62"/>
        <v>7.65</v>
      </c>
      <c r="AH259" s="18">
        <f t="shared" si="63"/>
        <v>5.25</v>
      </c>
      <c r="AI259" s="18">
        <f t="shared" si="64"/>
        <v>2.4000000059604645</v>
      </c>
      <c r="AJ259" s="18">
        <f t="shared" si="65"/>
        <v>0.40000000596046448</v>
      </c>
      <c r="AK259" s="20">
        <f>IF(OR(Ruas_Per_Kecamatan!$B$4="Semua",ISNUMBER(SEARCH(Ruas_Per_Kecamatan!$B$4,D259))),1,0)</f>
        <v>1</v>
      </c>
      <c r="AL259" s="20">
        <f>IF(AK259=1,COUNTIF($AK$2:AK259,1),"")</f>
        <v>258</v>
      </c>
      <c r="AM259" s="18">
        <f t="shared" si="66"/>
        <v>7.65</v>
      </c>
      <c r="AN259" s="18">
        <f t="shared" si="67"/>
        <v>5.25</v>
      </c>
      <c r="AO259" s="18">
        <f t="shared" si="68"/>
        <v>2.4000000059604645</v>
      </c>
      <c r="AP259" s="18">
        <f t="shared" si="69"/>
        <v>0.40000000596046448</v>
      </c>
    </row>
    <row r="260" spans="1:42" x14ac:dyDescent="0.25">
      <c r="A260" s="17">
        <v>259</v>
      </c>
      <c r="B260" s="17" t="s">
        <v>709</v>
      </c>
      <c r="C260" s="21" t="s">
        <v>310</v>
      </c>
      <c r="D260" s="17" t="s">
        <v>309</v>
      </c>
      <c r="E260" s="18">
        <v>1.28</v>
      </c>
      <c r="F260" s="18">
        <v>3</v>
      </c>
      <c r="G260" s="18">
        <v>0</v>
      </c>
      <c r="H260" s="18"/>
      <c r="I260" s="18">
        <v>2025</v>
      </c>
      <c r="J260" s="18">
        <v>1.2799999713897705</v>
      </c>
      <c r="K260" s="18">
        <v>0</v>
      </c>
      <c r="L260" s="18">
        <v>0</v>
      </c>
      <c r="M260" s="18">
        <v>0</v>
      </c>
      <c r="N260" s="18">
        <v>0</v>
      </c>
      <c r="O260" s="18">
        <v>0.89999997615814209</v>
      </c>
      <c r="P260" s="19">
        <v>0.70312498137354851</v>
      </c>
      <c r="Q260" s="18">
        <v>0.18000000715255737</v>
      </c>
      <c r="R260" s="19">
        <v>0.14062500558793545</v>
      </c>
      <c r="S260" s="18">
        <v>0</v>
      </c>
      <c r="T260" s="19">
        <v>0</v>
      </c>
      <c r="U260" s="18">
        <v>0.20000000298023224</v>
      </c>
      <c r="V260" s="19">
        <v>0.15625000232830644</v>
      </c>
      <c r="W260">
        <f t="shared" si="56"/>
        <v>1.0799999833106995</v>
      </c>
      <c r="X260" s="19">
        <f t="shared" si="57"/>
        <v>0.84374998696148396</v>
      </c>
      <c r="Y260">
        <f t="shared" si="58"/>
        <v>0.20000000298023224</v>
      </c>
      <c r="Z260" s="19">
        <f t="shared" si="59"/>
        <v>0.15625000232830644</v>
      </c>
      <c r="AA260" s="19">
        <f t="shared" si="60"/>
        <v>0.1914062537252903</v>
      </c>
      <c r="AB260" t="str">
        <f t="shared" si="61"/>
        <v>Relatif Mantap</v>
      </c>
      <c r="AC260" s="19">
        <f>IF(Dashboard!$B$7="Mantap (%)",X260,IF(Dashboard!$B$7="Tidak Mantap (%)",Z260,IF(Dashboard!$B$7="Baik (%)",P260,IF(Dashboard!$B$7="Sedang (%)",R260,IF(Dashboard!$B$7="Rusak Ringan (%)",T260,IF(Dashboard!$B$7="Rusak Berat (%)",V260,AA260))))))</f>
        <v>0.15625000232830644</v>
      </c>
      <c r="AD260" s="20">
        <f>IF(AND(AF260=1,E260&gt;=Dashboard!$B$10,IF(Dashboard!$B$9="≤ Maksimum",AC260&lt;=Dashboard!$B$8,AC260&gt;=Dashboard!$B$8)),1,0)</f>
        <v>0</v>
      </c>
      <c r="AE260" s="20" t="str">
        <f>IF(AD260=1,COUNTIFS($AD$2:$AD$351,1,$AC$2:$AC$351,"&gt;"&amp;AC260)+COUNTIFS($AD$2:AD260,1,$AC$2:AC260,AC260),"")</f>
        <v/>
      </c>
      <c r="AF260" s="20">
        <f>IF(OR(Dashboard!$B$6="Semua",ISNUMBER(SEARCH(Dashboard!$B$6,D260))),1,0)</f>
        <v>1</v>
      </c>
      <c r="AG260" s="18">
        <f t="shared" si="62"/>
        <v>1.28</v>
      </c>
      <c r="AH260" s="18">
        <f t="shared" si="63"/>
        <v>1.0799999833106995</v>
      </c>
      <c r="AI260" s="18">
        <f t="shared" si="64"/>
        <v>0.20000000298023224</v>
      </c>
      <c r="AJ260" s="18">
        <f t="shared" si="65"/>
        <v>0.20000000298023224</v>
      </c>
      <c r="AK260" s="20">
        <f>IF(OR(Ruas_Per_Kecamatan!$B$4="Semua",ISNUMBER(SEARCH(Ruas_Per_Kecamatan!$B$4,D260))),1,0)</f>
        <v>1</v>
      </c>
      <c r="AL260" s="20">
        <f>IF(AK260=1,COUNTIF($AK$2:AK260,1),"")</f>
        <v>259</v>
      </c>
      <c r="AM260" s="18">
        <f t="shared" si="66"/>
        <v>1.28</v>
      </c>
      <c r="AN260" s="18">
        <f t="shared" si="67"/>
        <v>1.0799999833106995</v>
      </c>
      <c r="AO260" s="18">
        <f t="shared" si="68"/>
        <v>0.20000000298023224</v>
      </c>
      <c r="AP260" s="18">
        <f t="shared" si="69"/>
        <v>0.20000000298023224</v>
      </c>
    </row>
    <row r="261" spans="1:42" x14ac:dyDescent="0.25">
      <c r="A261" s="17">
        <v>260</v>
      </c>
      <c r="B261" s="17" t="s">
        <v>710</v>
      </c>
      <c r="C261" s="21" t="s">
        <v>311</v>
      </c>
      <c r="D261" s="17" t="s">
        <v>309</v>
      </c>
      <c r="E261" s="18">
        <v>7.17</v>
      </c>
      <c r="F261" s="18">
        <v>2</v>
      </c>
      <c r="G261" s="18">
        <v>0</v>
      </c>
      <c r="H261" s="18"/>
      <c r="I261" s="18">
        <v>2025</v>
      </c>
      <c r="J261" s="18">
        <v>0.60000002384185791</v>
      </c>
      <c r="K261" s="18">
        <v>0</v>
      </c>
      <c r="L261" s="18">
        <v>6.570000171661377</v>
      </c>
      <c r="M261" s="18">
        <v>0</v>
      </c>
      <c r="N261" s="18">
        <v>0</v>
      </c>
      <c r="O261" s="18">
        <v>0</v>
      </c>
      <c r="P261" s="19">
        <v>0</v>
      </c>
      <c r="Q261" s="18">
        <v>0.56999999284744263</v>
      </c>
      <c r="R261" s="19">
        <v>7.9497906952223515E-2</v>
      </c>
      <c r="S261" s="18">
        <v>6.5999999046325684</v>
      </c>
      <c r="T261" s="19">
        <v>0.92050207874931222</v>
      </c>
      <c r="U261" s="18">
        <v>0</v>
      </c>
      <c r="V261" s="19">
        <v>0</v>
      </c>
      <c r="W261">
        <f t="shared" si="56"/>
        <v>0.56999999284744263</v>
      </c>
      <c r="X261" s="19">
        <f t="shared" si="57"/>
        <v>7.9497906952223515E-2</v>
      </c>
      <c r="Y261">
        <f t="shared" si="58"/>
        <v>6.5999999046325684</v>
      </c>
      <c r="Z261" s="19">
        <f t="shared" si="59"/>
        <v>0.92050207874931222</v>
      </c>
      <c r="AA261" s="19">
        <f t="shared" si="60"/>
        <v>0.57217572398764316</v>
      </c>
      <c r="AB261" t="str">
        <f t="shared" si="61"/>
        <v>Tidak Mantap Tinggi</v>
      </c>
      <c r="AC261" s="19">
        <f>IF(Dashboard!$B$7="Mantap (%)",X261,IF(Dashboard!$B$7="Tidak Mantap (%)",Z261,IF(Dashboard!$B$7="Baik (%)",P261,IF(Dashboard!$B$7="Sedang (%)",R261,IF(Dashboard!$B$7="Rusak Ringan (%)",T261,IF(Dashboard!$B$7="Rusak Berat (%)",V261,AA261))))))</f>
        <v>0.92050207874931222</v>
      </c>
      <c r="AD261" s="20">
        <f>IF(AND(AF261=1,E261&gt;=Dashboard!$B$10,IF(Dashboard!$B$9="≤ Maksimum",AC261&lt;=Dashboard!$B$8,AC261&gt;=Dashboard!$B$8)),1,0)</f>
        <v>1</v>
      </c>
      <c r="AE261" s="20">
        <f>IF(AD261=1,COUNTIFS($AD$2:$AD$351,1,$AC$2:$AC$351,"&gt;"&amp;AC261)+COUNTIFS($AD$2:AD261,1,$AC$2:AC261,AC261),"")</f>
        <v>58</v>
      </c>
      <c r="AF261" s="20">
        <f>IF(OR(Dashboard!$B$6="Semua",ISNUMBER(SEARCH(Dashboard!$B$6,D261))),1,0)</f>
        <v>1</v>
      </c>
      <c r="AG261" s="18">
        <f t="shared" si="62"/>
        <v>7.17</v>
      </c>
      <c r="AH261" s="18">
        <f t="shared" si="63"/>
        <v>0.56999999284744263</v>
      </c>
      <c r="AI261" s="18">
        <f t="shared" si="64"/>
        <v>6.5999999046325684</v>
      </c>
      <c r="AJ261" s="18">
        <f t="shared" si="65"/>
        <v>0</v>
      </c>
      <c r="AK261" s="20">
        <f>IF(OR(Ruas_Per_Kecamatan!$B$4="Semua",ISNUMBER(SEARCH(Ruas_Per_Kecamatan!$B$4,D261))),1,0)</f>
        <v>1</v>
      </c>
      <c r="AL261" s="20">
        <f>IF(AK261=1,COUNTIF($AK$2:AK261,1),"")</f>
        <v>260</v>
      </c>
      <c r="AM261" s="18">
        <f t="shared" si="66"/>
        <v>7.17</v>
      </c>
      <c r="AN261" s="18">
        <f t="shared" si="67"/>
        <v>0.56999999284744263</v>
      </c>
      <c r="AO261" s="18">
        <f t="shared" si="68"/>
        <v>6.5999999046325684</v>
      </c>
      <c r="AP261" s="18">
        <f t="shared" si="69"/>
        <v>0</v>
      </c>
    </row>
    <row r="262" spans="1:42" x14ac:dyDescent="0.25">
      <c r="A262" s="17">
        <v>261</v>
      </c>
      <c r="B262" s="17" t="s">
        <v>711</v>
      </c>
      <c r="C262" s="21" t="s">
        <v>312</v>
      </c>
      <c r="D262" s="17" t="s">
        <v>309</v>
      </c>
      <c r="E262" s="18">
        <v>6.82</v>
      </c>
      <c r="F262" s="18">
        <v>2</v>
      </c>
      <c r="G262" s="18">
        <v>0</v>
      </c>
      <c r="H262" s="18"/>
      <c r="I262" s="18">
        <v>2025</v>
      </c>
      <c r="J262" s="18">
        <v>0</v>
      </c>
      <c r="K262" s="18">
        <v>0</v>
      </c>
      <c r="L262" s="18">
        <v>6.820000171661377</v>
      </c>
      <c r="M262" s="18">
        <v>0</v>
      </c>
      <c r="N262" s="18">
        <v>0</v>
      </c>
      <c r="O262" s="18">
        <v>0.30000001192092896</v>
      </c>
      <c r="P262" s="19">
        <v>4.3988271542658205E-2</v>
      </c>
      <c r="Q262" s="18">
        <v>2.2200000286102295</v>
      </c>
      <c r="R262" s="19">
        <v>0.32551320067598671</v>
      </c>
      <c r="S262" s="18">
        <v>0</v>
      </c>
      <c r="T262" s="19">
        <v>0</v>
      </c>
      <c r="U262" s="18">
        <v>4.3000001907348633</v>
      </c>
      <c r="V262" s="19">
        <v>0.6304985616913289</v>
      </c>
      <c r="W262">
        <f t="shared" si="56"/>
        <v>2.5200000405311584</v>
      </c>
      <c r="X262" s="19">
        <f t="shared" si="57"/>
        <v>0.36950147221864493</v>
      </c>
      <c r="Y262">
        <f t="shared" si="58"/>
        <v>4.3000001907348633</v>
      </c>
      <c r="Z262" s="19">
        <f t="shared" si="59"/>
        <v>0.6304985616913289</v>
      </c>
      <c r="AA262" s="19">
        <f t="shared" si="60"/>
        <v>0.71187686186032562</v>
      </c>
      <c r="AB262" t="str">
        <f t="shared" si="61"/>
        <v>Rusak Berat Dominan</v>
      </c>
      <c r="AC262" s="19">
        <f>IF(Dashboard!$B$7="Mantap (%)",X262,IF(Dashboard!$B$7="Tidak Mantap (%)",Z262,IF(Dashboard!$B$7="Baik (%)",P262,IF(Dashboard!$B$7="Sedang (%)",R262,IF(Dashboard!$B$7="Rusak Ringan (%)",T262,IF(Dashboard!$B$7="Rusak Berat (%)",V262,AA262))))))</f>
        <v>0.6304985616913289</v>
      </c>
      <c r="AD262" s="20">
        <f>IF(AND(AF262=1,E262&gt;=Dashboard!$B$10,IF(Dashboard!$B$9="≤ Maksimum",AC262&lt;=Dashboard!$B$8,AC262&gt;=Dashboard!$B$8)),1,0)</f>
        <v>1</v>
      </c>
      <c r="AE262" s="20">
        <f>IF(AD262=1,COUNTIFS($AD$2:$AD$351,1,$AC$2:$AC$351,"&gt;"&amp;AC262)+COUNTIFS($AD$2:AD262,1,$AC$2:AC262,AC262),"")</f>
        <v>103</v>
      </c>
      <c r="AF262" s="20">
        <f>IF(OR(Dashboard!$B$6="Semua",ISNUMBER(SEARCH(Dashboard!$B$6,D262))),1,0)</f>
        <v>1</v>
      </c>
      <c r="AG262" s="18">
        <f t="shared" si="62"/>
        <v>6.82</v>
      </c>
      <c r="AH262" s="18">
        <f t="shared" si="63"/>
        <v>2.5200000405311584</v>
      </c>
      <c r="AI262" s="18">
        <f t="shared" si="64"/>
        <v>4.3000001907348633</v>
      </c>
      <c r="AJ262" s="18">
        <f t="shared" si="65"/>
        <v>4.3000001907348633</v>
      </c>
      <c r="AK262" s="20">
        <f>IF(OR(Ruas_Per_Kecamatan!$B$4="Semua",ISNUMBER(SEARCH(Ruas_Per_Kecamatan!$B$4,D262))),1,0)</f>
        <v>1</v>
      </c>
      <c r="AL262" s="20">
        <f>IF(AK262=1,COUNTIF($AK$2:AK262,1),"")</f>
        <v>261</v>
      </c>
      <c r="AM262" s="18">
        <f t="shared" si="66"/>
        <v>6.82</v>
      </c>
      <c r="AN262" s="18">
        <f t="shared" si="67"/>
        <v>2.5200000405311584</v>
      </c>
      <c r="AO262" s="18">
        <f t="shared" si="68"/>
        <v>4.3000001907348633</v>
      </c>
      <c r="AP262" s="18">
        <f t="shared" si="69"/>
        <v>4.3000001907348633</v>
      </c>
    </row>
    <row r="263" spans="1:42" x14ac:dyDescent="0.25">
      <c r="A263" s="17">
        <v>262</v>
      </c>
      <c r="B263" s="17" t="s">
        <v>712</v>
      </c>
      <c r="C263" s="21" t="s">
        <v>313</v>
      </c>
      <c r="D263" s="17" t="s">
        <v>309</v>
      </c>
      <c r="E263" s="18">
        <v>2.06</v>
      </c>
      <c r="F263" s="18">
        <v>3.5</v>
      </c>
      <c r="G263" s="18">
        <v>0</v>
      </c>
      <c r="H263" s="18"/>
      <c r="I263" s="18">
        <v>2025</v>
      </c>
      <c r="J263" s="18">
        <v>0.56000000238418579</v>
      </c>
      <c r="K263" s="18">
        <v>0</v>
      </c>
      <c r="L263" s="18">
        <v>0</v>
      </c>
      <c r="M263" s="18">
        <v>1.5</v>
      </c>
      <c r="N263" s="18">
        <v>0</v>
      </c>
      <c r="O263" s="18">
        <v>0.56000000238418579</v>
      </c>
      <c r="P263" s="19">
        <v>0.2718446613515465</v>
      </c>
      <c r="Q263" s="18">
        <v>0</v>
      </c>
      <c r="R263" s="19">
        <v>0</v>
      </c>
      <c r="S263" s="18">
        <v>0</v>
      </c>
      <c r="T263" s="19">
        <v>0</v>
      </c>
      <c r="U263" s="18">
        <v>1.5</v>
      </c>
      <c r="V263" s="19">
        <v>0.72815533980582525</v>
      </c>
      <c r="W263">
        <f t="shared" si="56"/>
        <v>0.56000000238418579</v>
      </c>
      <c r="X263" s="19">
        <f t="shared" si="57"/>
        <v>0.2718446613515465</v>
      </c>
      <c r="Y263">
        <f t="shared" si="58"/>
        <v>1.5</v>
      </c>
      <c r="Z263" s="19">
        <f t="shared" si="59"/>
        <v>0.72815533980582525</v>
      </c>
      <c r="AA263" s="19">
        <f t="shared" si="60"/>
        <v>0.72815533980582525</v>
      </c>
      <c r="AB263" t="str">
        <f t="shared" si="61"/>
        <v>Rusak Berat Dominan</v>
      </c>
      <c r="AC263" s="19">
        <f>IF(Dashboard!$B$7="Mantap (%)",X263,IF(Dashboard!$B$7="Tidak Mantap (%)",Z263,IF(Dashboard!$B$7="Baik (%)",P263,IF(Dashboard!$B$7="Sedang (%)",R263,IF(Dashboard!$B$7="Rusak Ringan (%)",T263,IF(Dashboard!$B$7="Rusak Berat (%)",V263,AA263))))))</f>
        <v>0.72815533980582525</v>
      </c>
      <c r="AD263" s="20">
        <f>IF(AND(AF263=1,E263&gt;=Dashboard!$B$10,IF(Dashboard!$B$9="≤ Maksimum",AC263&lt;=Dashboard!$B$8,AC263&gt;=Dashboard!$B$8)),1,0)</f>
        <v>1</v>
      </c>
      <c r="AE263" s="20">
        <f>IF(AD263=1,COUNTIFS($AD$2:$AD$351,1,$AC$2:$AC$351,"&gt;"&amp;AC263)+COUNTIFS($AD$2:AD263,1,$AC$2:AC263,AC263),"")</f>
        <v>79</v>
      </c>
      <c r="AF263" s="20">
        <f>IF(OR(Dashboard!$B$6="Semua",ISNUMBER(SEARCH(Dashboard!$B$6,D263))),1,0)</f>
        <v>1</v>
      </c>
      <c r="AG263" s="18">
        <f t="shared" si="62"/>
        <v>2.06</v>
      </c>
      <c r="AH263" s="18">
        <f t="shared" si="63"/>
        <v>0.56000000238418579</v>
      </c>
      <c r="AI263" s="18">
        <f t="shared" si="64"/>
        <v>1.5</v>
      </c>
      <c r="AJ263" s="18">
        <f t="shared" si="65"/>
        <v>1.5</v>
      </c>
      <c r="AK263" s="20">
        <f>IF(OR(Ruas_Per_Kecamatan!$B$4="Semua",ISNUMBER(SEARCH(Ruas_Per_Kecamatan!$B$4,D263))),1,0)</f>
        <v>1</v>
      </c>
      <c r="AL263" s="20">
        <f>IF(AK263=1,COUNTIF($AK$2:AK263,1),"")</f>
        <v>262</v>
      </c>
      <c r="AM263" s="18">
        <f t="shared" si="66"/>
        <v>2.06</v>
      </c>
      <c r="AN263" s="18">
        <f t="shared" si="67"/>
        <v>0.56000000238418579</v>
      </c>
      <c r="AO263" s="18">
        <f t="shared" si="68"/>
        <v>1.5</v>
      </c>
      <c r="AP263" s="18">
        <f t="shared" si="69"/>
        <v>1.5</v>
      </c>
    </row>
    <row r="264" spans="1:42" x14ac:dyDescent="0.25">
      <c r="A264" s="17">
        <v>263</v>
      </c>
      <c r="B264" s="17" t="s">
        <v>713</v>
      </c>
      <c r="C264" s="21" t="s">
        <v>314</v>
      </c>
      <c r="D264" s="17" t="s">
        <v>309</v>
      </c>
      <c r="E264" s="18">
        <v>9.4600000000000009</v>
      </c>
      <c r="F264" s="18">
        <v>3</v>
      </c>
      <c r="G264" s="18">
        <v>0</v>
      </c>
      <c r="H264" s="18"/>
      <c r="I264" s="18">
        <v>2025</v>
      </c>
      <c r="J264" s="18">
        <v>5</v>
      </c>
      <c r="K264" s="18">
        <v>0</v>
      </c>
      <c r="L264" s="18">
        <v>0</v>
      </c>
      <c r="M264" s="18">
        <v>2.2999999523162842</v>
      </c>
      <c r="N264" s="18">
        <v>2.1600000858306885</v>
      </c>
      <c r="O264" s="18">
        <v>3</v>
      </c>
      <c r="P264" s="19">
        <v>0.31712473572938688</v>
      </c>
      <c r="Q264" s="18">
        <v>0.30000001192092896</v>
      </c>
      <c r="R264" s="19">
        <v>3.1712474833079166E-2</v>
      </c>
      <c r="S264" s="18">
        <v>0.5</v>
      </c>
      <c r="T264" s="19">
        <v>5.2854122621564477E-2</v>
      </c>
      <c r="U264" s="18">
        <v>5.6600000858306885</v>
      </c>
      <c r="V264" s="19">
        <v>0.59830867714912139</v>
      </c>
      <c r="W264">
        <f t="shared" si="56"/>
        <v>3.300000011920929</v>
      </c>
      <c r="X264" s="19">
        <f t="shared" si="57"/>
        <v>0.34883721056246603</v>
      </c>
      <c r="Y264">
        <f t="shared" si="58"/>
        <v>6.1600000858306885</v>
      </c>
      <c r="Z264" s="19">
        <f t="shared" si="59"/>
        <v>0.65116279977068581</v>
      </c>
      <c r="AA264" s="19">
        <f t="shared" si="60"/>
        <v>0.63794926943032992</v>
      </c>
      <c r="AB264" t="str">
        <f t="shared" si="61"/>
        <v>Rusak Berat Dominan</v>
      </c>
      <c r="AC264" s="19">
        <f>IF(Dashboard!$B$7="Mantap (%)",X264,IF(Dashboard!$B$7="Tidak Mantap (%)",Z264,IF(Dashboard!$B$7="Baik (%)",P264,IF(Dashboard!$B$7="Sedang (%)",R264,IF(Dashboard!$B$7="Rusak Ringan (%)",T264,IF(Dashboard!$B$7="Rusak Berat (%)",V264,AA264))))))</f>
        <v>0.65116279977068581</v>
      </c>
      <c r="AD264" s="20">
        <f>IF(AND(AF264=1,E264&gt;=Dashboard!$B$10,IF(Dashboard!$B$9="≤ Maksimum",AC264&lt;=Dashboard!$B$8,AC264&gt;=Dashboard!$B$8)),1,0)</f>
        <v>1</v>
      </c>
      <c r="AE264" s="20">
        <f>IF(AD264=1,COUNTIFS($AD$2:$AD$351,1,$AC$2:$AC$351,"&gt;"&amp;AC264)+COUNTIFS($AD$2:AD264,1,$AC$2:AC264,AC264),"")</f>
        <v>98</v>
      </c>
      <c r="AF264" s="20">
        <f>IF(OR(Dashboard!$B$6="Semua",ISNUMBER(SEARCH(Dashboard!$B$6,D264))),1,0)</f>
        <v>1</v>
      </c>
      <c r="AG264" s="18">
        <f t="shared" si="62"/>
        <v>9.4600000000000009</v>
      </c>
      <c r="AH264" s="18">
        <f t="shared" si="63"/>
        <v>3.300000011920929</v>
      </c>
      <c r="AI264" s="18">
        <f t="shared" si="64"/>
        <v>6.1600000858306885</v>
      </c>
      <c r="AJ264" s="18">
        <f t="shared" si="65"/>
        <v>5.6600000858306885</v>
      </c>
      <c r="AK264" s="20">
        <f>IF(OR(Ruas_Per_Kecamatan!$B$4="Semua",ISNUMBER(SEARCH(Ruas_Per_Kecamatan!$B$4,D264))),1,0)</f>
        <v>1</v>
      </c>
      <c r="AL264" s="20">
        <f>IF(AK264=1,COUNTIF($AK$2:AK264,1),"")</f>
        <v>263</v>
      </c>
      <c r="AM264" s="18">
        <f t="shared" si="66"/>
        <v>9.4600000000000009</v>
      </c>
      <c r="AN264" s="18">
        <f t="shared" si="67"/>
        <v>3.300000011920929</v>
      </c>
      <c r="AO264" s="18">
        <f t="shared" si="68"/>
        <v>6.1600000858306885</v>
      </c>
      <c r="AP264" s="18">
        <f t="shared" si="69"/>
        <v>5.6600000858306885</v>
      </c>
    </row>
    <row r="265" spans="1:42" x14ac:dyDescent="0.25">
      <c r="A265" s="17">
        <v>264</v>
      </c>
      <c r="B265" s="17" t="s">
        <v>714</v>
      </c>
      <c r="C265" s="21" t="s">
        <v>315</v>
      </c>
      <c r="D265" s="17" t="s">
        <v>309</v>
      </c>
      <c r="E265" s="18">
        <v>0.81</v>
      </c>
      <c r="F265" s="18">
        <v>3.5</v>
      </c>
      <c r="G265" s="18">
        <v>0</v>
      </c>
      <c r="H265" s="18"/>
      <c r="I265" s="18">
        <v>2025</v>
      </c>
      <c r="J265" s="18">
        <v>0</v>
      </c>
      <c r="K265" s="18">
        <v>0</v>
      </c>
      <c r="L265" s="18">
        <v>0.81000000238418579</v>
      </c>
      <c r="M265" s="18">
        <v>0</v>
      </c>
      <c r="N265" s="18">
        <v>0</v>
      </c>
      <c r="O265" s="18">
        <v>0</v>
      </c>
      <c r="P265" s="19">
        <v>0</v>
      </c>
      <c r="Q265" s="18">
        <v>0.20999999344348907</v>
      </c>
      <c r="R265" s="19">
        <v>0.25925925116480131</v>
      </c>
      <c r="S265" s="18">
        <v>0.30000001192092896</v>
      </c>
      <c r="T265" s="19">
        <v>0.37037038508756659</v>
      </c>
      <c r="U265" s="18">
        <v>0.30000001192092896</v>
      </c>
      <c r="V265" s="19">
        <v>0.37037038508756659</v>
      </c>
      <c r="W265">
        <f t="shared" si="56"/>
        <v>0.20999999344348907</v>
      </c>
      <c r="X265" s="19">
        <f t="shared" si="57"/>
        <v>0.25925925116480131</v>
      </c>
      <c r="Y265">
        <f t="shared" si="58"/>
        <v>0.60000002384185791</v>
      </c>
      <c r="Z265" s="19">
        <f t="shared" si="59"/>
        <v>0.74074077017513318</v>
      </c>
      <c r="AA265" s="19">
        <f t="shared" si="60"/>
        <v>0.65740742893130688</v>
      </c>
      <c r="AB265" t="str">
        <f t="shared" si="61"/>
        <v>Rusak Berat Dominan</v>
      </c>
      <c r="AC265" s="19">
        <f>IF(Dashboard!$B$7="Mantap (%)",X265,IF(Dashboard!$B$7="Tidak Mantap (%)",Z265,IF(Dashboard!$B$7="Baik (%)",P265,IF(Dashboard!$B$7="Sedang (%)",R265,IF(Dashboard!$B$7="Rusak Ringan (%)",T265,IF(Dashboard!$B$7="Rusak Berat (%)",V265,AA265))))))</f>
        <v>0.74074077017513318</v>
      </c>
      <c r="AD265" s="20">
        <f>IF(AND(AF265=1,E265&gt;=Dashboard!$B$10,IF(Dashboard!$B$9="≤ Maksimum",AC265&lt;=Dashboard!$B$8,AC265&gt;=Dashboard!$B$8)),1,0)</f>
        <v>1</v>
      </c>
      <c r="AE265" s="20">
        <f>IF(AD265=1,COUNTIFS($AD$2:$AD$351,1,$AC$2:$AC$351,"&gt;"&amp;AC265)+COUNTIFS($AD$2:AD265,1,$AC$2:AC265,AC265),"")</f>
        <v>77</v>
      </c>
      <c r="AF265" s="20">
        <f>IF(OR(Dashboard!$B$6="Semua",ISNUMBER(SEARCH(Dashboard!$B$6,D265))),1,0)</f>
        <v>1</v>
      </c>
      <c r="AG265" s="18">
        <f t="shared" si="62"/>
        <v>0.81</v>
      </c>
      <c r="AH265" s="18">
        <f t="shared" si="63"/>
        <v>0.20999999344348907</v>
      </c>
      <c r="AI265" s="18">
        <f t="shared" si="64"/>
        <v>0.60000002384185791</v>
      </c>
      <c r="AJ265" s="18">
        <f t="shared" si="65"/>
        <v>0.30000001192092896</v>
      </c>
      <c r="AK265" s="20">
        <f>IF(OR(Ruas_Per_Kecamatan!$B$4="Semua",ISNUMBER(SEARCH(Ruas_Per_Kecamatan!$B$4,D265))),1,0)</f>
        <v>1</v>
      </c>
      <c r="AL265" s="20">
        <f>IF(AK265=1,COUNTIF($AK$2:AK265,1),"")</f>
        <v>264</v>
      </c>
      <c r="AM265" s="18">
        <f t="shared" si="66"/>
        <v>0.81</v>
      </c>
      <c r="AN265" s="18">
        <f t="shared" si="67"/>
        <v>0.20999999344348907</v>
      </c>
      <c r="AO265" s="18">
        <f t="shared" si="68"/>
        <v>0.60000002384185791</v>
      </c>
      <c r="AP265" s="18">
        <f t="shared" si="69"/>
        <v>0.30000001192092896</v>
      </c>
    </row>
    <row r="266" spans="1:42" x14ac:dyDescent="0.25">
      <c r="A266" s="17">
        <v>265</v>
      </c>
      <c r="B266" s="17" t="s">
        <v>715</v>
      </c>
      <c r="C266" s="21" t="s">
        <v>316</v>
      </c>
      <c r="D266" s="17" t="s">
        <v>309</v>
      </c>
      <c r="E266" s="18">
        <v>0.74</v>
      </c>
      <c r="F266" s="18">
        <v>3.5</v>
      </c>
      <c r="G266" s="18">
        <v>0</v>
      </c>
      <c r="H266" s="18"/>
      <c r="I266" s="18">
        <v>2025</v>
      </c>
      <c r="J266" s="18">
        <v>0.74000000953674316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9">
        <v>0</v>
      </c>
      <c r="Q266" s="18">
        <v>0.10000000149011612</v>
      </c>
      <c r="R266" s="19">
        <v>0.13513513714880557</v>
      </c>
      <c r="S266" s="18">
        <v>0.14000000059604645</v>
      </c>
      <c r="T266" s="19">
        <v>0.18918918999465736</v>
      </c>
      <c r="U266" s="18">
        <v>0.5</v>
      </c>
      <c r="V266" s="19">
        <v>0.67567567567567566</v>
      </c>
      <c r="W266">
        <f t="shared" si="56"/>
        <v>0.10000000149011612</v>
      </c>
      <c r="X266" s="19">
        <f t="shared" si="57"/>
        <v>0.13513513714880557</v>
      </c>
      <c r="Y266">
        <f t="shared" si="58"/>
        <v>0.64000000059604645</v>
      </c>
      <c r="Z266" s="19">
        <f t="shared" si="59"/>
        <v>0.86486486567033305</v>
      </c>
      <c r="AA266" s="19">
        <f t="shared" si="60"/>
        <v>0.82297297395967139</v>
      </c>
      <c r="AB266" t="str">
        <f t="shared" si="61"/>
        <v>Rusak Berat Dominan</v>
      </c>
      <c r="AC266" s="19">
        <f>IF(Dashboard!$B$7="Mantap (%)",X266,IF(Dashboard!$B$7="Tidak Mantap (%)",Z266,IF(Dashboard!$B$7="Baik (%)",P266,IF(Dashboard!$B$7="Sedang (%)",R266,IF(Dashboard!$B$7="Rusak Ringan (%)",T266,IF(Dashboard!$B$7="Rusak Berat (%)",V266,AA266))))))</f>
        <v>0.86486486567033305</v>
      </c>
      <c r="AD266" s="20">
        <f>IF(AND(AF266=1,E266&gt;=Dashboard!$B$10,IF(Dashboard!$B$9="≤ Maksimum",AC266&lt;=Dashboard!$B$8,AC266&gt;=Dashboard!$B$8)),1,0)</f>
        <v>1</v>
      </c>
      <c r="AE266" s="20">
        <f>IF(AD266=1,COUNTIFS($AD$2:$AD$351,1,$AC$2:$AC$351,"&gt;"&amp;AC266)+COUNTIFS($AD$2:AD266,1,$AC$2:AC266,AC266),"")</f>
        <v>61</v>
      </c>
      <c r="AF266" s="20">
        <f>IF(OR(Dashboard!$B$6="Semua",ISNUMBER(SEARCH(Dashboard!$B$6,D266))),1,0)</f>
        <v>1</v>
      </c>
      <c r="AG266" s="18">
        <f t="shared" si="62"/>
        <v>0.74</v>
      </c>
      <c r="AH266" s="18">
        <f t="shared" si="63"/>
        <v>0.10000000149011612</v>
      </c>
      <c r="AI266" s="18">
        <f t="shared" si="64"/>
        <v>0.64000000059604645</v>
      </c>
      <c r="AJ266" s="18">
        <f t="shared" si="65"/>
        <v>0.5</v>
      </c>
      <c r="AK266" s="20">
        <f>IF(OR(Ruas_Per_Kecamatan!$B$4="Semua",ISNUMBER(SEARCH(Ruas_Per_Kecamatan!$B$4,D266))),1,0)</f>
        <v>1</v>
      </c>
      <c r="AL266" s="20">
        <f>IF(AK266=1,COUNTIF($AK$2:AK266,1),"")</f>
        <v>265</v>
      </c>
      <c r="AM266" s="18">
        <f t="shared" si="66"/>
        <v>0.74</v>
      </c>
      <c r="AN266" s="18">
        <f t="shared" si="67"/>
        <v>0.10000000149011612</v>
      </c>
      <c r="AO266" s="18">
        <f t="shared" si="68"/>
        <v>0.64000000059604645</v>
      </c>
      <c r="AP266" s="18">
        <f t="shared" si="69"/>
        <v>0.5</v>
      </c>
    </row>
    <row r="267" spans="1:42" ht="30" x14ac:dyDescent="0.25">
      <c r="A267" s="17">
        <v>266</v>
      </c>
      <c r="B267" s="17" t="s">
        <v>716</v>
      </c>
      <c r="C267" s="21" t="s">
        <v>317</v>
      </c>
      <c r="D267" s="17" t="s">
        <v>318</v>
      </c>
      <c r="E267" s="18">
        <v>7.78</v>
      </c>
      <c r="F267" s="18">
        <v>3</v>
      </c>
      <c r="G267" s="18">
        <v>0</v>
      </c>
      <c r="H267" s="18"/>
      <c r="I267" s="18">
        <v>2025</v>
      </c>
      <c r="J267" s="18">
        <v>5.880000114440918</v>
      </c>
      <c r="K267" s="18">
        <v>0</v>
      </c>
      <c r="L267" s="18">
        <v>0</v>
      </c>
      <c r="M267" s="18">
        <v>1.8999999761581421</v>
      </c>
      <c r="N267" s="18">
        <v>0</v>
      </c>
      <c r="O267" s="18">
        <v>0</v>
      </c>
      <c r="P267" s="19">
        <v>0</v>
      </c>
      <c r="Q267" s="18">
        <v>4.179999828338623</v>
      </c>
      <c r="R267" s="19">
        <v>0.53727504220290778</v>
      </c>
      <c r="S267" s="18">
        <v>0.89999997615814209</v>
      </c>
      <c r="T267" s="19">
        <v>0.1156812308686558</v>
      </c>
      <c r="U267" s="18">
        <v>2.699999988079071</v>
      </c>
      <c r="V267" s="19">
        <v>0.34704370026723275</v>
      </c>
      <c r="W267">
        <f t="shared" si="56"/>
        <v>4.179999828338623</v>
      </c>
      <c r="X267" s="19">
        <f t="shared" si="57"/>
        <v>0.53727504220290778</v>
      </c>
      <c r="Y267">
        <f t="shared" si="58"/>
        <v>3.5999999642372131</v>
      </c>
      <c r="Z267" s="19">
        <f t="shared" si="59"/>
        <v>0.46272493113588858</v>
      </c>
      <c r="AA267" s="19">
        <f t="shared" si="60"/>
        <v>0.55077119933915319</v>
      </c>
      <c r="AB267" t="str">
        <f t="shared" si="61"/>
        <v>Rusak Berat Dominan</v>
      </c>
      <c r="AC267" s="19">
        <f>IF(Dashboard!$B$7="Mantap (%)",X267,IF(Dashboard!$B$7="Tidak Mantap (%)",Z267,IF(Dashboard!$B$7="Baik (%)",P267,IF(Dashboard!$B$7="Sedang (%)",R267,IF(Dashboard!$B$7="Rusak Ringan (%)",T267,IF(Dashboard!$B$7="Rusak Berat (%)",V267,AA267))))))</f>
        <v>0.46272493113588858</v>
      </c>
      <c r="AD267" s="20">
        <f>IF(AND(AF267=1,E267&gt;=Dashboard!$B$10,IF(Dashboard!$B$9="≤ Maksimum",AC267&lt;=Dashboard!$B$8,AC267&gt;=Dashboard!$B$8)),1,0)</f>
        <v>1</v>
      </c>
      <c r="AE267" s="20">
        <f>IF(AD267=1,COUNTIFS($AD$2:$AD$351,1,$AC$2:$AC$351,"&gt;"&amp;AC267)+COUNTIFS($AD$2:AD267,1,$AC$2:AC267,AC267),"")</f>
        <v>133</v>
      </c>
      <c r="AF267" s="20">
        <f>IF(OR(Dashboard!$B$6="Semua",ISNUMBER(SEARCH(Dashboard!$B$6,D267))),1,0)</f>
        <v>1</v>
      </c>
      <c r="AG267" s="18">
        <f t="shared" si="62"/>
        <v>7.78</v>
      </c>
      <c r="AH267" s="18">
        <f t="shared" si="63"/>
        <v>4.179999828338623</v>
      </c>
      <c r="AI267" s="18">
        <f t="shared" si="64"/>
        <v>3.5999999642372131</v>
      </c>
      <c r="AJ267" s="18">
        <f t="shared" si="65"/>
        <v>2.699999988079071</v>
      </c>
      <c r="AK267" s="20">
        <f>IF(OR(Ruas_Per_Kecamatan!$B$4="Semua",ISNUMBER(SEARCH(Ruas_Per_Kecamatan!$B$4,D267))),1,0)</f>
        <v>1</v>
      </c>
      <c r="AL267" s="20">
        <f>IF(AK267=1,COUNTIF($AK$2:AK267,1),"")</f>
        <v>266</v>
      </c>
      <c r="AM267" s="18">
        <f t="shared" si="66"/>
        <v>7.78</v>
      </c>
      <c r="AN267" s="18">
        <f t="shared" si="67"/>
        <v>4.179999828338623</v>
      </c>
      <c r="AO267" s="18">
        <f t="shared" si="68"/>
        <v>3.5999999642372131</v>
      </c>
      <c r="AP267" s="18">
        <f t="shared" si="69"/>
        <v>2.699999988079071</v>
      </c>
    </row>
    <row r="268" spans="1:42" x14ac:dyDescent="0.25">
      <c r="A268" s="17">
        <v>267</v>
      </c>
      <c r="B268" s="17" t="s">
        <v>717</v>
      </c>
      <c r="C268" s="21" t="s">
        <v>319</v>
      </c>
      <c r="D268" s="17" t="s">
        <v>309</v>
      </c>
      <c r="E268" s="18">
        <v>0.43</v>
      </c>
      <c r="F268" s="18">
        <v>3</v>
      </c>
      <c r="G268" s="18">
        <v>0</v>
      </c>
      <c r="H268" s="18"/>
      <c r="I268" s="18">
        <v>2025</v>
      </c>
      <c r="J268" s="18">
        <v>0.43000000715255737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9">
        <v>0</v>
      </c>
      <c r="Q268" s="18">
        <v>0.23000000417232513</v>
      </c>
      <c r="R268" s="19">
        <v>0.53488373063331429</v>
      </c>
      <c r="S268" s="18">
        <v>0.20000000298023224</v>
      </c>
      <c r="T268" s="19">
        <v>0.46511628600054011</v>
      </c>
      <c r="U268" s="18">
        <v>0</v>
      </c>
      <c r="V268" s="19">
        <v>0</v>
      </c>
      <c r="W268">
        <f t="shared" si="56"/>
        <v>0.23000000417232513</v>
      </c>
      <c r="X268" s="19">
        <f t="shared" si="57"/>
        <v>0.53488373063331429</v>
      </c>
      <c r="Y268">
        <f t="shared" si="58"/>
        <v>0.20000000298023224</v>
      </c>
      <c r="Z268" s="19">
        <f t="shared" si="59"/>
        <v>0.46511628600054011</v>
      </c>
      <c r="AA268" s="19">
        <f t="shared" si="60"/>
        <v>0.41279070425865261</v>
      </c>
      <c r="AB268" t="str">
        <f t="shared" si="61"/>
        <v>Tidak Mantap Sedang</v>
      </c>
      <c r="AC268" s="19">
        <f>IF(Dashboard!$B$7="Mantap (%)",X268,IF(Dashboard!$B$7="Tidak Mantap (%)",Z268,IF(Dashboard!$B$7="Baik (%)",P268,IF(Dashboard!$B$7="Sedang (%)",R268,IF(Dashboard!$B$7="Rusak Ringan (%)",T268,IF(Dashboard!$B$7="Rusak Berat (%)",V268,AA268))))))</f>
        <v>0.46511628600054011</v>
      </c>
      <c r="AD268" s="20">
        <f>IF(AND(AF268=1,E268&gt;=Dashboard!$B$10,IF(Dashboard!$B$9="≤ Maksimum",AC268&lt;=Dashboard!$B$8,AC268&gt;=Dashboard!$B$8)),1,0)</f>
        <v>1</v>
      </c>
      <c r="AE268" s="20">
        <f>IF(AD268=1,COUNTIFS($AD$2:$AD$351,1,$AC$2:$AC$351,"&gt;"&amp;AC268)+COUNTIFS($AD$2:AD268,1,$AC$2:AC268,AC268),"")</f>
        <v>132</v>
      </c>
      <c r="AF268" s="20">
        <f>IF(OR(Dashboard!$B$6="Semua",ISNUMBER(SEARCH(Dashboard!$B$6,D268))),1,0)</f>
        <v>1</v>
      </c>
      <c r="AG268" s="18">
        <f t="shared" si="62"/>
        <v>0.43</v>
      </c>
      <c r="AH268" s="18">
        <f t="shared" si="63"/>
        <v>0.23000000417232513</v>
      </c>
      <c r="AI268" s="18">
        <f t="shared" si="64"/>
        <v>0.20000000298023224</v>
      </c>
      <c r="AJ268" s="18">
        <f t="shared" si="65"/>
        <v>0</v>
      </c>
      <c r="AK268" s="20">
        <f>IF(OR(Ruas_Per_Kecamatan!$B$4="Semua",ISNUMBER(SEARCH(Ruas_Per_Kecamatan!$B$4,D268))),1,0)</f>
        <v>1</v>
      </c>
      <c r="AL268" s="20">
        <f>IF(AK268=1,COUNTIF($AK$2:AK268,1),"")</f>
        <v>267</v>
      </c>
      <c r="AM268" s="18">
        <f t="shared" si="66"/>
        <v>0.43</v>
      </c>
      <c r="AN268" s="18">
        <f t="shared" si="67"/>
        <v>0.23000000417232513</v>
      </c>
      <c r="AO268" s="18">
        <f t="shared" si="68"/>
        <v>0.20000000298023224</v>
      </c>
      <c r="AP268" s="18">
        <f t="shared" si="69"/>
        <v>0</v>
      </c>
    </row>
    <row r="269" spans="1:42" x14ac:dyDescent="0.25">
      <c r="A269" s="17">
        <v>268</v>
      </c>
      <c r="B269" s="17" t="s">
        <v>718</v>
      </c>
      <c r="C269" s="21" t="s">
        <v>320</v>
      </c>
      <c r="D269" s="17" t="s">
        <v>309</v>
      </c>
      <c r="E269" s="18">
        <v>1.79</v>
      </c>
      <c r="F269" s="18">
        <v>3</v>
      </c>
      <c r="G269" s="18">
        <v>0</v>
      </c>
      <c r="H269" s="18"/>
      <c r="I269" s="18">
        <v>2025</v>
      </c>
      <c r="J269" s="18">
        <v>1.7899999618530273</v>
      </c>
      <c r="K269" s="18">
        <v>0</v>
      </c>
      <c r="L269" s="18">
        <v>0</v>
      </c>
      <c r="M269" s="18">
        <v>0</v>
      </c>
      <c r="N269" s="18">
        <v>0</v>
      </c>
      <c r="O269" s="18">
        <v>0.88999998569488525</v>
      </c>
      <c r="P269" s="19">
        <v>0.4972066959189303</v>
      </c>
      <c r="Q269" s="18">
        <v>0.89999997615814209</v>
      </c>
      <c r="R269" s="19">
        <v>0.50279328276991175</v>
      </c>
      <c r="S269" s="18">
        <v>0</v>
      </c>
      <c r="T269" s="19">
        <v>0</v>
      </c>
      <c r="U269" s="18">
        <v>0</v>
      </c>
      <c r="V269" s="19">
        <v>0</v>
      </c>
      <c r="W269">
        <f t="shared" si="56"/>
        <v>1.7899999618530273</v>
      </c>
      <c r="X269" s="19">
        <f t="shared" si="57"/>
        <v>0.99999997868884205</v>
      </c>
      <c r="Y269">
        <f t="shared" si="58"/>
        <v>0</v>
      </c>
      <c r="Z269" s="19">
        <f t="shared" si="59"/>
        <v>0</v>
      </c>
      <c r="AA269" s="19">
        <f t="shared" si="60"/>
        <v>0.12569832069247794</v>
      </c>
      <c r="AB269" t="str">
        <f t="shared" si="61"/>
        <v>Relatif Mantap</v>
      </c>
      <c r="AC269" s="19">
        <f>IF(Dashboard!$B$7="Mantap (%)",X269,IF(Dashboard!$B$7="Tidak Mantap (%)",Z269,IF(Dashboard!$B$7="Baik (%)",P269,IF(Dashboard!$B$7="Sedang (%)",R269,IF(Dashboard!$B$7="Rusak Ringan (%)",T269,IF(Dashboard!$B$7="Rusak Berat (%)",V269,AA269))))))</f>
        <v>0</v>
      </c>
      <c r="AD269" s="20">
        <f>IF(AND(AF269=1,E269&gt;=Dashboard!$B$10,IF(Dashboard!$B$9="≤ Maksimum",AC269&lt;=Dashboard!$B$8,AC269&gt;=Dashboard!$B$8)),1,0)</f>
        <v>0</v>
      </c>
      <c r="AE269" s="20" t="str">
        <f>IF(AD269=1,COUNTIFS($AD$2:$AD$351,1,$AC$2:$AC$351,"&gt;"&amp;AC269)+COUNTIFS($AD$2:AD269,1,$AC$2:AC269,AC269),"")</f>
        <v/>
      </c>
      <c r="AF269" s="20">
        <f>IF(OR(Dashboard!$B$6="Semua",ISNUMBER(SEARCH(Dashboard!$B$6,D269))),1,0)</f>
        <v>1</v>
      </c>
      <c r="AG269" s="18">
        <f t="shared" si="62"/>
        <v>1.79</v>
      </c>
      <c r="AH269" s="18">
        <f t="shared" si="63"/>
        <v>1.7899999618530273</v>
      </c>
      <c r="AI269" s="18">
        <f t="shared" si="64"/>
        <v>0</v>
      </c>
      <c r="AJ269" s="18">
        <f t="shared" si="65"/>
        <v>0</v>
      </c>
      <c r="AK269" s="20">
        <f>IF(OR(Ruas_Per_Kecamatan!$B$4="Semua",ISNUMBER(SEARCH(Ruas_Per_Kecamatan!$B$4,D269))),1,0)</f>
        <v>1</v>
      </c>
      <c r="AL269" s="20">
        <f>IF(AK269=1,COUNTIF($AK$2:AK269,1),"")</f>
        <v>268</v>
      </c>
      <c r="AM269" s="18">
        <f t="shared" si="66"/>
        <v>1.79</v>
      </c>
      <c r="AN269" s="18">
        <f t="shared" si="67"/>
        <v>1.7899999618530273</v>
      </c>
      <c r="AO269" s="18">
        <f t="shared" si="68"/>
        <v>0</v>
      </c>
      <c r="AP269" s="18">
        <f t="shared" si="69"/>
        <v>0</v>
      </c>
    </row>
    <row r="270" spans="1:42" x14ac:dyDescent="0.25">
      <c r="A270" s="17">
        <v>269</v>
      </c>
      <c r="B270" s="17" t="s">
        <v>719</v>
      </c>
      <c r="C270" s="21" t="s">
        <v>321</v>
      </c>
      <c r="D270" s="17" t="s">
        <v>309</v>
      </c>
      <c r="E270" s="18">
        <v>0.61</v>
      </c>
      <c r="F270" s="18">
        <v>3.5</v>
      </c>
      <c r="G270" s="18">
        <v>0</v>
      </c>
      <c r="H270" s="18"/>
      <c r="I270" s="18">
        <v>2025</v>
      </c>
      <c r="J270" s="18">
        <v>0.40000000596046448</v>
      </c>
      <c r="K270" s="18">
        <v>0</v>
      </c>
      <c r="L270" s="18">
        <v>0.20999999344348907</v>
      </c>
      <c r="M270" s="18">
        <v>0</v>
      </c>
      <c r="N270" s="18">
        <v>0</v>
      </c>
      <c r="O270" s="18">
        <v>0</v>
      </c>
      <c r="P270" s="19">
        <v>0</v>
      </c>
      <c r="Q270" s="18">
        <v>0.20999999344348907</v>
      </c>
      <c r="R270" s="19">
        <v>0.34426228433358863</v>
      </c>
      <c r="S270" s="18">
        <v>0</v>
      </c>
      <c r="T270" s="19">
        <v>0</v>
      </c>
      <c r="U270" s="18">
        <v>0.40000000596046448</v>
      </c>
      <c r="V270" s="19">
        <v>0.65573771468928599</v>
      </c>
      <c r="W270">
        <f t="shared" si="56"/>
        <v>0.20999999344348907</v>
      </c>
      <c r="X270" s="19">
        <f t="shared" si="57"/>
        <v>0.34426228433358863</v>
      </c>
      <c r="Y270">
        <f t="shared" si="58"/>
        <v>0.40000000596046448</v>
      </c>
      <c r="Z270" s="19">
        <f t="shared" si="59"/>
        <v>0.65573771468928599</v>
      </c>
      <c r="AA270" s="19">
        <f t="shared" si="60"/>
        <v>0.74180328577268317</v>
      </c>
      <c r="AB270" t="str">
        <f t="shared" si="61"/>
        <v>Rusak Berat Dominan</v>
      </c>
      <c r="AC270" s="19">
        <f>IF(Dashboard!$B$7="Mantap (%)",X270,IF(Dashboard!$B$7="Tidak Mantap (%)",Z270,IF(Dashboard!$B$7="Baik (%)",P270,IF(Dashboard!$B$7="Sedang (%)",R270,IF(Dashboard!$B$7="Rusak Ringan (%)",T270,IF(Dashboard!$B$7="Rusak Berat (%)",V270,AA270))))))</f>
        <v>0.65573771468928599</v>
      </c>
      <c r="AD270" s="20">
        <f>IF(AND(AF270=1,E270&gt;=Dashboard!$B$10,IF(Dashboard!$B$9="≤ Maksimum",AC270&lt;=Dashboard!$B$8,AC270&gt;=Dashboard!$B$8)),1,0)</f>
        <v>1</v>
      </c>
      <c r="AE270" s="20">
        <f>IF(AD270=1,COUNTIFS($AD$2:$AD$351,1,$AC$2:$AC$351,"&gt;"&amp;AC270)+COUNTIFS($AD$2:AD270,1,$AC$2:AC270,AC270),"")</f>
        <v>97</v>
      </c>
      <c r="AF270" s="20">
        <f>IF(OR(Dashboard!$B$6="Semua",ISNUMBER(SEARCH(Dashboard!$B$6,D270))),1,0)</f>
        <v>1</v>
      </c>
      <c r="AG270" s="18">
        <f t="shared" si="62"/>
        <v>0.61</v>
      </c>
      <c r="AH270" s="18">
        <f t="shared" si="63"/>
        <v>0.20999999344348907</v>
      </c>
      <c r="AI270" s="18">
        <f t="shared" si="64"/>
        <v>0.40000000596046448</v>
      </c>
      <c r="AJ270" s="18">
        <f t="shared" si="65"/>
        <v>0.40000000596046448</v>
      </c>
      <c r="AK270" s="20">
        <f>IF(OR(Ruas_Per_Kecamatan!$B$4="Semua",ISNUMBER(SEARCH(Ruas_Per_Kecamatan!$B$4,D270))),1,0)</f>
        <v>1</v>
      </c>
      <c r="AL270" s="20">
        <f>IF(AK270=1,COUNTIF($AK$2:AK270,1),"")</f>
        <v>269</v>
      </c>
      <c r="AM270" s="18">
        <f t="shared" si="66"/>
        <v>0.61</v>
      </c>
      <c r="AN270" s="18">
        <f t="shared" si="67"/>
        <v>0.20999999344348907</v>
      </c>
      <c r="AO270" s="18">
        <f t="shared" si="68"/>
        <v>0.40000000596046448</v>
      </c>
      <c r="AP270" s="18">
        <f t="shared" si="69"/>
        <v>0.40000000596046448</v>
      </c>
    </row>
    <row r="271" spans="1:42" x14ac:dyDescent="0.25">
      <c r="A271" s="17">
        <v>270</v>
      </c>
      <c r="B271" s="17" t="s">
        <v>720</v>
      </c>
      <c r="C271" s="21" t="s">
        <v>322</v>
      </c>
      <c r="D271" s="17" t="s">
        <v>309</v>
      </c>
      <c r="E271" s="18">
        <v>0.12</v>
      </c>
      <c r="F271" s="18">
        <v>3.5</v>
      </c>
      <c r="G271" s="18">
        <v>0</v>
      </c>
      <c r="H271" s="18"/>
      <c r="I271" s="18">
        <v>2025</v>
      </c>
      <c r="J271" s="18">
        <v>0.11999999731779099</v>
      </c>
      <c r="K271" s="18">
        <v>0</v>
      </c>
      <c r="L271" s="18">
        <v>0</v>
      </c>
      <c r="M271" s="18">
        <v>0</v>
      </c>
      <c r="N271" s="18">
        <v>0</v>
      </c>
      <c r="O271" s="18">
        <v>0.11999999731779099</v>
      </c>
      <c r="P271" s="19">
        <v>0.99999997764825821</v>
      </c>
      <c r="Q271" s="18">
        <v>0</v>
      </c>
      <c r="R271" s="19">
        <v>0</v>
      </c>
      <c r="S271" s="18">
        <v>0</v>
      </c>
      <c r="T271" s="19">
        <v>0</v>
      </c>
      <c r="U271" s="18">
        <v>0</v>
      </c>
      <c r="V271" s="19">
        <v>0</v>
      </c>
      <c r="W271">
        <f t="shared" si="56"/>
        <v>0.11999999731779099</v>
      </c>
      <c r="X271" s="19">
        <f t="shared" si="57"/>
        <v>0.99999997764825821</v>
      </c>
      <c r="Y271">
        <f t="shared" si="58"/>
        <v>0</v>
      </c>
      <c r="Z271" s="19">
        <f t="shared" si="59"/>
        <v>0</v>
      </c>
      <c r="AA271" s="19">
        <f t="shared" si="60"/>
        <v>0</v>
      </c>
      <c r="AB271" t="str">
        <f t="shared" si="61"/>
        <v>Relatif Mantap</v>
      </c>
      <c r="AC271" s="19">
        <f>IF(Dashboard!$B$7="Mantap (%)",X271,IF(Dashboard!$B$7="Tidak Mantap (%)",Z271,IF(Dashboard!$B$7="Baik (%)",P271,IF(Dashboard!$B$7="Sedang (%)",R271,IF(Dashboard!$B$7="Rusak Ringan (%)",T271,IF(Dashboard!$B$7="Rusak Berat (%)",V271,AA271))))))</f>
        <v>0</v>
      </c>
      <c r="AD271" s="20">
        <f>IF(AND(AF271=1,E271&gt;=Dashboard!$B$10,IF(Dashboard!$B$9="≤ Maksimum",AC271&lt;=Dashboard!$B$8,AC271&gt;=Dashboard!$B$8)),1,0)</f>
        <v>0</v>
      </c>
      <c r="AE271" s="20" t="str">
        <f>IF(AD271=1,COUNTIFS($AD$2:$AD$351,1,$AC$2:$AC$351,"&gt;"&amp;AC271)+COUNTIFS($AD$2:AD271,1,$AC$2:AC271,AC271),"")</f>
        <v/>
      </c>
      <c r="AF271" s="20">
        <f>IF(OR(Dashboard!$B$6="Semua",ISNUMBER(SEARCH(Dashboard!$B$6,D271))),1,0)</f>
        <v>1</v>
      </c>
      <c r="AG271" s="18">
        <f t="shared" si="62"/>
        <v>0.12</v>
      </c>
      <c r="AH271" s="18">
        <f t="shared" si="63"/>
        <v>0.11999999731779099</v>
      </c>
      <c r="AI271" s="18">
        <f t="shared" si="64"/>
        <v>0</v>
      </c>
      <c r="AJ271" s="18">
        <f t="shared" si="65"/>
        <v>0</v>
      </c>
      <c r="AK271" s="20">
        <f>IF(OR(Ruas_Per_Kecamatan!$B$4="Semua",ISNUMBER(SEARCH(Ruas_Per_Kecamatan!$B$4,D271))),1,0)</f>
        <v>1</v>
      </c>
      <c r="AL271" s="20">
        <f>IF(AK271=1,COUNTIF($AK$2:AK271,1),"")</f>
        <v>270</v>
      </c>
      <c r="AM271" s="18">
        <f t="shared" si="66"/>
        <v>0.12</v>
      </c>
      <c r="AN271" s="18">
        <f t="shared" si="67"/>
        <v>0.11999999731779099</v>
      </c>
      <c r="AO271" s="18">
        <f t="shared" si="68"/>
        <v>0</v>
      </c>
      <c r="AP271" s="18">
        <f t="shared" si="69"/>
        <v>0</v>
      </c>
    </row>
    <row r="272" spans="1:42" x14ac:dyDescent="0.25">
      <c r="A272" s="17">
        <v>271</v>
      </c>
      <c r="B272" s="17" t="s">
        <v>721</v>
      </c>
      <c r="C272" s="21" t="s">
        <v>323</v>
      </c>
      <c r="D272" s="17" t="s">
        <v>309</v>
      </c>
      <c r="E272" s="18">
        <v>1.1599999999999999</v>
      </c>
      <c r="F272" s="18">
        <v>3.5</v>
      </c>
      <c r="G272" s="18">
        <v>0</v>
      </c>
      <c r="H272" s="18"/>
      <c r="I272" s="18">
        <v>2025</v>
      </c>
      <c r="J272" s="18">
        <v>1.1599999666213989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9">
        <v>0</v>
      </c>
      <c r="Q272" s="18">
        <v>1.059999942779541</v>
      </c>
      <c r="R272" s="19">
        <v>0.91379305412029399</v>
      </c>
      <c r="S272" s="18">
        <v>0.10000000149011612</v>
      </c>
      <c r="T272" s="19">
        <v>8.6206897836307E-2</v>
      </c>
      <c r="U272" s="18">
        <v>0</v>
      </c>
      <c r="V272" s="19">
        <v>0</v>
      </c>
      <c r="W272">
        <f t="shared" si="56"/>
        <v>1.059999942779541</v>
      </c>
      <c r="X272" s="19">
        <f t="shared" si="57"/>
        <v>0.91379305412029399</v>
      </c>
      <c r="Y272">
        <f t="shared" si="58"/>
        <v>0.10000000149011612</v>
      </c>
      <c r="Z272" s="19">
        <f t="shared" si="59"/>
        <v>8.6206897836307E-2</v>
      </c>
      <c r="AA272" s="19">
        <f t="shared" si="60"/>
        <v>0.28017240223185769</v>
      </c>
      <c r="AB272" t="str">
        <f t="shared" si="61"/>
        <v>Relatif Mantap</v>
      </c>
      <c r="AC272" s="19">
        <f>IF(Dashboard!$B$7="Mantap (%)",X272,IF(Dashboard!$B$7="Tidak Mantap (%)",Z272,IF(Dashboard!$B$7="Baik (%)",P272,IF(Dashboard!$B$7="Sedang (%)",R272,IF(Dashboard!$B$7="Rusak Ringan (%)",T272,IF(Dashboard!$B$7="Rusak Berat (%)",V272,AA272))))))</f>
        <v>8.6206897836307E-2</v>
      </c>
      <c r="AD272" s="20">
        <f>IF(AND(AF272=1,E272&gt;=Dashboard!$B$10,IF(Dashboard!$B$9="≤ Maksimum",AC272&lt;=Dashboard!$B$8,AC272&gt;=Dashboard!$B$8)),1,0)</f>
        <v>0</v>
      </c>
      <c r="AE272" s="20" t="str">
        <f>IF(AD272=1,COUNTIFS($AD$2:$AD$351,1,$AC$2:$AC$351,"&gt;"&amp;AC272)+COUNTIFS($AD$2:AD272,1,$AC$2:AC272,AC272),"")</f>
        <v/>
      </c>
      <c r="AF272" s="20">
        <f>IF(OR(Dashboard!$B$6="Semua",ISNUMBER(SEARCH(Dashboard!$B$6,D272))),1,0)</f>
        <v>1</v>
      </c>
      <c r="AG272" s="18">
        <f t="shared" si="62"/>
        <v>1.1599999999999999</v>
      </c>
      <c r="AH272" s="18">
        <f t="shared" si="63"/>
        <v>1.059999942779541</v>
      </c>
      <c r="AI272" s="18">
        <f t="shared" si="64"/>
        <v>0.10000000149011612</v>
      </c>
      <c r="AJ272" s="18">
        <f t="shared" si="65"/>
        <v>0</v>
      </c>
      <c r="AK272" s="20">
        <f>IF(OR(Ruas_Per_Kecamatan!$B$4="Semua",ISNUMBER(SEARCH(Ruas_Per_Kecamatan!$B$4,D272))),1,0)</f>
        <v>1</v>
      </c>
      <c r="AL272" s="20">
        <f>IF(AK272=1,COUNTIF($AK$2:AK272,1),"")</f>
        <v>271</v>
      </c>
      <c r="AM272" s="18">
        <f t="shared" si="66"/>
        <v>1.1599999999999999</v>
      </c>
      <c r="AN272" s="18">
        <f t="shared" si="67"/>
        <v>1.059999942779541</v>
      </c>
      <c r="AO272" s="18">
        <f t="shared" si="68"/>
        <v>0.10000000149011612</v>
      </c>
      <c r="AP272" s="18">
        <f t="shared" si="69"/>
        <v>0</v>
      </c>
    </row>
    <row r="273" spans="1:42" x14ac:dyDescent="0.25">
      <c r="A273" s="17">
        <v>272</v>
      </c>
      <c r="B273" s="17" t="s">
        <v>722</v>
      </c>
      <c r="C273" s="21" t="s">
        <v>324</v>
      </c>
      <c r="D273" s="17" t="s">
        <v>309</v>
      </c>
      <c r="E273" s="18">
        <v>0.66</v>
      </c>
      <c r="F273" s="18">
        <v>1.5</v>
      </c>
      <c r="G273" s="18">
        <v>0</v>
      </c>
      <c r="H273" s="18"/>
      <c r="I273" s="18">
        <v>2025</v>
      </c>
      <c r="J273" s="18">
        <v>0</v>
      </c>
      <c r="K273" s="18">
        <v>0</v>
      </c>
      <c r="L273" s="18">
        <v>0.66000000387430191</v>
      </c>
      <c r="M273" s="18">
        <v>0</v>
      </c>
      <c r="N273" s="18">
        <v>0</v>
      </c>
      <c r="O273" s="18">
        <v>0</v>
      </c>
      <c r="P273" s="19">
        <v>0</v>
      </c>
      <c r="Q273" s="18">
        <v>0.20000000298023224</v>
      </c>
      <c r="R273" s="19">
        <v>0.3030303075458064</v>
      </c>
      <c r="S273" s="18">
        <v>0.40000000596046448</v>
      </c>
      <c r="T273" s="19">
        <v>0.6060606150916128</v>
      </c>
      <c r="U273" s="18">
        <v>5.9999998658895493E-2</v>
      </c>
      <c r="V273" s="19">
        <v>9.090908887711438E-2</v>
      </c>
      <c r="W273">
        <f t="shared" si="56"/>
        <v>0.20000000298023224</v>
      </c>
      <c r="X273" s="19">
        <f t="shared" si="57"/>
        <v>0.3030303075458064</v>
      </c>
      <c r="Y273">
        <f t="shared" si="58"/>
        <v>0.46000000461935997</v>
      </c>
      <c r="Z273" s="19">
        <f t="shared" si="59"/>
        <v>0.69696970396872715</v>
      </c>
      <c r="AA273" s="19">
        <f t="shared" si="60"/>
        <v>0.53030303481853358</v>
      </c>
      <c r="AB273" t="str">
        <f t="shared" si="61"/>
        <v>Tidak Mantap Tinggi</v>
      </c>
      <c r="AC273" s="19">
        <f>IF(Dashboard!$B$7="Mantap (%)",X273,IF(Dashboard!$B$7="Tidak Mantap (%)",Z273,IF(Dashboard!$B$7="Baik (%)",P273,IF(Dashboard!$B$7="Sedang (%)",R273,IF(Dashboard!$B$7="Rusak Ringan (%)",T273,IF(Dashboard!$B$7="Rusak Berat (%)",V273,AA273))))))</f>
        <v>0.69696970396872715</v>
      </c>
      <c r="AD273" s="20">
        <f>IF(AND(AF273=1,E273&gt;=Dashboard!$B$10,IF(Dashboard!$B$9="≤ Maksimum",AC273&lt;=Dashboard!$B$8,AC273&gt;=Dashboard!$B$8)),1,0)</f>
        <v>1</v>
      </c>
      <c r="AE273" s="20">
        <f>IF(AD273=1,COUNTIFS($AD$2:$AD$351,1,$AC$2:$AC$351,"&gt;"&amp;AC273)+COUNTIFS($AD$2:AD273,1,$AC$2:AC273,AC273),"")</f>
        <v>88</v>
      </c>
      <c r="AF273" s="20">
        <f>IF(OR(Dashboard!$B$6="Semua",ISNUMBER(SEARCH(Dashboard!$B$6,D273))),1,0)</f>
        <v>1</v>
      </c>
      <c r="AG273" s="18">
        <f t="shared" si="62"/>
        <v>0.66</v>
      </c>
      <c r="AH273" s="18">
        <f t="shared" si="63"/>
        <v>0.20000000298023224</v>
      </c>
      <c r="AI273" s="18">
        <f t="shared" si="64"/>
        <v>0.46000000461935997</v>
      </c>
      <c r="AJ273" s="18">
        <f t="shared" si="65"/>
        <v>5.9999998658895493E-2</v>
      </c>
      <c r="AK273" s="20">
        <f>IF(OR(Ruas_Per_Kecamatan!$B$4="Semua",ISNUMBER(SEARCH(Ruas_Per_Kecamatan!$B$4,D273))),1,0)</f>
        <v>1</v>
      </c>
      <c r="AL273" s="20">
        <f>IF(AK273=1,COUNTIF($AK$2:AK273,1),"")</f>
        <v>272</v>
      </c>
      <c r="AM273" s="18">
        <f t="shared" si="66"/>
        <v>0.66</v>
      </c>
      <c r="AN273" s="18">
        <f t="shared" si="67"/>
        <v>0.20000000298023224</v>
      </c>
      <c r="AO273" s="18">
        <f t="shared" si="68"/>
        <v>0.46000000461935997</v>
      </c>
      <c r="AP273" s="18">
        <f t="shared" si="69"/>
        <v>5.9999998658895493E-2</v>
      </c>
    </row>
    <row r="274" spans="1:42" ht="30" x14ac:dyDescent="0.25">
      <c r="A274" s="17">
        <v>273</v>
      </c>
      <c r="B274" s="17" t="s">
        <v>723</v>
      </c>
      <c r="C274" s="21" t="s">
        <v>325</v>
      </c>
      <c r="D274" s="17" t="s">
        <v>309</v>
      </c>
      <c r="E274" s="18">
        <v>7</v>
      </c>
      <c r="F274" s="18">
        <v>1.5</v>
      </c>
      <c r="G274" s="18">
        <v>0</v>
      </c>
      <c r="H274" s="18"/>
      <c r="I274" s="18">
        <v>2025</v>
      </c>
      <c r="J274" s="18">
        <v>0</v>
      </c>
      <c r="K274" s="18">
        <v>0</v>
      </c>
      <c r="L274" s="18">
        <v>7</v>
      </c>
      <c r="M274" s="18">
        <v>0</v>
      </c>
      <c r="N274" s="18">
        <v>0</v>
      </c>
      <c r="O274" s="18">
        <v>0</v>
      </c>
      <c r="P274" s="19">
        <v>0</v>
      </c>
      <c r="Q274" s="18">
        <v>4.6999998092651367</v>
      </c>
      <c r="R274" s="19">
        <v>0.67142854418073383</v>
      </c>
      <c r="S274" s="18">
        <v>1.8999999761581421</v>
      </c>
      <c r="T274" s="19">
        <v>0.27142856802259174</v>
      </c>
      <c r="U274" s="18">
        <v>0.40000000596046448</v>
      </c>
      <c r="V274" s="19">
        <v>5.7142857994352071E-2</v>
      </c>
      <c r="W274">
        <f t="shared" si="56"/>
        <v>4.6999998092651367</v>
      </c>
      <c r="X274" s="19">
        <f t="shared" si="57"/>
        <v>0.67142854418073383</v>
      </c>
      <c r="Y274">
        <f t="shared" si="58"/>
        <v>2.2999999821186066</v>
      </c>
      <c r="Z274" s="19">
        <f t="shared" si="59"/>
        <v>0.32857142601694378</v>
      </c>
      <c r="AA274" s="19">
        <f t="shared" si="60"/>
        <v>0.38785713485309059</v>
      </c>
      <c r="AB274" t="str">
        <f t="shared" si="61"/>
        <v>Tidak Mantap Sedang</v>
      </c>
      <c r="AC274" s="19">
        <f>IF(Dashboard!$B$7="Mantap (%)",X274,IF(Dashboard!$B$7="Tidak Mantap (%)",Z274,IF(Dashboard!$B$7="Baik (%)",P274,IF(Dashboard!$B$7="Sedang (%)",R274,IF(Dashboard!$B$7="Rusak Ringan (%)",T274,IF(Dashboard!$B$7="Rusak Berat (%)",V274,AA274))))))</f>
        <v>0.32857142601694378</v>
      </c>
      <c r="AD274" s="20">
        <f>IF(AND(AF274=1,E274&gt;=Dashboard!$B$10,IF(Dashboard!$B$9="≤ Maksimum",AC274&lt;=Dashboard!$B$8,AC274&gt;=Dashboard!$B$8)),1,0)</f>
        <v>1</v>
      </c>
      <c r="AE274" s="20">
        <f>IF(AD274=1,COUNTIFS($AD$2:$AD$351,1,$AC$2:$AC$351,"&gt;"&amp;AC274)+COUNTIFS($AD$2:AD274,1,$AC$2:AC274,AC274),"")</f>
        <v>162</v>
      </c>
      <c r="AF274" s="20">
        <f>IF(OR(Dashboard!$B$6="Semua",ISNUMBER(SEARCH(Dashboard!$B$6,D274))),1,0)</f>
        <v>1</v>
      </c>
      <c r="AG274" s="18">
        <f t="shared" si="62"/>
        <v>7</v>
      </c>
      <c r="AH274" s="18">
        <f t="shared" si="63"/>
        <v>4.6999998092651367</v>
      </c>
      <c r="AI274" s="18">
        <f t="shared" si="64"/>
        <v>2.2999999821186066</v>
      </c>
      <c r="AJ274" s="18">
        <f t="shared" si="65"/>
        <v>0.40000000596046448</v>
      </c>
      <c r="AK274" s="20">
        <f>IF(OR(Ruas_Per_Kecamatan!$B$4="Semua",ISNUMBER(SEARCH(Ruas_Per_Kecamatan!$B$4,D274))),1,0)</f>
        <v>1</v>
      </c>
      <c r="AL274" s="20">
        <f>IF(AK274=1,COUNTIF($AK$2:AK274,1),"")</f>
        <v>273</v>
      </c>
      <c r="AM274" s="18">
        <f t="shared" si="66"/>
        <v>7</v>
      </c>
      <c r="AN274" s="18">
        <f t="shared" si="67"/>
        <v>4.6999998092651367</v>
      </c>
      <c r="AO274" s="18">
        <f t="shared" si="68"/>
        <v>2.2999999821186066</v>
      </c>
      <c r="AP274" s="18">
        <f t="shared" si="69"/>
        <v>0.40000000596046448</v>
      </c>
    </row>
    <row r="275" spans="1:42" x14ac:dyDescent="0.25">
      <c r="A275" s="17">
        <v>274</v>
      </c>
      <c r="B275" s="17" t="s">
        <v>724</v>
      </c>
      <c r="C275" s="21" t="s">
        <v>326</v>
      </c>
      <c r="D275" s="17" t="s">
        <v>309</v>
      </c>
      <c r="E275" s="18">
        <v>0.67</v>
      </c>
      <c r="F275" s="18">
        <v>2</v>
      </c>
      <c r="G275" s="18">
        <v>0</v>
      </c>
      <c r="H275" s="18"/>
      <c r="I275" s="18">
        <v>2025</v>
      </c>
      <c r="J275" s="18">
        <v>0</v>
      </c>
      <c r="K275" s="18">
        <v>0</v>
      </c>
      <c r="L275" s="18">
        <v>0.67000001668930054</v>
      </c>
      <c r="M275" s="18">
        <v>0</v>
      </c>
      <c r="N275" s="18">
        <v>0</v>
      </c>
      <c r="O275" s="18">
        <v>0</v>
      </c>
      <c r="P275" s="19">
        <v>0</v>
      </c>
      <c r="Q275" s="18">
        <v>0</v>
      </c>
      <c r="R275" s="19">
        <v>0</v>
      </c>
      <c r="S275" s="18">
        <v>0.67000001668930054</v>
      </c>
      <c r="T275" s="19">
        <v>1.0000000249094037</v>
      </c>
      <c r="U275" s="18">
        <v>0</v>
      </c>
      <c r="V275" s="19">
        <v>0</v>
      </c>
      <c r="W275">
        <f t="shared" si="56"/>
        <v>0</v>
      </c>
      <c r="X275" s="19">
        <f t="shared" si="57"/>
        <v>0</v>
      </c>
      <c r="Y275">
        <f t="shared" si="58"/>
        <v>0.67000001668930054</v>
      </c>
      <c r="Z275" s="19">
        <f t="shared" si="59"/>
        <v>1.0000000249094037</v>
      </c>
      <c r="AA275" s="19">
        <f t="shared" si="60"/>
        <v>0.60000001494564215</v>
      </c>
      <c r="AB275" t="str">
        <f t="shared" si="61"/>
        <v>Tidak Mantap Tinggi</v>
      </c>
      <c r="AC275" s="19">
        <f>IF(Dashboard!$B$7="Mantap (%)",X275,IF(Dashboard!$B$7="Tidak Mantap (%)",Z275,IF(Dashboard!$B$7="Baik (%)",P275,IF(Dashboard!$B$7="Sedang (%)",R275,IF(Dashboard!$B$7="Rusak Ringan (%)",T275,IF(Dashboard!$B$7="Rusak Berat (%)",V275,AA275))))))</f>
        <v>1.0000000249094037</v>
      </c>
      <c r="AD275" s="20">
        <f>IF(AND(AF275=1,E275&gt;=Dashboard!$B$10,IF(Dashboard!$B$9="≤ Maksimum",AC275&lt;=Dashboard!$B$8,AC275&gt;=Dashboard!$B$8)),1,0)</f>
        <v>1</v>
      </c>
      <c r="AE275" s="20">
        <f>IF(AD275=1,COUNTIFS($AD$2:$AD$351,1,$AC$2:$AC$351,"&gt;"&amp;AC275)+COUNTIFS($AD$2:AD275,1,$AC$2:AC275,AC275),"")</f>
        <v>13</v>
      </c>
      <c r="AF275" s="20">
        <f>IF(OR(Dashboard!$B$6="Semua",ISNUMBER(SEARCH(Dashboard!$B$6,D275))),1,0)</f>
        <v>1</v>
      </c>
      <c r="AG275" s="18">
        <f t="shared" si="62"/>
        <v>0.67</v>
      </c>
      <c r="AH275" s="18">
        <f t="shared" si="63"/>
        <v>0</v>
      </c>
      <c r="AI275" s="18">
        <f t="shared" si="64"/>
        <v>0.67000001668930054</v>
      </c>
      <c r="AJ275" s="18">
        <f t="shared" si="65"/>
        <v>0</v>
      </c>
      <c r="AK275" s="20">
        <f>IF(OR(Ruas_Per_Kecamatan!$B$4="Semua",ISNUMBER(SEARCH(Ruas_Per_Kecamatan!$B$4,D275))),1,0)</f>
        <v>1</v>
      </c>
      <c r="AL275" s="20">
        <f>IF(AK275=1,COUNTIF($AK$2:AK275,1),"")</f>
        <v>274</v>
      </c>
      <c r="AM275" s="18">
        <f t="shared" si="66"/>
        <v>0.67</v>
      </c>
      <c r="AN275" s="18">
        <f t="shared" si="67"/>
        <v>0</v>
      </c>
      <c r="AO275" s="18">
        <f t="shared" si="68"/>
        <v>0.67000001668930054</v>
      </c>
      <c r="AP275" s="18">
        <f t="shared" si="69"/>
        <v>0</v>
      </c>
    </row>
    <row r="276" spans="1:42" x14ac:dyDescent="0.25">
      <c r="A276" s="17">
        <v>275</v>
      </c>
      <c r="B276" s="17" t="s">
        <v>725</v>
      </c>
      <c r="C276" s="21" t="s">
        <v>327</v>
      </c>
      <c r="D276" s="17" t="s">
        <v>309</v>
      </c>
      <c r="E276" s="18">
        <v>1.58</v>
      </c>
      <c r="F276" s="18">
        <v>1.5</v>
      </c>
      <c r="G276" s="18">
        <v>0</v>
      </c>
      <c r="H276" s="18"/>
      <c r="I276" s="18">
        <v>2025</v>
      </c>
      <c r="J276" s="18">
        <v>0</v>
      </c>
      <c r="K276" s="18">
        <v>0</v>
      </c>
      <c r="L276" s="18">
        <v>1.5800000429153442</v>
      </c>
      <c r="M276" s="18">
        <v>0</v>
      </c>
      <c r="N276" s="18">
        <v>0</v>
      </c>
      <c r="O276" s="18">
        <v>0</v>
      </c>
      <c r="P276" s="19">
        <v>0</v>
      </c>
      <c r="Q276" s="18">
        <v>0.10000000149011612</v>
      </c>
      <c r="R276" s="19">
        <v>6.3291140183617797E-2</v>
      </c>
      <c r="S276" s="18">
        <v>1.4800000190734863</v>
      </c>
      <c r="T276" s="19">
        <v>0.93670887283132043</v>
      </c>
      <c r="U276" s="18">
        <v>0</v>
      </c>
      <c r="V276" s="19">
        <v>0</v>
      </c>
      <c r="W276">
        <f t="shared" si="56"/>
        <v>0.10000000149011612</v>
      </c>
      <c r="X276" s="19">
        <f t="shared" si="57"/>
        <v>6.3291140183617797E-2</v>
      </c>
      <c r="Y276">
        <f t="shared" si="58"/>
        <v>1.4800000190734863</v>
      </c>
      <c r="Z276" s="19">
        <f t="shared" si="59"/>
        <v>0.93670887283132043</v>
      </c>
      <c r="AA276" s="19">
        <f t="shared" si="60"/>
        <v>0.57784810874469661</v>
      </c>
      <c r="AB276" t="str">
        <f t="shared" si="61"/>
        <v>Tidak Mantap Tinggi</v>
      </c>
      <c r="AC276" s="19">
        <f>IF(Dashboard!$B$7="Mantap (%)",X276,IF(Dashboard!$B$7="Tidak Mantap (%)",Z276,IF(Dashboard!$B$7="Baik (%)",P276,IF(Dashboard!$B$7="Sedang (%)",R276,IF(Dashboard!$B$7="Rusak Ringan (%)",T276,IF(Dashboard!$B$7="Rusak Berat (%)",V276,AA276))))))</f>
        <v>0.93670887283132043</v>
      </c>
      <c r="AD276" s="20">
        <f>IF(AND(AF276=1,E276&gt;=Dashboard!$B$10,IF(Dashboard!$B$9="≤ Maksimum",AC276&lt;=Dashboard!$B$8,AC276&gt;=Dashboard!$B$8)),1,0)</f>
        <v>1</v>
      </c>
      <c r="AE276" s="20">
        <f>IF(AD276=1,COUNTIFS($AD$2:$AD$351,1,$AC$2:$AC$351,"&gt;"&amp;AC276)+COUNTIFS($AD$2:AD276,1,$AC$2:AC276,AC276),"")</f>
        <v>54</v>
      </c>
      <c r="AF276" s="20">
        <f>IF(OR(Dashboard!$B$6="Semua",ISNUMBER(SEARCH(Dashboard!$B$6,D276))),1,0)</f>
        <v>1</v>
      </c>
      <c r="AG276" s="18">
        <f t="shared" si="62"/>
        <v>1.58</v>
      </c>
      <c r="AH276" s="18">
        <f t="shared" si="63"/>
        <v>0.10000000149011612</v>
      </c>
      <c r="AI276" s="18">
        <f t="shared" si="64"/>
        <v>1.4800000190734863</v>
      </c>
      <c r="AJ276" s="18">
        <f t="shared" si="65"/>
        <v>0</v>
      </c>
      <c r="AK276" s="20">
        <f>IF(OR(Ruas_Per_Kecamatan!$B$4="Semua",ISNUMBER(SEARCH(Ruas_Per_Kecamatan!$B$4,D276))),1,0)</f>
        <v>1</v>
      </c>
      <c r="AL276" s="20">
        <f>IF(AK276=1,COUNTIF($AK$2:AK276,1),"")</f>
        <v>275</v>
      </c>
      <c r="AM276" s="18">
        <f t="shared" si="66"/>
        <v>1.58</v>
      </c>
      <c r="AN276" s="18">
        <f t="shared" si="67"/>
        <v>0.10000000149011612</v>
      </c>
      <c r="AO276" s="18">
        <f t="shared" si="68"/>
        <v>1.4800000190734863</v>
      </c>
      <c r="AP276" s="18">
        <f t="shared" si="69"/>
        <v>0</v>
      </c>
    </row>
    <row r="277" spans="1:42" ht="30" x14ac:dyDescent="0.25">
      <c r="A277" s="17">
        <v>276</v>
      </c>
      <c r="B277" s="17" t="s">
        <v>726</v>
      </c>
      <c r="C277" s="21" t="s">
        <v>328</v>
      </c>
      <c r="D277" s="17" t="s">
        <v>309</v>
      </c>
      <c r="E277" s="18">
        <v>5.25</v>
      </c>
      <c r="F277" s="18">
        <v>2</v>
      </c>
      <c r="G277" s="18">
        <v>0</v>
      </c>
      <c r="H277" s="18"/>
      <c r="I277" s="18">
        <v>2025</v>
      </c>
      <c r="J277" s="18">
        <v>0</v>
      </c>
      <c r="K277" s="18">
        <v>0</v>
      </c>
      <c r="L277" s="18">
        <v>5.25</v>
      </c>
      <c r="M277" s="18">
        <v>0</v>
      </c>
      <c r="N277" s="18">
        <v>0</v>
      </c>
      <c r="O277" s="18">
        <v>1.0499999523162842</v>
      </c>
      <c r="P277" s="19">
        <v>0.19999999091738746</v>
      </c>
      <c r="Q277" s="18">
        <v>1.7999999523162842</v>
      </c>
      <c r="R277" s="19">
        <v>0.34285713377453031</v>
      </c>
      <c r="S277" s="18">
        <v>1.7000000476837158</v>
      </c>
      <c r="T277" s="19">
        <v>0.32380953289213632</v>
      </c>
      <c r="U277" s="18">
        <v>0.69999998807907104</v>
      </c>
      <c r="V277" s="19">
        <v>0.13333333106268019</v>
      </c>
      <c r="W277">
        <f t="shared" si="56"/>
        <v>2.8499999046325684</v>
      </c>
      <c r="X277" s="19">
        <f t="shared" si="57"/>
        <v>0.54285712469191783</v>
      </c>
      <c r="Y277">
        <f t="shared" si="58"/>
        <v>2.4000000357627869</v>
      </c>
      <c r="Z277" s="19">
        <f t="shared" si="59"/>
        <v>0.45714286395481657</v>
      </c>
      <c r="AA277" s="19">
        <f t="shared" si="60"/>
        <v>0.41333333424159457</v>
      </c>
      <c r="AB277" t="str">
        <f t="shared" si="61"/>
        <v>Tidak Mantap Sedang</v>
      </c>
      <c r="AC277" s="19">
        <f>IF(Dashboard!$B$7="Mantap (%)",X277,IF(Dashboard!$B$7="Tidak Mantap (%)",Z277,IF(Dashboard!$B$7="Baik (%)",P277,IF(Dashboard!$B$7="Sedang (%)",R277,IF(Dashboard!$B$7="Rusak Ringan (%)",T277,IF(Dashboard!$B$7="Rusak Berat (%)",V277,AA277))))))</f>
        <v>0.45714286395481657</v>
      </c>
      <c r="AD277" s="20">
        <f>IF(AND(AF277=1,E277&gt;=Dashboard!$B$10,IF(Dashboard!$B$9="≤ Maksimum",AC277&lt;=Dashboard!$B$8,AC277&gt;=Dashboard!$B$8)),1,0)</f>
        <v>1</v>
      </c>
      <c r="AE277" s="20">
        <f>IF(AD277=1,COUNTIFS($AD$2:$AD$351,1,$AC$2:$AC$351,"&gt;"&amp;AC277)+COUNTIFS($AD$2:AD277,1,$AC$2:AC277,AC277),"")</f>
        <v>134</v>
      </c>
      <c r="AF277" s="20">
        <f>IF(OR(Dashboard!$B$6="Semua",ISNUMBER(SEARCH(Dashboard!$B$6,D277))),1,0)</f>
        <v>1</v>
      </c>
      <c r="AG277" s="18">
        <f t="shared" si="62"/>
        <v>5.25</v>
      </c>
      <c r="AH277" s="18">
        <f t="shared" si="63"/>
        <v>2.8499999046325684</v>
      </c>
      <c r="AI277" s="18">
        <f t="shared" si="64"/>
        <v>2.4000000357627869</v>
      </c>
      <c r="AJ277" s="18">
        <f t="shared" si="65"/>
        <v>0.69999998807907104</v>
      </c>
      <c r="AK277" s="20">
        <f>IF(OR(Ruas_Per_Kecamatan!$B$4="Semua",ISNUMBER(SEARCH(Ruas_Per_Kecamatan!$B$4,D277))),1,0)</f>
        <v>1</v>
      </c>
      <c r="AL277" s="20">
        <f>IF(AK277=1,COUNTIF($AK$2:AK277,1),"")</f>
        <v>276</v>
      </c>
      <c r="AM277" s="18">
        <f t="shared" si="66"/>
        <v>5.25</v>
      </c>
      <c r="AN277" s="18">
        <f t="shared" si="67"/>
        <v>2.8499999046325684</v>
      </c>
      <c r="AO277" s="18">
        <f t="shared" si="68"/>
        <v>2.4000000357627869</v>
      </c>
      <c r="AP277" s="18">
        <f t="shared" si="69"/>
        <v>0.69999998807907104</v>
      </c>
    </row>
    <row r="278" spans="1:42" ht="30" x14ac:dyDescent="0.25">
      <c r="A278" s="17">
        <v>277</v>
      </c>
      <c r="B278" s="17" t="s">
        <v>727</v>
      </c>
      <c r="C278" s="21" t="s">
        <v>329</v>
      </c>
      <c r="D278" s="17" t="s">
        <v>309</v>
      </c>
      <c r="E278" s="18">
        <v>2.7</v>
      </c>
      <c r="F278" s="18">
        <v>2</v>
      </c>
      <c r="G278" s="18">
        <v>0</v>
      </c>
      <c r="H278" s="18"/>
      <c r="I278" s="18">
        <v>2025</v>
      </c>
      <c r="J278" s="18">
        <v>0</v>
      </c>
      <c r="K278" s="18">
        <v>0</v>
      </c>
      <c r="L278" s="18">
        <v>2.5</v>
      </c>
      <c r="M278" s="18">
        <v>0.20000000298023224</v>
      </c>
      <c r="N278" s="18">
        <v>0</v>
      </c>
      <c r="O278" s="18">
        <v>0</v>
      </c>
      <c r="P278" s="19">
        <v>0</v>
      </c>
      <c r="Q278" s="18">
        <v>2.0999999046325684</v>
      </c>
      <c r="R278" s="19">
        <v>0.77777774245650677</v>
      </c>
      <c r="S278" s="18">
        <v>0.20000000298023224</v>
      </c>
      <c r="T278" s="19">
        <v>7.4074075177863782E-2</v>
      </c>
      <c r="U278" s="18">
        <v>0.40000000596046448</v>
      </c>
      <c r="V278" s="19">
        <v>0.14814815035572756</v>
      </c>
      <c r="W278">
        <f t="shared" si="56"/>
        <v>2.0999999046325684</v>
      </c>
      <c r="X278" s="19">
        <f t="shared" si="57"/>
        <v>0.77777774245650677</v>
      </c>
      <c r="Y278">
        <f t="shared" si="58"/>
        <v>0.60000000894069672</v>
      </c>
      <c r="Z278" s="19">
        <f t="shared" si="59"/>
        <v>0.22222222553359136</v>
      </c>
      <c r="AA278" s="19">
        <f t="shared" si="60"/>
        <v>0.3870370310765725</v>
      </c>
      <c r="AB278" t="str">
        <f t="shared" si="61"/>
        <v>Tidak Mantap Sedang</v>
      </c>
      <c r="AC278" s="19">
        <f>IF(Dashboard!$B$7="Mantap (%)",X278,IF(Dashboard!$B$7="Tidak Mantap (%)",Z278,IF(Dashboard!$B$7="Baik (%)",P278,IF(Dashboard!$B$7="Sedang (%)",R278,IF(Dashboard!$B$7="Rusak Ringan (%)",T278,IF(Dashboard!$B$7="Rusak Berat (%)",V278,AA278))))))</f>
        <v>0.22222222553359136</v>
      </c>
      <c r="AD278" s="20">
        <f>IF(AND(AF278=1,E278&gt;=Dashboard!$B$10,IF(Dashboard!$B$9="≤ Maksimum",AC278&lt;=Dashboard!$B$8,AC278&gt;=Dashboard!$B$8)),1,0)</f>
        <v>1</v>
      </c>
      <c r="AE278" s="20">
        <f>IF(AD278=1,COUNTIFS($AD$2:$AD$351,1,$AC$2:$AC$351,"&gt;"&amp;AC278)+COUNTIFS($AD$2:AD278,1,$AC$2:AC278,AC278),"")</f>
        <v>185</v>
      </c>
      <c r="AF278" s="20">
        <f>IF(OR(Dashboard!$B$6="Semua",ISNUMBER(SEARCH(Dashboard!$B$6,D278))),1,0)</f>
        <v>1</v>
      </c>
      <c r="AG278" s="18">
        <f t="shared" si="62"/>
        <v>2.7</v>
      </c>
      <c r="AH278" s="18">
        <f t="shared" si="63"/>
        <v>2.0999999046325684</v>
      </c>
      <c r="AI278" s="18">
        <f t="shared" si="64"/>
        <v>0.60000000894069672</v>
      </c>
      <c r="AJ278" s="18">
        <f t="shared" si="65"/>
        <v>0.40000000596046448</v>
      </c>
      <c r="AK278" s="20">
        <f>IF(OR(Ruas_Per_Kecamatan!$B$4="Semua",ISNUMBER(SEARCH(Ruas_Per_Kecamatan!$B$4,D278))),1,0)</f>
        <v>1</v>
      </c>
      <c r="AL278" s="20">
        <f>IF(AK278=1,COUNTIF($AK$2:AK278,1),"")</f>
        <v>277</v>
      </c>
      <c r="AM278" s="18">
        <f t="shared" si="66"/>
        <v>2.7</v>
      </c>
      <c r="AN278" s="18">
        <f t="shared" si="67"/>
        <v>2.0999999046325684</v>
      </c>
      <c r="AO278" s="18">
        <f t="shared" si="68"/>
        <v>0.60000000894069672</v>
      </c>
      <c r="AP278" s="18">
        <f t="shared" si="69"/>
        <v>0.40000000596046448</v>
      </c>
    </row>
    <row r="279" spans="1:42" x14ac:dyDescent="0.25">
      <c r="A279" s="17">
        <v>278</v>
      </c>
      <c r="B279" s="17" t="s">
        <v>728</v>
      </c>
      <c r="C279" s="21" t="s">
        <v>330</v>
      </c>
      <c r="D279" s="17" t="s">
        <v>309</v>
      </c>
      <c r="E279" s="18">
        <v>2.93</v>
      </c>
      <c r="F279" s="18">
        <v>2</v>
      </c>
      <c r="G279" s="18">
        <v>0</v>
      </c>
      <c r="H279" s="18"/>
      <c r="I279" s="18">
        <v>2025</v>
      </c>
      <c r="J279" s="18">
        <v>0</v>
      </c>
      <c r="K279" s="18">
        <v>0</v>
      </c>
      <c r="L279" s="18">
        <v>2.9300000667572021</v>
      </c>
      <c r="M279" s="18">
        <v>0</v>
      </c>
      <c r="N279" s="18">
        <v>0</v>
      </c>
      <c r="O279" s="18">
        <v>0</v>
      </c>
      <c r="P279" s="19">
        <v>0</v>
      </c>
      <c r="Q279" s="18">
        <v>0</v>
      </c>
      <c r="R279" s="19">
        <v>0</v>
      </c>
      <c r="S279" s="18">
        <v>2.2300000190734863</v>
      </c>
      <c r="T279" s="19">
        <v>0.76109215668037067</v>
      </c>
      <c r="U279" s="18">
        <v>0.69999998807907104</v>
      </c>
      <c r="V279" s="19">
        <v>0.23890784576077509</v>
      </c>
      <c r="W279">
        <f t="shared" si="56"/>
        <v>0</v>
      </c>
      <c r="X279" s="19">
        <f t="shared" si="57"/>
        <v>0</v>
      </c>
      <c r="Y279">
        <f t="shared" si="58"/>
        <v>2.9300000071525574</v>
      </c>
      <c r="Z279" s="19">
        <f t="shared" si="59"/>
        <v>1.0000000024411457</v>
      </c>
      <c r="AA279" s="19">
        <f t="shared" si="60"/>
        <v>0.69556313976899742</v>
      </c>
      <c r="AB279" t="str">
        <f t="shared" si="61"/>
        <v>Rusak Berat Dominan</v>
      </c>
      <c r="AC279" s="19">
        <f>IF(Dashboard!$B$7="Mantap (%)",X279,IF(Dashboard!$B$7="Tidak Mantap (%)",Z279,IF(Dashboard!$B$7="Baik (%)",P279,IF(Dashboard!$B$7="Sedang (%)",R279,IF(Dashboard!$B$7="Rusak Ringan (%)",T279,IF(Dashboard!$B$7="Rusak Berat (%)",V279,AA279))))))</f>
        <v>1.0000000024411457</v>
      </c>
      <c r="AD279" s="20">
        <f>IF(AND(AF279=1,E279&gt;=Dashboard!$B$10,IF(Dashboard!$B$9="≤ Maksimum",AC279&lt;=Dashboard!$B$8,AC279&gt;=Dashboard!$B$8)),1,0)</f>
        <v>1</v>
      </c>
      <c r="AE279" s="20">
        <f>IF(AD279=1,COUNTIFS($AD$2:$AD$351,1,$AC$2:$AC$351,"&gt;"&amp;AC279)+COUNTIFS($AD$2:AD279,1,$AC$2:AC279,AC279),"")</f>
        <v>30</v>
      </c>
      <c r="AF279" s="20">
        <f>IF(OR(Dashboard!$B$6="Semua",ISNUMBER(SEARCH(Dashboard!$B$6,D279))),1,0)</f>
        <v>1</v>
      </c>
      <c r="AG279" s="18">
        <f t="shared" si="62"/>
        <v>2.93</v>
      </c>
      <c r="AH279" s="18">
        <f t="shared" si="63"/>
        <v>0</v>
      </c>
      <c r="AI279" s="18">
        <f t="shared" si="64"/>
        <v>2.9300000071525574</v>
      </c>
      <c r="AJ279" s="18">
        <f t="shared" si="65"/>
        <v>0.69999998807907104</v>
      </c>
      <c r="AK279" s="20">
        <f>IF(OR(Ruas_Per_Kecamatan!$B$4="Semua",ISNUMBER(SEARCH(Ruas_Per_Kecamatan!$B$4,D279))),1,0)</f>
        <v>1</v>
      </c>
      <c r="AL279" s="20">
        <f>IF(AK279=1,COUNTIF($AK$2:AK279,1),"")</f>
        <v>278</v>
      </c>
      <c r="AM279" s="18">
        <f t="shared" si="66"/>
        <v>2.93</v>
      </c>
      <c r="AN279" s="18">
        <f t="shared" si="67"/>
        <v>0</v>
      </c>
      <c r="AO279" s="18">
        <f t="shared" si="68"/>
        <v>2.9300000071525574</v>
      </c>
      <c r="AP279" s="18">
        <f t="shared" si="69"/>
        <v>0.69999998807907104</v>
      </c>
    </row>
    <row r="280" spans="1:42" x14ac:dyDescent="0.25">
      <c r="A280" s="17">
        <v>279</v>
      </c>
      <c r="B280" s="17" t="s">
        <v>729</v>
      </c>
      <c r="C280" s="21" t="s">
        <v>331</v>
      </c>
      <c r="D280" s="17" t="s">
        <v>309</v>
      </c>
      <c r="E280" s="18">
        <v>0.38</v>
      </c>
      <c r="F280" s="18">
        <v>1.5</v>
      </c>
      <c r="G280" s="18">
        <v>0</v>
      </c>
      <c r="H280" s="18"/>
      <c r="I280" s="18">
        <v>2025</v>
      </c>
      <c r="J280" s="18">
        <v>0</v>
      </c>
      <c r="K280" s="18">
        <v>0</v>
      </c>
      <c r="L280" s="18">
        <v>0.37999999523162842</v>
      </c>
      <c r="M280" s="18">
        <v>0</v>
      </c>
      <c r="N280" s="18">
        <v>0</v>
      </c>
      <c r="O280" s="18">
        <v>0</v>
      </c>
      <c r="P280" s="19">
        <v>0</v>
      </c>
      <c r="Q280" s="18">
        <v>0.37999999523162842</v>
      </c>
      <c r="R280" s="19">
        <v>0.99999998745165375</v>
      </c>
      <c r="S280" s="18">
        <v>0</v>
      </c>
      <c r="T280" s="19">
        <v>0</v>
      </c>
      <c r="U280" s="18">
        <v>0</v>
      </c>
      <c r="V280" s="19">
        <v>0</v>
      </c>
      <c r="W280">
        <f t="shared" si="56"/>
        <v>0.37999999523162842</v>
      </c>
      <c r="X280" s="19">
        <f t="shared" si="57"/>
        <v>0.99999998745165375</v>
      </c>
      <c r="Y280">
        <f t="shared" si="58"/>
        <v>0</v>
      </c>
      <c r="Z280" s="19">
        <f t="shared" si="59"/>
        <v>0</v>
      </c>
      <c r="AA280" s="19">
        <f t="shared" si="60"/>
        <v>0.24999999686291344</v>
      </c>
      <c r="AB280" t="str">
        <f t="shared" si="61"/>
        <v>Relatif Mantap</v>
      </c>
      <c r="AC280" s="19">
        <f>IF(Dashboard!$B$7="Mantap (%)",X280,IF(Dashboard!$B$7="Tidak Mantap (%)",Z280,IF(Dashboard!$B$7="Baik (%)",P280,IF(Dashboard!$B$7="Sedang (%)",R280,IF(Dashboard!$B$7="Rusak Ringan (%)",T280,IF(Dashboard!$B$7="Rusak Berat (%)",V280,AA280))))))</f>
        <v>0</v>
      </c>
      <c r="AD280" s="20">
        <f>IF(AND(AF280=1,E280&gt;=Dashboard!$B$10,IF(Dashboard!$B$9="≤ Maksimum",AC280&lt;=Dashboard!$B$8,AC280&gt;=Dashboard!$B$8)),1,0)</f>
        <v>0</v>
      </c>
      <c r="AE280" s="20" t="str">
        <f>IF(AD280=1,COUNTIFS($AD$2:$AD$351,1,$AC$2:$AC$351,"&gt;"&amp;AC280)+COUNTIFS($AD$2:AD280,1,$AC$2:AC280,AC280),"")</f>
        <v/>
      </c>
      <c r="AF280" s="20">
        <f>IF(OR(Dashboard!$B$6="Semua",ISNUMBER(SEARCH(Dashboard!$B$6,D280))),1,0)</f>
        <v>1</v>
      </c>
      <c r="AG280" s="18">
        <f t="shared" si="62"/>
        <v>0.38</v>
      </c>
      <c r="AH280" s="18">
        <f t="shared" si="63"/>
        <v>0.37999999523162842</v>
      </c>
      <c r="AI280" s="18">
        <f t="shared" si="64"/>
        <v>0</v>
      </c>
      <c r="AJ280" s="18">
        <f t="shared" si="65"/>
        <v>0</v>
      </c>
      <c r="AK280" s="20">
        <f>IF(OR(Ruas_Per_Kecamatan!$B$4="Semua",ISNUMBER(SEARCH(Ruas_Per_Kecamatan!$B$4,D280))),1,0)</f>
        <v>1</v>
      </c>
      <c r="AL280" s="20">
        <f>IF(AK280=1,COUNTIF($AK$2:AK280,1),"")</f>
        <v>279</v>
      </c>
      <c r="AM280" s="18">
        <f t="shared" si="66"/>
        <v>0.38</v>
      </c>
      <c r="AN280" s="18">
        <f t="shared" si="67"/>
        <v>0.37999999523162842</v>
      </c>
      <c r="AO280" s="18">
        <f t="shared" si="68"/>
        <v>0</v>
      </c>
      <c r="AP280" s="18">
        <f t="shared" si="69"/>
        <v>0</v>
      </c>
    </row>
    <row r="281" spans="1:42" x14ac:dyDescent="0.25">
      <c r="A281" s="17">
        <v>280</v>
      </c>
      <c r="B281" s="17" t="s">
        <v>730</v>
      </c>
      <c r="C281" s="21" t="s">
        <v>332</v>
      </c>
      <c r="D281" s="17" t="s">
        <v>309</v>
      </c>
      <c r="E281" s="18">
        <v>4.8600000000000003</v>
      </c>
      <c r="F281" s="18">
        <v>1.5</v>
      </c>
      <c r="G281" s="18">
        <v>0</v>
      </c>
      <c r="H281" s="18"/>
      <c r="I281" s="18">
        <v>2025</v>
      </c>
      <c r="J281" s="18">
        <v>0</v>
      </c>
      <c r="K281" s="18">
        <v>0</v>
      </c>
      <c r="L281" s="18">
        <v>3.059999942779541</v>
      </c>
      <c r="M281" s="18">
        <v>0</v>
      </c>
      <c r="N281" s="18">
        <v>1.7999999523162842</v>
      </c>
      <c r="O281" s="18">
        <v>0</v>
      </c>
      <c r="P281" s="19">
        <v>0</v>
      </c>
      <c r="Q281" s="18">
        <v>2.7599999904632568</v>
      </c>
      <c r="R281" s="19">
        <v>0.56790123260560832</v>
      </c>
      <c r="S281" s="18">
        <v>0.30000001192092896</v>
      </c>
      <c r="T281" s="19">
        <v>6.1728397514594434E-2</v>
      </c>
      <c r="U281" s="18">
        <v>1.7999999523162842</v>
      </c>
      <c r="V281" s="19">
        <v>0.37037036055890621</v>
      </c>
      <c r="W281">
        <f t="shared" si="56"/>
        <v>2.7599999904632568</v>
      </c>
      <c r="X281" s="19">
        <f t="shared" si="57"/>
        <v>0.56790123260560832</v>
      </c>
      <c r="Y281">
        <f t="shared" si="58"/>
        <v>2.0999999642372131</v>
      </c>
      <c r="Z281" s="19">
        <f t="shared" si="59"/>
        <v>0.43209875807350062</v>
      </c>
      <c r="AA281" s="19">
        <f t="shared" si="60"/>
        <v>0.5493827072190649</v>
      </c>
      <c r="AB281" t="str">
        <f t="shared" si="61"/>
        <v>Rusak Berat Dominan</v>
      </c>
      <c r="AC281" s="19">
        <f>IF(Dashboard!$B$7="Mantap (%)",X281,IF(Dashboard!$B$7="Tidak Mantap (%)",Z281,IF(Dashboard!$B$7="Baik (%)",P281,IF(Dashboard!$B$7="Sedang (%)",R281,IF(Dashboard!$B$7="Rusak Ringan (%)",T281,IF(Dashboard!$B$7="Rusak Berat (%)",V281,AA281))))))</f>
        <v>0.43209875807350062</v>
      </c>
      <c r="AD281" s="20">
        <f>IF(AND(AF281=1,E281&gt;=Dashboard!$B$10,IF(Dashboard!$B$9="≤ Maksimum",AC281&lt;=Dashboard!$B$8,AC281&gt;=Dashboard!$B$8)),1,0)</f>
        <v>1</v>
      </c>
      <c r="AE281" s="20">
        <f>IF(AD281=1,COUNTIFS($AD$2:$AD$351,1,$AC$2:$AC$351,"&gt;"&amp;AC281)+COUNTIFS($AD$2:AD281,1,$AC$2:AC281,AC281),"")</f>
        <v>143</v>
      </c>
      <c r="AF281" s="20">
        <f>IF(OR(Dashboard!$B$6="Semua",ISNUMBER(SEARCH(Dashboard!$B$6,D281))),1,0)</f>
        <v>1</v>
      </c>
      <c r="AG281" s="18">
        <f t="shared" si="62"/>
        <v>4.8600000000000003</v>
      </c>
      <c r="AH281" s="18">
        <f t="shared" si="63"/>
        <v>2.7599999904632568</v>
      </c>
      <c r="AI281" s="18">
        <f t="shared" si="64"/>
        <v>2.0999999642372131</v>
      </c>
      <c r="AJ281" s="18">
        <f t="shared" si="65"/>
        <v>1.7999999523162842</v>
      </c>
      <c r="AK281" s="20">
        <f>IF(OR(Ruas_Per_Kecamatan!$B$4="Semua",ISNUMBER(SEARCH(Ruas_Per_Kecamatan!$B$4,D281))),1,0)</f>
        <v>1</v>
      </c>
      <c r="AL281" s="20">
        <f>IF(AK281=1,COUNTIF($AK$2:AK281,1),"")</f>
        <v>280</v>
      </c>
      <c r="AM281" s="18">
        <f t="shared" si="66"/>
        <v>4.8600000000000003</v>
      </c>
      <c r="AN281" s="18">
        <f t="shared" si="67"/>
        <v>2.7599999904632568</v>
      </c>
      <c r="AO281" s="18">
        <f t="shared" si="68"/>
        <v>2.0999999642372131</v>
      </c>
      <c r="AP281" s="18">
        <f t="shared" si="69"/>
        <v>1.7999999523162842</v>
      </c>
    </row>
    <row r="282" spans="1:42" x14ac:dyDescent="0.25">
      <c r="A282" s="17">
        <v>281</v>
      </c>
      <c r="B282" s="17" t="s">
        <v>731</v>
      </c>
      <c r="C282" s="21" t="s">
        <v>333</v>
      </c>
      <c r="D282" s="17" t="s">
        <v>309</v>
      </c>
      <c r="E282" s="18">
        <v>1.1599999999999999</v>
      </c>
      <c r="F282" s="18">
        <v>1.5</v>
      </c>
      <c r="G282" s="18">
        <v>0</v>
      </c>
      <c r="H282" s="18"/>
      <c r="I282" s="18">
        <v>2025</v>
      </c>
      <c r="J282" s="18">
        <v>0</v>
      </c>
      <c r="K282" s="18">
        <v>0</v>
      </c>
      <c r="L282" s="18">
        <v>1.1599999666213989</v>
      </c>
      <c r="M282" s="18">
        <v>0</v>
      </c>
      <c r="N282" s="18">
        <v>0</v>
      </c>
      <c r="O282" s="18">
        <v>0</v>
      </c>
      <c r="P282" s="19">
        <v>0</v>
      </c>
      <c r="Q282" s="18">
        <v>0.36000001430511475</v>
      </c>
      <c r="R282" s="19">
        <v>0.31034483991820239</v>
      </c>
      <c r="S282" s="18">
        <v>0.80000001192092896</v>
      </c>
      <c r="T282" s="19">
        <v>0.689655182690456</v>
      </c>
      <c r="U282" s="18">
        <v>0</v>
      </c>
      <c r="V282" s="19">
        <v>0</v>
      </c>
      <c r="W282">
        <f t="shared" si="56"/>
        <v>0.36000001430511475</v>
      </c>
      <c r="X282" s="19">
        <f t="shared" si="57"/>
        <v>0.31034483991820239</v>
      </c>
      <c r="Y282">
        <f t="shared" si="58"/>
        <v>0.80000001192092896</v>
      </c>
      <c r="Z282" s="19">
        <f t="shared" si="59"/>
        <v>0.689655182690456</v>
      </c>
      <c r="AA282" s="19">
        <f t="shared" si="60"/>
        <v>0.49137931959382419</v>
      </c>
      <c r="AB282" t="str">
        <f t="shared" si="61"/>
        <v>Tidak Mantap Tinggi</v>
      </c>
      <c r="AC282" s="19">
        <f>IF(Dashboard!$B$7="Mantap (%)",X282,IF(Dashboard!$B$7="Tidak Mantap (%)",Z282,IF(Dashboard!$B$7="Baik (%)",P282,IF(Dashboard!$B$7="Sedang (%)",R282,IF(Dashboard!$B$7="Rusak Ringan (%)",T282,IF(Dashboard!$B$7="Rusak Berat (%)",V282,AA282))))))</f>
        <v>0.689655182690456</v>
      </c>
      <c r="AD282" s="20">
        <f>IF(AND(AF282=1,E282&gt;=Dashboard!$B$10,IF(Dashboard!$B$9="≤ Maksimum",AC282&lt;=Dashboard!$B$8,AC282&gt;=Dashboard!$B$8)),1,0)</f>
        <v>1</v>
      </c>
      <c r="AE282" s="20">
        <f>IF(AD282=1,COUNTIFS($AD$2:$AD$351,1,$AC$2:$AC$351,"&gt;"&amp;AC282)+COUNTIFS($AD$2:AD282,1,$AC$2:AC282,AC282),"")</f>
        <v>89</v>
      </c>
      <c r="AF282" s="20">
        <f>IF(OR(Dashboard!$B$6="Semua",ISNUMBER(SEARCH(Dashboard!$B$6,D282))),1,0)</f>
        <v>1</v>
      </c>
      <c r="AG282" s="18">
        <f t="shared" si="62"/>
        <v>1.1599999999999999</v>
      </c>
      <c r="AH282" s="18">
        <f t="shared" si="63"/>
        <v>0.36000001430511475</v>
      </c>
      <c r="AI282" s="18">
        <f t="shared" si="64"/>
        <v>0.80000001192092896</v>
      </c>
      <c r="AJ282" s="18">
        <f t="shared" si="65"/>
        <v>0</v>
      </c>
      <c r="AK282" s="20">
        <f>IF(OR(Ruas_Per_Kecamatan!$B$4="Semua",ISNUMBER(SEARCH(Ruas_Per_Kecamatan!$B$4,D282))),1,0)</f>
        <v>1</v>
      </c>
      <c r="AL282" s="20">
        <f>IF(AK282=1,COUNTIF($AK$2:AK282,1),"")</f>
        <v>281</v>
      </c>
      <c r="AM282" s="18">
        <f t="shared" si="66"/>
        <v>1.1599999999999999</v>
      </c>
      <c r="AN282" s="18">
        <f t="shared" si="67"/>
        <v>0.36000001430511475</v>
      </c>
      <c r="AO282" s="18">
        <f t="shared" si="68"/>
        <v>0.80000001192092896</v>
      </c>
      <c r="AP282" s="18">
        <f t="shared" si="69"/>
        <v>0</v>
      </c>
    </row>
    <row r="283" spans="1:42" x14ac:dyDescent="0.25">
      <c r="A283" s="17">
        <v>282</v>
      </c>
      <c r="B283" s="17" t="s">
        <v>732</v>
      </c>
      <c r="C283" s="21" t="s">
        <v>334</v>
      </c>
      <c r="D283" s="17" t="s">
        <v>309</v>
      </c>
      <c r="E283" s="18">
        <v>0.4</v>
      </c>
      <c r="F283" s="18">
        <v>1.5</v>
      </c>
      <c r="G283" s="18">
        <v>0</v>
      </c>
      <c r="H283" s="18"/>
      <c r="I283" s="18">
        <v>2025</v>
      </c>
      <c r="J283" s="18">
        <v>0</v>
      </c>
      <c r="K283" s="18">
        <v>0</v>
      </c>
      <c r="L283" s="18">
        <v>0.40000000596046448</v>
      </c>
      <c r="M283" s="18">
        <v>0</v>
      </c>
      <c r="N283" s="18">
        <v>0</v>
      </c>
      <c r="O283" s="18">
        <v>0</v>
      </c>
      <c r="P283" s="19">
        <v>0</v>
      </c>
      <c r="Q283" s="18">
        <v>0.30000001192092896</v>
      </c>
      <c r="R283" s="19">
        <v>0.75000002980232239</v>
      </c>
      <c r="S283" s="18">
        <v>0</v>
      </c>
      <c r="T283" s="19">
        <v>0</v>
      </c>
      <c r="U283" s="18">
        <v>0.10000000149011612</v>
      </c>
      <c r="V283" s="19">
        <v>0.2500000037252903</v>
      </c>
      <c r="W283">
        <f t="shared" si="56"/>
        <v>0.30000001192092896</v>
      </c>
      <c r="X283" s="19">
        <f t="shared" si="57"/>
        <v>0.75000002980232239</v>
      </c>
      <c r="Y283">
        <f t="shared" si="58"/>
        <v>0.10000000149011612</v>
      </c>
      <c r="Z283" s="19">
        <f t="shared" si="59"/>
        <v>0.2500000037252903</v>
      </c>
      <c r="AA283" s="19">
        <f t="shared" si="60"/>
        <v>0.4375000111758709</v>
      </c>
      <c r="AB283" t="str">
        <f t="shared" si="61"/>
        <v>Rusak Berat Dominan</v>
      </c>
      <c r="AC283" s="19">
        <f>IF(Dashboard!$B$7="Mantap (%)",X283,IF(Dashboard!$B$7="Tidak Mantap (%)",Z283,IF(Dashboard!$B$7="Baik (%)",P283,IF(Dashboard!$B$7="Sedang (%)",R283,IF(Dashboard!$B$7="Rusak Ringan (%)",T283,IF(Dashboard!$B$7="Rusak Berat (%)",V283,AA283))))))</f>
        <v>0.2500000037252903</v>
      </c>
      <c r="AD283" s="20">
        <f>IF(AND(AF283=1,E283&gt;=Dashboard!$B$10,IF(Dashboard!$B$9="≤ Maksimum",AC283&lt;=Dashboard!$B$8,AC283&gt;=Dashboard!$B$8)),1,0)</f>
        <v>1</v>
      </c>
      <c r="AE283" s="20">
        <f>IF(AD283=1,COUNTIFS($AD$2:$AD$351,1,$AC$2:$AC$351,"&gt;"&amp;AC283)+COUNTIFS($AD$2:AD283,1,$AC$2:AC283,AC283),"")</f>
        <v>175</v>
      </c>
      <c r="AF283" s="20">
        <f>IF(OR(Dashboard!$B$6="Semua",ISNUMBER(SEARCH(Dashboard!$B$6,D283))),1,0)</f>
        <v>1</v>
      </c>
      <c r="AG283" s="18">
        <f t="shared" si="62"/>
        <v>0.4</v>
      </c>
      <c r="AH283" s="18">
        <f t="shared" si="63"/>
        <v>0.30000001192092896</v>
      </c>
      <c r="AI283" s="18">
        <f t="shared" si="64"/>
        <v>0.10000000149011612</v>
      </c>
      <c r="AJ283" s="18">
        <f t="shared" si="65"/>
        <v>0.10000000149011612</v>
      </c>
      <c r="AK283" s="20">
        <f>IF(OR(Ruas_Per_Kecamatan!$B$4="Semua",ISNUMBER(SEARCH(Ruas_Per_Kecamatan!$B$4,D283))),1,0)</f>
        <v>1</v>
      </c>
      <c r="AL283" s="20">
        <f>IF(AK283=1,COUNTIF($AK$2:AK283,1),"")</f>
        <v>282</v>
      </c>
      <c r="AM283" s="18">
        <f t="shared" si="66"/>
        <v>0.4</v>
      </c>
      <c r="AN283" s="18">
        <f t="shared" si="67"/>
        <v>0.30000001192092896</v>
      </c>
      <c r="AO283" s="18">
        <f t="shared" si="68"/>
        <v>0.10000000149011612</v>
      </c>
      <c r="AP283" s="18">
        <f t="shared" si="69"/>
        <v>0.10000000149011612</v>
      </c>
    </row>
    <row r="284" spans="1:42" x14ac:dyDescent="0.25">
      <c r="A284" s="17">
        <v>283</v>
      </c>
      <c r="B284" s="17" t="s">
        <v>733</v>
      </c>
      <c r="C284" s="21" t="s">
        <v>335</v>
      </c>
      <c r="D284" s="17" t="s">
        <v>309</v>
      </c>
      <c r="E284" s="18">
        <v>1.75</v>
      </c>
      <c r="F284" s="18">
        <v>2</v>
      </c>
      <c r="G284" s="18">
        <v>0</v>
      </c>
      <c r="H284" s="18"/>
      <c r="I284" s="18">
        <v>2025</v>
      </c>
      <c r="J284" s="18">
        <v>0</v>
      </c>
      <c r="K284" s="18">
        <v>0</v>
      </c>
      <c r="L284" s="18">
        <v>1.75</v>
      </c>
      <c r="M284" s="18">
        <v>0</v>
      </c>
      <c r="N284" s="18">
        <v>0</v>
      </c>
      <c r="O284" s="18">
        <v>0</v>
      </c>
      <c r="P284" s="19">
        <v>0</v>
      </c>
      <c r="Q284" s="18">
        <v>0.69999998807907104</v>
      </c>
      <c r="R284" s="19">
        <v>0.39999999318804058</v>
      </c>
      <c r="S284" s="18">
        <v>0.80000001192092896</v>
      </c>
      <c r="T284" s="19">
        <v>0.45714286395481657</v>
      </c>
      <c r="U284" s="18">
        <v>0.25</v>
      </c>
      <c r="V284" s="19">
        <v>0.14285714285714285</v>
      </c>
      <c r="W284">
        <f t="shared" si="56"/>
        <v>0.69999998807907104</v>
      </c>
      <c r="X284" s="19">
        <f t="shared" si="57"/>
        <v>0.39999999318804058</v>
      </c>
      <c r="Y284">
        <f t="shared" si="58"/>
        <v>1.050000011920929</v>
      </c>
      <c r="Z284" s="19">
        <f t="shared" si="59"/>
        <v>0.60000000681195942</v>
      </c>
      <c r="AA284" s="19">
        <f t="shared" si="60"/>
        <v>0.51714285952704286</v>
      </c>
      <c r="AB284" t="str">
        <f t="shared" si="61"/>
        <v>Tidak Mantap Tinggi</v>
      </c>
      <c r="AC284" s="19">
        <f>IF(Dashboard!$B$7="Mantap (%)",X284,IF(Dashboard!$B$7="Tidak Mantap (%)",Z284,IF(Dashboard!$B$7="Baik (%)",P284,IF(Dashboard!$B$7="Sedang (%)",R284,IF(Dashboard!$B$7="Rusak Ringan (%)",T284,IF(Dashboard!$B$7="Rusak Berat (%)",V284,AA284))))))</f>
        <v>0.60000000681195942</v>
      </c>
      <c r="AD284" s="20">
        <f>IF(AND(AF284=1,E284&gt;=Dashboard!$B$10,IF(Dashboard!$B$9="≤ Maksimum",AC284&lt;=Dashboard!$B$8,AC284&gt;=Dashboard!$B$8)),1,0)</f>
        <v>1</v>
      </c>
      <c r="AE284" s="20">
        <f>IF(AD284=1,COUNTIFS($AD$2:$AD$351,1,$AC$2:$AC$351,"&gt;"&amp;AC284)+COUNTIFS($AD$2:AD284,1,$AC$2:AC284,AC284),"")</f>
        <v>107</v>
      </c>
      <c r="AF284" s="20">
        <f>IF(OR(Dashboard!$B$6="Semua",ISNUMBER(SEARCH(Dashboard!$B$6,D284))),1,0)</f>
        <v>1</v>
      </c>
      <c r="AG284" s="18">
        <f t="shared" si="62"/>
        <v>1.75</v>
      </c>
      <c r="AH284" s="18">
        <f t="shared" si="63"/>
        <v>0.69999998807907104</v>
      </c>
      <c r="AI284" s="18">
        <f t="shared" si="64"/>
        <v>1.050000011920929</v>
      </c>
      <c r="AJ284" s="18">
        <f t="shared" si="65"/>
        <v>0.25</v>
      </c>
      <c r="AK284" s="20">
        <f>IF(OR(Ruas_Per_Kecamatan!$B$4="Semua",ISNUMBER(SEARCH(Ruas_Per_Kecamatan!$B$4,D284))),1,0)</f>
        <v>1</v>
      </c>
      <c r="AL284" s="20">
        <f>IF(AK284=1,COUNTIF($AK$2:AK284,1),"")</f>
        <v>283</v>
      </c>
      <c r="AM284" s="18">
        <f t="shared" si="66"/>
        <v>1.75</v>
      </c>
      <c r="AN284" s="18">
        <f t="shared" si="67"/>
        <v>0.69999998807907104</v>
      </c>
      <c r="AO284" s="18">
        <f t="shared" si="68"/>
        <v>1.050000011920929</v>
      </c>
      <c r="AP284" s="18">
        <f t="shared" si="69"/>
        <v>0.25</v>
      </c>
    </row>
    <row r="285" spans="1:42" ht="30" x14ac:dyDescent="0.25">
      <c r="A285" s="17">
        <v>284</v>
      </c>
      <c r="B285" s="17" t="s">
        <v>734</v>
      </c>
      <c r="C285" s="21" t="s">
        <v>336</v>
      </c>
      <c r="D285" s="17" t="s">
        <v>309</v>
      </c>
      <c r="E285" s="18">
        <v>2.08</v>
      </c>
      <c r="F285" s="18">
        <v>1.5</v>
      </c>
      <c r="G285" s="18">
        <v>0</v>
      </c>
      <c r="H285" s="18"/>
      <c r="I285" s="18">
        <v>2025</v>
      </c>
      <c r="J285" s="18">
        <v>0</v>
      </c>
      <c r="K285" s="18">
        <v>0</v>
      </c>
      <c r="L285" s="18">
        <v>2.0799999237060547</v>
      </c>
      <c r="M285" s="18">
        <v>0</v>
      </c>
      <c r="N285" s="18">
        <v>0</v>
      </c>
      <c r="O285" s="18">
        <v>0</v>
      </c>
      <c r="P285" s="19">
        <v>0</v>
      </c>
      <c r="Q285" s="18">
        <v>1.1799999475479126</v>
      </c>
      <c r="R285" s="19">
        <v>0.56730766709034253</v>
      </c>
      <c r="S285" s="18">
        <v>0.80000001192092896</v>
      </c>
      <c r="T285" s="19">
        <v>0.38461539034660047</v>
      </c>
      <c r="U285" s="18">
        <v>0.10000000149011612</v>
      </c>
      <c r="V285" s="19">
        <v>4.8076923793325059E-2</v>
      </c>
      <c r="W285">
        <f t="shared" si="56"/>
        <v>1.1799999475479126</v>
      </c>
      <c r="X285" s="19">
        <f t="shared" si="57"/>
        <v>0.56730766709034253</v>
      </c>
      <c r="Y285">
        <f t="shared" si="58"/>
        <v>0.90000001341104507</v>
      </c>
      <c r="Z285" s="19">
        <f t="shared" si="59"/>
        <v>0.43269231413992548</v>
      </c>
      <c r="AA285" s="19">
        <f t="shared" si="60"/>
        <v>0.42067307477387095</v>
      </c>
      <c r="AB285" t="str">
        <f t="shared" si="61"/>
        <v>Tidak Mantap Sedang</v>
      </c>
      <c r="AC285" s="19">
        <f>IF(Dashboard!$B$7="Mantap (%)",X285,IF(Dashboard!$B$7="Tidak Mantap (%)",Z285,IF(Dashboard!$B$7="Baik (%)",P285,IF(Dashboard!$B$7="Sedang (%)",R285,IF(Dashboard!$B$7="Rusak Ringan (%)",T285,IF(Dashboard!$B$7="Rusak Berat (%)",V285,AA285))))))</f>
        <v>0.43269231413992548</v>
      </c>
      <c r="AD285" s="20">
        <f>IF(AND(AF285=1,E285&gt;=Dashboard!$B$10,IF(Dashboard!$B$9="≤ Maksimum",AC285&lt;=Dashboard!$B$8,AC285&gt;=Dashboard!$B$8)),1,0)</f>
        <v>1</v>
      </c>
      <c r="AE285" s="20">
        <f>IF(AD285=1,COUNTIFS($AD$2:$AD$351,1,$AC$2:$AC$351,"&gt;"&amp;AC285)+COUNTIFS($AD$2:AD285,1,$AC$2:AC285,AC285),"")</f>
        <v>142</v>
      </c>
      <c r="AF285" s="20">
        <f>IF(OR(Dashboard!$B$6="Semua",ISNUMBER(SEARCH(Dashboard!$B$6,D285))),1,0)</f>
        <v>1</v>
      </c>
      <c r="AG285" s="18">
        <f t="shared" si="62"/>
        <v>2.08</v>
      </c>
      <c r="AH285" s="18">
        <f t="shared" si="63"/>
        <v>1.1799999475479126</v>
      </c>
      <c r="AI285" s="18">
        <f t="shared" si="64"/>
        <v>0.90000001341104507</v>
      </c>
      <c r="AJ285" s="18">
        <f t="shared" si="65"/>
        <v>0.10000000149011612</v>
      </c>
      <c r="AK285" s="20">
        <f>IF(OR(Ruas_Per_Kecamatan!$B$4="Semua",ISNUMBER(SEARCH(Ruas_Per_Kecamatan!$B$4,D285))),1,0)</f>
        <v>1</v>
      </c>
      <c r="AL285" s="20">
        <f>IF(AK285=1,COUNTIF($AK$2:AK285,1),"")</f>
        <v>284</v>
      </c>
      <c r="AM285" s="18">
        <f t="shared" si="66"/>
        <v>2.08</v>
      </c>
      <c r="AN285" s="18">
        <f t="shared" si="67"/>
        <v>1.1799999475479126</v>
      </c>
      <c r="AO285" s="18">
        <f t="shared" si="68"/>
        <v>0.90000001341104507</v>
      </c>
      <c r="AP285" s="18">
        <f t="shared" si="69"/>
        <v>0.10000000149011612</v>
      </c>
    </row>
    <row r="286" spans="1:42" ht="30" x14ac:dyDescent="0.25">
      <c r="A286" s="17">
        <v>285</v>
      </c>
      <c r="B286" s="17" t="s">
        <v>735</v>
      </c>
      <c r="C286" s="21" t="s">
        <v>337</v>
      </c>
      <c r="D286" s="17" t="s">
        <v>309</v>
      </c>
      <c r="E286" s="18">
        <v>0.83</v>
      </c>
      <c r="F286" s="18">
        <v>1.5</v>
      </c>
      <c r="G286" s="18">
        <v>0</v>
      </c>
      <c r="H286" s="18"/>
      <c r="I286" s="18">
        <v>2025</v>
      </c>
      <c r="J286" s="18">
        <v>0</v>
      </c>
      <c r="K286" s="18">
        <v>0</v>
      </c>
      <c r="L286" s="18">
        <v>0.82999998331069946</v>
      </c>
      <c r="M286" s="18">
        <v>0</v>
      </c>
      <c r="N286" s="18">
        <v>0</v>
      </c>
      <c r="O286" s="18">
        <v>0</v>
      </c>
      <c r="P286" s="19">
        <v>0</v>
      </c>
      <c r="Q286" s="18">
        <v>0.82999998331069946</v>
      </c>
      <c r="R286" s="19">
        <v>0.99999997989240907</v>
      </c>
      <c r="S286" s="18">
        <v>0</v>
      </c>
      <c r="T286" s="19">
        <v>0</v>
      </c>
      <c r="U286" s="18">
        <v>0</v>
      </c>
      <c r="V286" s="19">
        <v>0</v>
      </c>
      <c r="W286">
        <f t="shared" si="56"/>
        <v>0.82999998331069946</v>
      </c>
      <c r="X286" s="19">
        <f t="shared" si="57"/>
        <v>0.99999997989240907</v>
      </c>
      <c r="Y286">
        <f t="shared" si="58"/>
        <v>0</v>
      </c>
      <c r="Z286" s="19">
        <f t="shared" si="59"/>
        <v>0</v>
      </c>
      <c r="AA286" s="19">
        <f t="shared" si="60"/>
        <v>0.24999999497310227</v>
      </c>
      <c r="AB286" t="str">
        <f t="shared" si="61"/>
        <v>Relatif Mantap</v>
      </c>
      <c r="AC286" s="19">
        <f>IF(Dashboard!$B$7="Mantap (%)",X286,IF(Dashboard!$B$7="Tidak Mantap (%)",Z286,IF(Dashboard!$B$7="Baik (%)",P286,IF(Dashboard!$B$7="Sedang (%)",R286,IF(Dashboard!$B$7="Rusak Ringan (%)",T286,IF(Dashboard!$B$7="Rusak Berat (%)",V286,AA286))))))</f>
        <v>0</v>
      </c>
      <c r="AD286" s="20">
        <f>IF(AND(AF286=1,E286&gt;=Dashboard!$B$10,IF(Dashboard!$B$9="≤ Maksimum",AC286&lt;=Dashboard!$B$8,AC286&gt;=Dashboard!$B$8)),1,0)</f>
        <v>0</v>
      </c>
      <c r="AE286" s="20" t="str">
        <f>IF(AD286=1,COUNTIFS($AD$2:$AD$351,1,$AC$2:$AC$351,"&gt;"&amp;AC286)+COUNTIFS($AD$2:AD286,1,$AC$2:AC286,AC286),"")</f>
        <v/>
      </c>
      <c r="AF286" s="20">
        <f>IF(OR(Dashboard!$B$6="Semua",ISNUMBER(SEARCH(Dashboard!$B$6,D286))),1,0)</f>
        <v>1</v>
      </c>
      <c r="AG286" s="18">
        <f t="shared" si="62"/>
        <v>0.83</v>
      </c>
      <c r="AH286" s="18">
        <f t="shared" si="63"/>
        <v>0.82999998331069946</v>
      </c>
      <c r="AI286" s="18">
        <f t="shared" si="64"/>
        <v>0</v>
      </c>
      <c r="AJ286" s="18">
        <f t="shared" si="65"/>
        <v>0</v>
      </c>
      <c r="AK286" s="20">
        <f>IF(OR(Ruas_Per_Kecamatan!$B$4="Semua",ISNUMBER(SEARCH(Ruas_Per_Kecamatan!$B$4,D286))),1,0)</f>
        <v>1</v>
      </c>
      <c r="AL286" s="20">
        <f>IF(AK286=1,COUNTIF($AK$2:AK286,1),"")</f>
        <v>285</v>
      </c>
      <c r="AM286" s="18">
        <f t="shared" si="66"/>
        <v>0.83</v>
      </c>
      <c r="AN286" s="18">
        <f t="shared" si="67"/>
        <v>0.82999998331069946</v>
      </c>
      <c r="AO286" s="18">
        <f t="shared" si="68"/>
        <v>0</v>
      </c>
      <c r="AP286" s="18">
        <f t="shared" si="69"/>
        <v>0</v>
      </c>
    </row>
    <row r="287" spans="1:42" x14ac:dyDescent="0.25">
      <c r="A287" s="17">
        <v>286</v>
      </c>
      <c r="B287" s="17" t="s">
        <v>736</v>
      </c>
      <c r="C287" s="21" t="s">
        <v>338</v>
      </c>
      <c r="D287" s="17" t="s">
        <v>309</v>
      </c>
      <c r="E287" s="18">
        <v>2.27</v>
      </c>
      <c r="F287" s="18">
        <v>1.5</v>
      </c>
      <c r="G287" s="18">
        <v>0</v>
      </c>
      <c r="H287" s="18"/>
      <c r="I287" s="18">
        <v>2025</v>
      </c>
      <c r="J287" s="18">
        <v>0</v>
      </c>
      <c r="K287" s="18">
        <v>0</v>
      </c>
      <c r="L287" s="18">
        <v>2.2699999809265137</v>
      </c>
      <c r="M287" s="18">
        <v>0</v>
      </c>
      <c r="N287" s="18">
        <v>0</v>
      </c>
      <c r="O287" s="18">
        <v>0</v>
      </c>
      <c r="P287" s="19">
        <v>0</v>
      </c>
      <c r="Q287" s="18">
        <v>2.2699999809265137</v>
      </c>
      <c r="R287" s="19">
        <v>0.99999999159758313</v>
      </c>
      <c r="S287" s="18">
        <v>0</v>
      </c>
      <c r="T287" s="19">
        <v>0</v>
      </c>
      <c r="U287" s="18">
        <v>0</v>
      </c>
      <c r="V287" s="19">
        <v>0</v>
      </c>
      <c r="W287">
        <f t="shared" si="56"/>
        <v>2.2699999809265137</v>
      </c>
      <c r="X287" s="19">
        <f t="shared" si="57"/>
        <v>0.99999999159758313</v>
      </c>
      <c r="Y287">
        <f t="shared" si="58"/>
        <v>0</v>
      </c>
      <c r="Z287" s="19">
        <f t="shared" si="59"/>
        <v>0</v>
      </c>
      <c r="AA287" s="19">
        <f t="shared" si="60"/>
        <v>0.24999999789939578</v>
      </c>
      <c r="AB287" t="str">
        <f t="shared" si="61"/>
        <v>Relatif Mantap</v>
      </c>
      <c r="AC287" s="19">
        <f>IF(Dashboard!$B$7="Mantap (%)",X287,IF(Dashboard!$B$7="Tidak Mantap (%)",Z287,IF(Dashboard!$B$7="Baik (%)",P287,IF(Dashboard!$B$7="Sedang (%)",R287,IF(Dashboard!$B$7="Rusak Ringan (%)",T287,IF(Dashboard!$B$7="Rusak Berat (%)",V287,AA287))))))</f>
        <v>0</v>
      </c>
      <c r="AD287" s="20">
        <f>IF(AND(AF287=1,E287&gt;=Dashboard!$B$10,IF(Dashboard!$B$9="≤ Maksimum",AC287&lt;=Dashboard!$B$8,AC287&gt;=Dashboard!$B$8)),1,0)</f>
        <v>0</v>
      </c>
      <c r="AE287" s="20" t="str">
        <f>IF(AD287=1,COUNTIFS($AD$2:$AD$351,1,$AC$2:$AC$351,"&gt;"&amp;AC287)+COUNTIFS($AD$2:AD287,1,$AC$2:AC287,AC287),"")</f>
        <v/>
      </c>
      <c r="AF287" s="20">
        <f>IF(OR(Dashboard!$B$6="Semua",ISNUMBER(SEARCH(Dashboard!$B$6,D287))),1,0)</f>
        <v>1</v>
      </c>
      <c r="AG287" s="18">
        <f t="shared" si="62"/>
        <v>2.27</v>
      </c>
      <c r="AH287" s="18">
        <f t="shared" si="63"/>
        <v>2.2699999809265137</v>
      </c>
      <c r="AI287" s="18">
        <f t="shared" si="64"/>
        <v>0</v>
      </c>
      <c r="AJ287" s="18">
        <f t="shared" si="65"/>
        <v>0</v>
      </c>
      <c r="AK287" s="20">
        <f>IF(OR(Ruas_Per_Kecamatan!$B$4="Semua",ISNUMBER(SEARCH(Ruas_Per_Kecamatan!$B$4,D287))),1,0)</f>
        <v>1</v>
      </c>
      <c r="AL287" s="20">
        <f>IF(AK287=1,COUNTIF($AK$2:AK287,1),"")</f>
        <v>286</v>
      </c>
      <c r="AM287" s="18">
        <f t="shared" si="66"/>
        <v>2.27</v>
      </c>
      <c r="AN287" s="18">
        <f t="shared" si="67"/>
        <v>2.2699999809265137</v>
      </c>
      <c r="AO287" s="18">
        <f t="shared" si="68"/>
        <v>0</v>
      </c>
      <c r="AP287" s="18">
        <f t="shared" si="69"/>
        <v>0</v>
      </c>
    </row>
    <row r="288" spans="1:42" x14ac:dyDescent="0.25">
      <c r="A288" s="17">
        <v>287</v>
      </c>
      <c r="B288" s="17" t="s">
        <v>737</v>
      </c>
      <c r="C288" s="21" t="s">
        <v>339</v>
      </c>
      <c r="D288" s="17" t="s">
        <v>309</v>
      </c>
      <c r="E288" s="18">
        <v>4.16</v>
      </c>
      <c r="F288" s="18">
        <v>1.5</v>
      </c>
      <c r="G288" s="18">
        <v>0</v>
      </c>
      <c r="H288" s="18"/>
      <c r="I288" s="18">
        <v>2025</v>
      </c>
      <c r="J288" s="18">
        <v>0</v>
      </c>
      <c r="K288" s="18">
        <v>0</v>
      </c>
      <c r="L288" s="18">
        <v>1.2000000476837158</v>
      </c>
      <c r="M288" s="18">
        <v>0</v>
      </c>
      <c r="N288" s="18">
        <v>2.9600000381469727</v>
      </c>
      <c r="O288" s="18">
        <v>0</v>
      </c>
      <c r="P288" s="19">
        <v>0</v>
      </c>
      <c r="Q288" s="18">
        <v>0.20000000298023224</v>
      </c>
      <c r="R288" s="19">
        <v>4.8076923793325059E-2</v>
      </c>
      <c r="S288" s="18">
        <v>0.69999998807907104</v>
      </c>
      <c r="T288" s="19">
        <v>0.16826922790362284</v>
      </c>
      <c r="U288" s="18">
        <v>3.2600000500679016</v>
      </c>
      <c r="V288" s="19">
        <v>0.78365385818939937</v>
      </c>
      <c r="W288">
        <f t="shared" si="56"/>
        <v>0.20000000298023224</v>
      </c>
      <c r="X288" s="19">
        <f t="shared" si="57"/>
        <v>4.8076923793325059E-2</v>
      </c>
      <c r="Y288">
        <f t="shared" si="58"/>
        <v>3.9600000381469727</v>
      </c>
      <c r="Z288" s="19">
        <f t="shared" si="59"/>
        <v>0.95192308609302223</v>
      </c>
      <c r="AA288" s="19">
        <f t="shared" si="60"/>
        <v>0.89663462587990428</v>
      </c>
      <c r="AB288" t="str">
        <f t="shared" si="61"/>
        <v>Rusak Berat Dominan</v>
      </c>
      <c r="AC288" s="19">
        <f>IF(Dashboard!$B$7="Mantap (%)",X288,IF(Dashboard!$B$7="Tidak Mantap (%)",Z288,IF(Dashboard!$B$7="Baik (%)",P288,IF(Dashboard!$B$7="Sedang (%)",R288,IF(Dashboard!$B$7="Rusak Ringan (%)",T288,IF(Dashboard!$B$7="Rusak Berat (%)",V288,AA288))))))</f>
        <v>0.95192308609302223</v>
      </c>
      <c r="AD288" s="20">
        <f>IF(AND(AF288=1,E288&gt;=Dashboard!$B$10,IF(Dashboard!$B$9="≤ Maksimum",AC288&lt;=Dashboard!$B$8,AC288&gt;=Dashboard!$B$8)),1,0)</f>
        <v>1</v>
      </c>
      <c r="AE288" s="20">
        <f>IF(AD288=1,COUNTIFS($AD$2:$AD$351,1,$AC$2:$AC$351,"&gt;"&amp;AC288)+COUNTIFS($AD$2:AD288,1,$AC$2:AC288,AC288),"")</f>
        <v>51</v>
      </c>
      <c r="AF288" s="20">
        <f>IF(OR(Dashboard!$B$6="Semua",ISNUMBER(SEARCH(Dashboard!$B$6,D288))),1,0)</f>
        <v>1</v>
      </c>
      <c r="AG288" s="18">
        <f t="shared" si="62"/>
        <v>4.16</v>
      </c>
      <c r="AH288" s="18">
        <f t="shared" si="63"/>
        <v>0.20000000298023224</v>
      </c>
      <c r="AI288" s="18">
        <f t="shared" si="64"/>
        <v>3.9600000381469727</v>
      </c>
      <c r="AJ288" s="18">
        <f t="shared" si="65"/>
        <v>3.2600000500679016</v>
      </c>
      <c r="AK288" s="20">
        <f>IF(OR(Ruas_Per_Kecamatan!$B$4="Semua",ISNUMBER(SEARCH(Ruas_Per_Kecamatan!$B$4,D288))),1,0)</f>
        <v>1</v>
      </c>
      <c r="AL288" s="20">
        <f>IF(AK288=1,COUNTIF($AK$2:AK288,1),"")</f>
        <v>287</v>
      </c>
      <c r="AM288" s="18">
        <f t="shared" si="66"/>
        <v>4.16</v>
      </c>
      <c r="AN288" s="18">
        <f t="shared" si="67"/>
        <v>0.20000000298023224</v>
      </c>
      <c r="AO288" s="18">
        <f t="shared" si="68"/>
        <v>3.9600000381469727</v>
      </c>
      <c r="AP288" s="18">
        <f t="shared" si="69"/>
        <v>3.2600000500679016</v>
      </c>
    </row>
    <row r="289" spans="1:42" x14ac:dyDescent="0.25">
      <c r="A289" s="17">
        <v>288</v>
      </c>
      <c r="B289" s="17" t="s">
        <v>738</v>
      </c>
      <c r="C289" s="21" t="s">
        <v>340</v>
      </c>
      <c r="D289" s="17" t="s">
        <v>309</v>
      </c>
      <c r="E289" s="18">
        <v>3.56</v>
      </c>
      <c r="F289" s="18">
        <v>1.5</v>
      </c>
      <c r="G289" s="18">
        <v>0</v>
      </c>
      <c r="H289" s="18"/>
      <c r="I289" s="18">
        <v>2025</v>
      </c>
      <c r="J289" s="18">
        <v>0</v>
      </c>
      <c r="K289" s="18">
        <v>0</v>
      </c>
      <c r="L289" s="18">
        <v>3.559999942779541</v>
      </c>
      <c r="M289" s="18">
        <v>0</v>
      </c>
      <c r="N289" s="18">
        <v>0</v>
      </c>
      <c r="O289" s="18">
        <v>0</v>
      </c>
      <c r="P289" s="19">
        <v>0</v>
      </c>
      <c r="Q289" s="18">
        <v>1.3600000143051147</v>
      </c>
      <c r="R289" s="19">
        <v>0.38202247592840299</v>
      </c>
      <c r="S289" s="18">
        <v>0</v>
      </c>
      <c r="T289" s="19">
        <v>0</v>
      </c>
      <c r="U289" s="18">
        <v>2.2000000476837158</v>
      </c>
      <c r="V289" s="19">
        <v>0.61797754148418982</v>
      </c>
      <c r="W289">
        <f t="shared" si="56"/>
        <v>1.3600000143051147</v>
      </c>
      <c r="X289" s="19">
        <f t="shared" si="57"/>
        <v>0.38202247592840299</v>
      </c>
      <c r="Y289">
        <f t="shared" si="58"/>
        <v>2.2000000476837158</v>
      </c>
      <c r="Z289" s="19">
        <f t="shared" si="59"/>
        <v>0.61797754148418982</v>
      </c>
      <c r="AA289" s="19">
        <f t="shared" si="60"/>
        <v>0.71348316046629057</v>
      </c>
      <c r="AB289" t="str">
        <f t="shared" si="61"/>
        <v>Rusak Berat Dominan</v>
      </c>
      <c r="AC289" s="19">
        <f>IF(Dashboard!$B$7="Mantap (%)",X289,IF(Dashboard!$B$7="Tidak Mantap (%)",Z289,IF(Dashboard!$B$7="Baik (%)",P289,IF(Dashboard!$B$7="Sedang (%)",R289,IF(Dashboard!$B$7="Rusak Ringan (%)",T289,IF(Dashboard!$B$7="Rusak Berat (%)",V289,AA289))))))</f>
        <v>0.61797754148418982</v>
      </c>
      <c r="AD289" s="20">
        <f>IF(AND(AF289=1,E289&gt;=Dashboard!$B$10,IF(Dashboard!$B$9="≤ Maksimum",AC289&lt;=Dashboard!$B$8,AC289&gt;=Dashboard!$B$8)),1,0)</f>
        <v>1</v>
      </c>
      <c r="AE289" s="20">
        <f>IF(AD289=1,COUNTIFS($AD$2:$AD$351,1,$AC$2:$AC$351,"&gt;"&amp;AC289)+COUNTIFS($AD$2:AD289,1,$AC$2:AC289,AC289),"")</f>
        <v>105</v>
      </c>
      <c r="AF289" s="20">
        <f>IF(OR(Dashboard!$B$6="Semua",ISNUMBER(SEARCH(Dashboard!$B$6,D289))),1,0)</f>
        <v>1</v>
      </c>
      <c r="AG289" s="18">
        <f t="shared" si="62"/>
        <v>3.56</v>
      </c>
      <c r="AH289" s="18">
        <f t="shared" si="63"/>
        <v>1.3600000143051147</v>
      </c>
      <c r="AI289" s="18">
        <f t="shared" si="64"/>
        <v>2.2000000476837158</v>
      </c>
      <c r="AJ289" s="18">
        <f t="shared" si="65"/>
        <v>2.2000000476837158</v>
      </c>
      <c r="AK289" s="20">
        <f>IF(OR(Ruas_Per_Kecamatan!$B$4="Semua",ISNUMBER(SEARCH(Ruas_Per_Kecamatan!$B$4,D289))),1,0)</f>
        <v>1</v>
      </c>
      <c r="AL289" s="20">
        <f>IF(AK289=1,COUNTIF($AK$2:AK289,1),"")</f>
        <v>288</v>
      </c>
      <c r="AM289" s="18">
        <f t="shared" si="66"/>
        <v>3.56</v>
      </c>
      <c r="AN289" s="18">
        <f t="shared" si="67"/>
        <v>1.3600000143051147</v>
      </c>
      <c r="AO289" s="18">
        <f t="shared" si="68"/>
        <v>2.2000000476837158</v>
      </c>
      <c r="AP289" s="18">
        <f t="shared" si="69"/>
        <v>2.2000000476837158</v>
      </c>
    </row>
    <row r="290" spans="1:42" x14ac:dyDescent="0.25">
      <c r="A290" s="17">
        <v>289</v>
      </c>
      <c r="B290" s="17" t="s">
        <v>739</v>
      </c>
      <c r="C290" s="21" t="s">
        <v>341</v>
      </c>
      <c r="D290" s="17" t="s">
        <v>342</v>
      </c>
      <c r="E290" s="18">
        <v>2.86</v>
      </c>
      <c r="F290" s="18">
        <v>3.5</v>
      </c>
      <c r="G290" s="18">
        <v>0</v>
      </c>
      <c r="H290" s="18"/>
      <c r="I290" s="18">
        <v>2025</v>
      </c>
      <c r="J290" s="18">
        <v>2.8599998950958252</v>
      </c>
      <c r="K290" s="18">
        <v>0</v>
      </c>
      <c r="L290" s="18">
        <v>0</v>
      </c>
      <c r="M290" s="18">
        <v>0</v>
      </c>
      <c r="N290" s="18">
        <v>0</v>
      </c>
      <c r="O290" s="18">
        <v>0.20000000298023224</v>
      </c>
      <c r="P290" s="19">
        <v>6.9930070972109182E-2</v>
      </c>
      <c r="Q290" s="18">
        <v>1.2999999523162842</v>
      </c>
      <c r="R290" s="19">
        <v>0.45454543787282664</v>
      </c>
      <c r="S290" s="18">
        <v>0.30000001192092896</v>
      </c>
      <c r="T290" s="19">
        <v>0.10489510906326188</v>
      </c>
      <c r="U290" s="18">
        <v>1.059999942779541</v>
      </c>
      <c r="V290" s="19">
        <v>0.37062935062221714</v>
      </c>
      <c r="W290">
        <f t="shared" si="56"/>
        <v>1.4999999552965164</v>
      </c>
      <c r="X290" s="19">
        <f t="shared" si="57"/>
        <v>0.52447550884493588</v>
      </c>
      <c r="Y290">
        <f t="shared" si="58"/>
        <v>1.35999995470047</v>
      </c>
      <c r="Z290" s="19">
        <f t="shared" si="59"/>
        <v>0.47552445968547902</v>
      </c>
      <c r="AA290" s="19">
        <f t="shared" si="60"/>
        <v>0.54720277552838092</v>
      </c>
      <c r="AB290" t="str">
        <f t="shared" si="61"/>
        <v>Rusak Berat Dominan</v>
      </c>
      <c r="AC290" s="19">
        <f>IF(Dashboard!$B$7="Mantap (%)",X290,IF(Dashboard!$B$7="Tidak Mantap (%)",Z290,IF(Dashboard!$B$7="Baik (%)",P290,IF(Dashboard!$B$7="Sedang (%)",R290,IF(Dashboard!$B$7="Rusak Ringan (%)",T290,IF(Dashboard!$B$7="Rusak Berat (%)",V290,AA290))))))</f>
        <v>0.47552445968547902</v>
      </c>
      <c r="AD290" s="20">
        <f>IF(AND(AF290=1,E290&gt;=Dashboard!$B$10,IF(Dashboard!$B$9="≤ Maksimum",AC290&lt;=Dashboard!$B$8,AC290&gt;=Dashboard!$B$8)),1,0)</f>
        <v>1</v>
      </c>
      <c r="AE290" s="20">
        <f>IF(AD290=1,COUNTIFS($AD$2:$AD$351,1,$AC$2:$AC$351,"&gt;"&amp;AC290)+COUNTIFS($AD$2:AD290,1,$AC$2:AC290,AC290),"")</f>
        <v>128</v>
      </c>
      <c r="AF290" s="20">
        <f>IF(OR(Dashboard!$B$6="Semua",ISNUMBER(SEARCH(Dashboard!$B$6,D290))),1,0)</f>
        <v>1</v>
      </c>
      <c r="AG290" s="18">
        <f t="shared" si="62"/>
        <v>2.86</v>
      </c>
      <c r="AH290" s="18">
        <f t="shared" si="63"/>
        <v>1.4999999552965164</v>
      </c>
      <c r="AI290" s="18">
        <f t="shared" si="64"/>
        <v>1.35999995470047</v>
      </c>
      <c r="AJ290" s="18">
        <f t="shared" si="65"/>
        <v>1.059999942779541</v>
      </c>
      <c r="AK290" s="20">
        <f>IF(OR(Ruas_Per_Kecamatan!$B$4="Semua",ISNUMBER(SEARCH(Ruas_Per_Kecamatan!$B$4,D290))),1,0)</f>
        <v>1</v>
      </c>
      <c r="AL290" s="20">
        <f>IF(AK290=1,COUNTIF($AK$2:AK290,1),"")</f>
        <v>289</v>
      </c>
      <c r="AM290" s="18">
        <f t="shared" si="66"/>
        <v>2.86</v>
      </c>
      <c r="AN290" s="18">
        <f t="shared" si="67"/>
        <v>1.4999999552965164</v>
      </c>
      <c r="AO290" s="18">
        <f t="shared" si="68"/>
        <v>1.35999995470047</v>
      </c>
      <c r="AP290" s="18">
        <f t="shared" si="69"/>
        <v>1.059999942779541</v>
      </c>
    </row>
    <row r="291" spans="1:42" x14ac:dyDescent="0.25">
      <c r="A291" s="17">
        <v>290</v>
      </c>
      <c r="B291" s="17" t="s">
        <v>740</v>
      </c>
      <c r="C291" s="21" t="s">
        <v>343</v>
      </c>
      <c r="D291" s="17" t="s">
        <v>342</v>
      </c>
      <c r="E291" s="18">
        <v>5</v>
      </c>
      <c r="F291" s="18">
        <v>3.5</v>
      </c>
      <c r="G291" s="18">
        <v>0</v>
      </c>
      <c r="H291" s="18"/>
      <c r="I291" s="18">
        <v>2025</v>
      </c>
      <c r="J291" s="18">
        <v>5</v>
      </c>
      <c r="K291" s="18">
        <v>0</v>
      </c>
      <c r="L291" s="18">
        <v>0</v>
      </c>
      <c r="M291" s="18">
        <v>0</v>
      </c>
      <c r="N291" s="18">
        <v>0</v>
      </c>
      <c r="O291" s="18">
        <v>5</v>
      </c>
      <c r="P291" s="19">
        <v>1</v>
      </c>
      <c r="Q291" s="18">
        <v>0</v>
      </c>
      <c r="R291" s="19">
        <v>0</v>
      </c>
      <c r="S291" s="18">
        <v>0</v>
      </c>
      <c r="T291" s="19">
        <v>0</v>
      </c>
      <c r="U291" s="18">
        <v>0</v>
      </c>
      <c r="V291" s="19">
        <v>0</v>
      </c>
      <c r="W291">
        <f t="shared" si="56"/>
        <v>5</v>
      </c>
      <c r="X291" s="19">
        <f t="shared" si="57"/>
        <v>1</v>
      </c>
      <c r="Y291">
        <f t="shared" si="58"/>
        <v>0</v>
      </c>
      <c r="Z291" s="19">
        <f t="shared" si="59"/>
        <v>0</v>
      </c>
      <c r="AA291" s="19">
        <f t="shared" si="60"/>
        <v>0</v>
      </c>
      <c r="AB291" t="str">
        <f t="shared" si="61"/>
        <v>Relatif Mantap</v>
      </c>
      <c r="AC291" s="19">
        <f>IF(Dashboard!$B$7="Mantap (%)",X291,IF(Dashboard!$B$7="Tidak Mantap (%)",Z291,IF(Dashboard!$B$7="Baik (%)",P291,IF(Dashboard!$B$7="Sedang (%)",R291,IF(Dashboard!$B$7="Rusak Ringan (%)",T291,IF(Dashboard!$B$7="Rusak Berat (%)",V291,AA291))))))</f>
        <v>0</v>
      </c>
      <c r="AD291" s="20">
        <f>IF(AND(AF291=1,E291&gt;=Dashboard!$B$10,IF(Dashboard!$B$9="≤ Maksimum",AC291&lt;=Dashboard!$B$8,AC291&gt;=Dashboard!$B$8)),1,0)</f>
        <v>0</v>
      </c>
      <c r="AE291" s="20" t="str">
        <f>IF(AD291=1,COUNTIFS($AD$2:$AD$351,1,$AC$2:$AC$351,"&gt;"&amp;AC291)+COUNTIFS($AD$2:AD291,1,$AC$2:AC291,AC291),"")</f>
        <v/>
      </c>
      <c r="AF291" s="20">
        <f>IF(OR(Dashboard!$B$6="Semua",ISNUMBER(SEARCH(Dashboard!$B$6,D291))),1,0)</f>
        <v>1</v>
      </c>
      <c r="AG291" s="18">
        <f t="shared" si="62"/>
        <v>5</v>
      </c>
      <c r="AH291" s="18">
        <f t="shared" si="63"/>
        <v>5</v>
      </c>
      <c r="AI291" s="18">
        <f t="shared" si="64"/>
        <v>0</v>
      </c>
      <c r="AJ291" s="18">
        <f t="shared" si="65"/>
        <v>0</v>
      </c>
      <c r="AK291" s="20">
        <f>IF(OR(Ruas_Per_Kecamatan!$B$4="Semua",ISNUMBER(SEARCH(Ruas_Per_Kecamatan!$B$4,D291))),1,0)</f>
        <v>1</v>
      </c>
      <c r="AL291" s="20">
        <f>IF(AK291=1,COUNTIF($AK$2:AK291,1),"")</f>
        <v>290</v>
      </c>
      <c r="AM291" s="18">
        <f t="shared" si="66"/>
        <v>5</v>
      </c>
      <c r="AN291" s="18">
        <f t="shared" si="67"/>
        <v>5</v>
      </c>
      <c r="AO291" s="18">
        <f t="shared" si="68"/>
        <v>0</v>
      </c>
      <c r="AP291" s="18">
        <f t="shared" si="69"/>
        <v>0</v>
      </c>
    </row>
    <row r="292" spans="1:42" x14ac:dyDescent="0.25">
      <c r="A292" s="17">
        <v>291</v>
      </c>
      <c r="B292" s="17" t="s">
        <v>741</v>
      </c>
      <c r="C292" s="21" t="s">
        <v>742</v>
      </c>
      <c r="D292" s="17" t="s">
        <v>342</v>
      </c>
      <c r="E292" s="18">
        <v>0.37</v>
      </c>
      <c r="F292" s="18">
        <v>3</v>
      </c>
      <c r="G292" s="18">
        <v>0</v>
      </c>
      <c r="H292" s="18"/>
      <c r="I292" s="18">
        <v>2025</v>
      </c>
      <c r="J292" s="18">
        <v>0.37000000476837158</v>
      </c>
      <c r="K292" s="18">
        <v>0</v>
      </c>
      <c r="L292" s="18">
        <v>0</v>
      </c>
      <c r="M292" s="18">
        <v>0</v>
      </c>
      <c r="N292" s="18">
        <v>0</v>
      </c>
      <c r="O292" s="18">
        <v>0.37000000476837158</v>
      </c>
      <c r="P292" s="19">
        <v>1.0000000128874909</v>
      </c>
      <c r="Q292" s="18">
        <v>0</v>
      </c>
      <c r="R292" s="19">
        <v>0</v>
      </c>
      <c r="S292" s="18">
        <v>0</v>
      </c>
      <c r="T292" s="19">
        <v>0</v>
      </c>
      <c r="U292" s="18">
        <v>0</v>
      </c>
      <c r="V292" s="19">
        <v>0</v>
      </c>
      <c r="W292">
        <f t="shared" si="56"/>
        <v>0.37000000476837158</v>
      </c>
      <c r="X292" s="19">
        <f t="shared" si="57"/>
        <v>1.0000000128874909</v>
      </c>
      <c r="Y292">
        <f t="shared" si="58"/>
        <v>0</v>
      </c>
      <c r="Z292" s="19">
        <f t="shared" si="59"/>
        <v>0</v>
      </c>
      <c r="AA292" s="19">
        <f t="shared" si="60"/>
        <v>0</v>
      </c>
      <c r="AB292" t="str">
        <f t="shared" si="61"/>
        <v>Relatif Mantap</v>
      </c>
      <c r="AC292" s="19">
        <f>IF(Dashboard!$B$7="Mantap (%)",X292,IF(Dashboard!$B$7="Tidak Mantap (%)",Z292,IF(Dashboard!$B$7="Baik (%)",P292,IF(Dashboard!$B$7="Sedang (%)",R292,IF(Dashboard!$B$7="Rusak Ringan (%)",T292,IF(Dashboard!$B$7="Rusak Berat (%)",V292,AA292))))))</f>
        <v>0</v>
      </c>
      <c r="AD292" s="20">
        <f>IF(AND(AF292=1,E292&gt;=Dashboard!$B$10,IF(Dashboard!$B$9="≤ Maksimum",AC292&lt;=Dashboard!$B$8,AC292&gt;=Dashboard!$B$8)),1,0)</f>
        <v>0</v>
      </c>
      <c r="AE292" s="20" t="str">
        <f>IF(AD292=1,COUNTIFS($AD$2:$AD$351,1,$AC$2:$AC$351,"&gt;"&amp;AC292)+COUNTIFS($AD$2:AD292,1,$AC$2:AC292,AC292),"")</f>
        <v/>
      </c>
      <c r="AF292" s="20">
        <f>IF(OR(Dashboard!$B$6="Semua",ISNUMBER(SEARCH(Dashboard!$B$6,D292))),1,0)</f>
        <v>1</v>
      </c>
      <c r="AG292" s="18">
        <f t="shared" si="62"/>
        <v>0.37</v>
      </c>
      <c r="AH292" s="18">
        <f t="shared" si="63"/>
        <v>0.37000000476837158</v>
      </c>
      <c r="AI292" s="18">
        <f t="shared" si="64"/>
        <v>0</v>
      </c>
      <c r="AJ292" s="18">
        <f t="shared" si="65"/>
        <v>0</v>
      </c>
      <c r="AK292" s="20">
        <f>IF(OR(Ruas_Per_Kecamatan!$B$4="Semua",ISNUMBER(SEARCH(Ruas_Per_Kecamatan!$B$4,D292))),1,0)</f>
        <v>1</v>
      </c>
      <c r="AL292" s="20">
        <f>IF(AK292=1,COUNTIF($AK$2:AK292,1),"")</f>
        <v>291</v>
      </c>
      <c r="AM292" s="18">
        <f t="shared" si="66"/>
        <v>0.37</v>
      </c>
      <c r="AN292" s="18">
        <f t="shared" si="67"/>
        <v>0.37000000476837158</v>
      </c>
      <c r="AO292" s="18">
        <f t="shared" si="68"/>
        <v>0</v>
      </c>
      <c r="AP292" s="18">
        <f t="shared" si="69"/>
        <v>0</v>
      </c>
    </row>
    <row r="293" spans="1:42" x14ac:dyDescent="0.25">
      <c r="A293" s="17">
        <v>292</v>
      </c>
      <c r="B293" s="17" t="s">
        <v>743</v>
      </c>
      <c r="C293" s="21" t="s">
        <v>48</v>
      </c>
      <c r="D293" s="17" t="s">
        <v>342</v>
      </c>
      <c r="E293" s="18">
        <v>0.41</v>
      </c>
      <c r="F293" s="18">
        <v>3.5</v>
      </c>
      <c r="G293" s="18">
        <v>0</v>
      </c>
      <c r="H293" s="18"/>
      <c r="I293" s="18">
        <v>2025</v>
      </c>
      <c r="J293" s="18">
        <v>0.40999999642372131</v>
      </c>
      <c r="K293" s="18">
        <v>0</v>
      </c>
      <c r="L293" s="18">
        <v>0</v>
      </c>
      <c r="M293" s="18">
        <v>0</v>
      </c>
      <c r="N293" s="18">
        <v>0</v>
      </c>
      <c r="O293" s="18">
        <v>0.40999999642372131</v>
      </c>
      <c r="P293" s="19">
        <v>0.99999999127736916</v>
      </c>
      <c r="Q293" s="18">
        <v>0</v>
      </c>
      <c r="R293" s="19">
        <v>0</v>
      </c>
      <c r="S293" s="18">
        <v>0</v>
      </c>
      <c r="T293" s="19">
        <v>0</v>
      </c>
      <c r="U293" s="18">
        <v>0</v>
      </c>
      <c r="V293" s="19">
        <v>0</v>
      </c>
      <c r="W293">
        <f t="shared" si="56"/>
        <v>0.40999999642372131</v>
      </c>
      <c r="X293" s="19">
        <f t="shared" si="57"/>
        <v>0.99999999127736916</v>
      </c>
      <c r="Y293">
        <f t="shared" si="58"/>
        <v>0</v>
      </c>
      <c r="Z293" s="19">
        <f t="shared" si="59"/>
        <v>0</v>
      </c>
      <c r="AA293" s="19">
        <f t="shared" si="60"/>
        <v>0</v>
      </c>
      <c r="AB293" t="str">
        <f t="shared" si="61"/>
        <v>Relatif Mantap</v>
      </c>
      <c r="AC293" s="19">
        <f>IF(Dashboard!$B$7="Mantap (%)",X293,IF(Dashboard!$B$7="Tidak Mantap (%)",Z293,IF(Dashboard!$B$7="Baik (%)",P293,IF(Dashboard!$B$7="Sedang (%)",R293,IF(Dashboard!$B$7="Rusak Ringan (%)",T293,IF(Dashboard!$B$7="Rusak Berat (%)",V293,AA293))))))</f>
        <v>0</v>
      </c>
      <c r="AD293" s="20">
        <f>IF(AND(AF293=1,E293&gt;=Dashboard!$B$10,IF(Dashboard!$B$9="≤ Maksimum",AC293&lt;=Dashboard!$B$8,AC293&gt;=Dashboard!$B$8)),1,0)</f>
        <v>0</v>
      </c>
      <c r="AE293" s="20" t="str">
        <f>IF(AD293=1,COUNTIFS($AD$2:$AD$351,1,$AC$2:$AC$351,"&gt;"&amp;AC293)+COUNTIFS($AD$2:AD293,1,$AC$2:AC293,AC293),"")</f>
        <v/>
      </c>
      <c r="AF293" s="20">
        <f>IF(OR(Dashboard!$B$6="Semua",ISNUMBER(SEARCH(Dashboard!$B$6,D293))),1,0)</f>
        <v>1</v>
      </c>
      <c r="AG293" s="18">
        <f t="shared" si="62"/>
        <v>0.41</v>
      </c>
      <c r="AH293" s="18">
        <f t="shared" si="63"/>
        <v>0.40999999642372131</v>
      </c>
      <c r="AI293" s="18">
        <f t="shared" si="64"/>
        <v>0</v>
      </c>
      <c r="AJ293" s="18">
        <f t="shared" si="65"/>
        <v>0</v>
      </c>
      <c r="AK293" s="20">
        <f>IF(OR(Ruas_Per_Kecamatan!$B$4="Semua",ISNUMBER(SEARCH(Ruas_Per_Kecamatan!$B$4,D293))),1,0)</f>
        <v>1</v>
      </c>
      <c r="AL293" s="20">
        <f>IF(AK293=1,COUNTIF($AK$2:AK293,1),"")</f>
        <v>292</v>
      </c>
      <c r="AM293" s="18">
        <f t="shared" si="66"/>
        <v>0.41</v>
      </c>
      <c r="AN293" s="18">
        <f t="shared" si="67"/>
        <v>0.40999999642372131</v>
      </c>
      <c r="AO293" s="18">
        <f t="shared" si="68"/>
        <v>0</v>
      </c>
      <c r="AP293" s="18">
        <f t="shared" si="69"/>
        <v>0</v>
      </c>
    </row>
    <row r="294" spans="1:42" x14ac:dyDescent="0.25">
      <c r="A294" s="17">
        <v>293</v>
      </c>
      <c r="B294" s="17" t="s">
        <v>744</v>
      </c>
      <c r="C294" s="21" t="s">
        <v>49</v>
      </c>
      <c r="D294" s="17" t="s">
        <v>342</v>
      </c>
      <c r="E294" s="18">
        <v>0.4</v>
      </c>
      <c r="F294" s="18">
        <v>3.5</v>
      </c>
      <c r="G294" s="18">
        <v>0</v>
      </c>
      <c r="H294" s="18"/>
      <c r="I294" s="18">
        <v>2025</v>
      </c>
      <c r="J294" s="18">
        <v>0.40000000596046448</v>
      </c>
      <c r="K294" s="18">
        <v>0</v>
      </c>
      <c r="L294" s="18">
        <v>0</v>
      </c>
      <c r="M294" s="18">
        <v>0</v>
      </c>
      <c r="N294" s="18">
        <v>0</v>
      </c>
      <c r="O294" s="18">
        <v>0.40000000596046448</v>
      </c>
      <c r="P294" s="19">
        <v>1.0000000149011612</v>
      </c>
      <c r="Q294" s="18">
        <v>0</v>
      </c>
      <c r="R294" s="19">
        <v>0</v>
      </c>
      <c r="S294" s="18">
        <v>0</v>
      </c>
      <c r="T294" s="19">
        <v>0</v>
      </c>
      <c r="U294" s="18">
        <v>0</v>
      </c>
      <c r="V294" s="19">
        <v>0</v>
      </c>
      <c r="W294">
        <f t="shared" si="56"/>
        <v>0.40000000596046448</v>
      </c>
      <c r="X294" s="19">
        <f t="shared" si="57"/>
        <v>1.0000000149011612</v>
      </c>
      <c r="Y294">
        <f t="shared" si="58"/>
        <v>0</v>
      </c>
      <c r="Z294" s="19">
        <f t="shared" si="59"/>
        <v>0</v>
      </c>
      <c r="AA294" s="19">
        <f t="shared" si="60"/>
        <v>0</v>
      </c>
      <c r="AB294" t="str">
        <f t="shared" si="61"/>
        <v>Relatif Mantap</v>
      </c>
      <c r="AC294" s="19">
        <f>IF(Dashboard!$B$7="Mantap (%)",X294,IF(Dashboard!$B$7="Tidak Mantap (%)",Z294,IF(Dashboard!$B$7="Baik (%)",P294,IF(Dashboard!$B$7="Sedang (%)",R294,IF(Dashboard!$B$7="Rusak Ringan (%)",T294,IF(Dashboard!$B$7="Rusak Berat (%)",V294,AA294))))))</f>
        <v>0</v>
      </c>
      <c r="AD294" s="20">
        <f>IF(AND(AF294=1,E294&gt;=Dashboard!$B$10,IF(Dashboard!$B$9="≤ Maksimum",AC294&lt;=Dashboard!$B$8,AC294&gt;=Dashboard!$B$8)),1,0)</f>
        <v>0</v>
      </c>
      <c r="AE294" s="20" t="str">
        <f>IF(AD294=1,COUNTIFS($AD$2:$AD$351,1,$AC$2:$AC$351,"&gt;"&amp;AC294)+COUNTIFS($AD$2:AD294,1,$AC$2:AC294,AC294),"")</f>
        <v/>
      </c>
      <c r="AF294" s="20">
        <f>IF(OR(Dashboard!$B$6="Semua",ISNUMBER(SEARCH(Dashboard!$B$6,D294))),1,0)</f>
        <v>1</v>
      </c>
      <c r="AG294" s="18">
        <f t="shared" si="62"/>
        <v>0.4</v>
      </c>
      <c r="AH294" s="18">
        <f t="shared" si="63"/>
        <v>0.40000000596046448</v>
      </c>
      <c r="AI294" s="18">
        <f t="shared" si="64"/>
        <v>0</v>
      </c>
      <c r="AJ294" s="18">
        <f t="shared" si="65"/>
        <v>0</v>
      </c>
      <c r="AK294" s="20">
        <f>IF(OR(Ruas_Per_Kecamatan!$B$4="Semua",ISNUMBER(SEARCH(Ruas_Per_Kecamatan!$B$4,D294))),1,0)</f>
        <v>1</v>
      </c>
      <c r="AL294" s="20">
        <f>IF(AK294=1,COUNTIF($AK$2:AK294,1),"")</f>
        <v>293</v>
      </c>
      <c r="AM294" s="18">
        <f t="shared" si="66"/>
        <v>0.4</v>
      </c>
      <c r="AN294" s="18">
        <f t="shared" si="67"/>
        <v>0.40000000596046448</v>
      </c>
      <c r="AO294" s="18">
        <f t="shared" si="68"/>
        <v>0</v>
      </c>
      <c r="AP294" s="18">
        <f t="shared" si="69"/>
        <v>0</v>
      </c>
    </row>
    <row r="295" spans="1:42" x14ac:dyDescent="0.25">
      <c r="A295" s="17">
        <v>294</v>
      </c>
      <c r="B295" s="17" t="s">
        <v>745</v>
      </c>
      <c r="C295" s="21" t="s">
        <v>345</v>
      </c>
      <c r="D295" s="17" t="s">
        <v>342</v>
      </c>
      <c r="E295" s="18">
        <v>0.32</v>
      </c>
      <c r="F295" s="18">
        <v>3</v>
      </c>
      <c r="G295" s="18">
        <v>0</v>
      </c>
      <c r="H295" s="18"/>
      <c r="I295" s="18">
        <v>2025</v>
      </c>
      <c r="J295" s="18">
        <v>0.31999999284744263</v>
      </c>
      <c r="K295" s="18">
        <v>0</v>
      </c>
      <c r="L295" s="18">
        <v>0</v>
      </c>
      <c r="M295" s="18">
        <v>0</v>
      </c>
      <c r="N295" s="18">
        <v>0</v>
      </c>
      <c r="O295" s="18">
        <v>0.31999999284744263</v>
      </c>
      <c r="P295" s="19">
        <v>0.99999997764825821</v>
      </c>
      <c r="Q295" s="18">
        <v>0</v>
      </c>
      <c r="R295" s="19">
        <v>0</v>
      </c>
      <c r="S295" s="18">
        <v>0</v>
      </c>
      <c r="T295" s="19">
        <v>0</v>
      </c>
      <c r="U295" s="18">
        <v>0</v>
      </c>
      <c r="V295" s="19">
        <v>0</v>
      </c>
      <c r="W295">
        <f t="shared" si="56"/>
        <v>0.31999999284744263</v>
      </c>
      <c r="X295" s="19">
        <f t="shared" si="57"/>
        <v>0.99999997764825821</v>
      </c>
      <c r="Y295">
        <f t="shared" si="58"/>
        <v>0</v>
      </c>
      <c r="Z295" s="19">
        <f t="shared" si="59"/>
        <v>0</v>
      </c>
      <c r="AA295" s="19">
        <f t="shared" si="60"/>
        <v>0</v>
      </c>
      <c r="AB295" t="str">
        <f t="shared" si="61"/>
        <v>Relatif Mantap</v>
      </c>
      <c r="AC295" s="19">
        <f>IF(Dashboard!$B$7="Mantap (%)",X295,IF(Dashboard!$B$7="Tidak Mantap (%)",Z295,IF(Dashboard!$B$7="Baik (%)",P295,IF(Dashboard!$B$7="Sedang (%)",R295,IF(Dashboard!$B$7="Rusak Ringan (%)",T295,IF(Dashboard!$B$7="Rusak Berat (%)",V295,AA295))))))</f>
        <v>0</v>
      </c>
      <c r="AD295" s="20">
        <f>IF(AND(AF295=1,E295&gt;=Dashboard!$B$10,IF(Dashboard!$B$9="≤ Maksimum",AC295&lt;=Dashboard!$B$8,AC295&gt;=Dashboard!$B$8)),1,0)</f>
        <v>0</v>
      </c>
      <c r="AE295" s="20" t="str">
        <f>IF(AD295=1,COUNTIFS($AD$2:$AD$351,1,$AC$2:$AC$351,"&gt;"&amp;AC295)+COUNTIFS($AD$2:AD295,1,$AC$2:AC295,AC295),"")</f>
        <v/>
      </c>
      <c r="AF295" s="20">
        <f>IF(OR(Dashboard!$B$6="Semua",ISNUMBER(SEARCH(Dashboard!$B$6,D295))),1,0)</f>
        <v>1</v>
      </c>
      <c r="AG295" s="18">
        <f t="shared" si="62"/>
        <v>0.32</v>
      </c>
      <c r="AH295" s="18">
        <f t="shared" si="63"/>
        <v>0.31999999284744263</v>
      </c>
      <c r="AI295" s="18">
        <f t="shared" si="64"/>
        <v>0</v>
      </c>
      <c r="AJ295" s="18">
        <f t="shared" si="65"/>
        <v>0</v>
      </c>
      <c r="AK295" s="20">
        <f>IF(OR(Ruas_Per_Kecamatan!$B$4="Semua",ISNUMBER(SEARCH(Ruas_Per_Kecamatan!$B$4,D295))),1,0)</f>
        <v>1</v>
      </c>
      <c r="AL295" s="20">
        <f>IF(AK295=1,COUNTIF($AK$2:AK295,1),"")</f>
        <v>294</v>
      </c>
      <c r="AM295" s="18">
        <f t="shared" si="66"/>
        <v>0.32</v>
      </c>
      <c r="AN295" s="18">
        <f t="shared" si="67"/>
        <v>0.31999999284744263</v>
      </c>
      <c r="AO295" s="18">
        <f t="shared" si="68"/>
        <v>0</v>
      </c>
      <c r="AP295" s="18">
        <f t="shared" si="69"/>
        <v>0</v>
      </c>
    </row>
    <row r="296" spans="1:42" x14ac:dyDescent="0.25">
      <c r="A296" s="17">
        <v>295</v>
      </c>
      <c r="B296" s="17" t="s">
        <v>746</v>
      </c>
      <c r="C296" s="21" t="s">
        <v>41</v>
      </c>
      <c r="D296" s="17" t="s">
        <v>342</v>
      </c>
      <c r="E296" s="18">
        <v>0.27</v>
      </c>
      <c r="F296" s="18">
        <v>3.5</v>
      </c>
      <c r="G296" s="18">
        <v>0</v>
      </c>
      <c r="H296" s="18"/>
      <c r="I296" s="18">
        <v>2025</v>
      </c>
      <c r="J296" s="18">
        <v>0.27000001072883606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9">
        <v>0</v>
      </c>
      <c r="Q296" s="18">
        <v>0</v>
      </c>
      <c r="R296" s="19">
        <v>0</v>
      </c>
      <c r="S296" s="18">
        <v>0.27000001072883606</v>
      </c>
      <c r="T296" s="19">
        <v>1.0000000397364297</v>
      </c>
      <c r="U296" s="18">
        <v>0</v>
      </c>
      <c r="V296" s="19">
        <v>0</v>
      </c>
      <c r="W296">
        <f t="shared" si="56"/>
        <v>0</v>
      </c>
      <c r="X296" s="19">
        <f t="shared" si="57"/>
        <v>0</v>
      </c>
      <c r="Y296">
        <f t="shared" si="58"/>
        <v>0.27000001072883606</v>
      </c>
      <c r="Z296" s="19">
        <f t="shared" si="59"/>
        <v>1.0000000397364297</v>
      </c>
      <c r="AA296" s="19">
        <f t="shared" si="60"/>
        <v>0.6000000238418578</v>
      </c>
      <c r="AB296" t="str">
        <f t="shared" si="61"/>
        <v>Tidak Mantap Tinggi</v>
      </c>
      <c r="AC296" s="19">
        <f>IF(Dashboard!$B$7="Mantap (%)",X296,IF(Dashboard!$B$7="Tidak Mantap (%)",Z296,IF(Dashboard!$B$7="Baik (%)",P296,IF(Dashboard!$B$7="Sedang (%)",R296,IF(Dashboard!$B$7="Rusak Ringan (%)",T296,IF(Dashboard!$B$7="Rusak Berat (%)",V296,AA296))))))</f>
        <v>1.0000000397364297</v>
      </c>
      <c r="AD296" s="20">
        <f>IF(AND(AF296=1,E296&gt;=Dashboard!$B$10,IF(Dashboard!$B$9="≤ Maksimum",AC296&lt;=Dashboard!$B$8,AC296&gt;=Dashboard!$B$8)),1,0)</f>
        <v>1</v>
      </c>
      <c r="AE296" s="20">
        <f>IF(AD296=1,COUNTIFS($AD$2:$AD$351,1,$AC$2:$AC$351,"&gt;"&amp;AC296)+COUNTIFS($AD$2:AD296,1,$AC$2:AC296,AC296),"")</f>
        <v>3</v>
      </c>
      <c r="AF296" s="20">
        <f>IF(OR(Dashboard!$B$6="Semua",ISNUMBER(SEARCH(Dashboard!$B$6,D296))),1,0)</f>
        <v>1</v>
      </c>
      <c r="AG296" s="18">
        <f t="shared" si="62"/>
        <v>0.27</v>
      </c>
      <c r="AH296" s="18">
        <f t="shared" si="63"/>
        <v>0</v>
      </c>
      <c r="AI296" s="18">
        <f t="shared" si="64"/>
        <v>0.27000001072883606</v>
      </c>
      <c r="AJ296" s="18">
        <f t="shared" si="65"/>
        <v>0</v>
      </c>
      <c r="AK296" s="20">
        <f>IF(OR(Ruas_Per_Kecamatan!$B$4="Semua",ISNUMBER(SEARCH(Ruas_Per_Kecamatan!$B$4,D296))),1,0)</f>
        <v>1</v>
      </c>
      <c r="AL296" s="20">
        <f>IF(AK296=1,COUNTIF($AK$2:AK296,1),"")</f>
        <v>295</v>
      </c>
      <c r="AM296" s="18">
        <f t="shared" si="66"/>
        <v>0.27</v>
      </c>
      <c r="AN296" s="18">
        <f t="shared" si="67"/>
        <v>0</v>
      </c>
      <c r="AO296" s="18">
        <f t="shared" si="68"/>
        <v>0.27000001072883606</v>
      </c>
      <c r="AP296" s="18">
        <f t="shared" si="69"/>
        <v>0</v>
      </c>
    </row>
    <row r="297" spans="1:42" x14ac:dyDescent="0.25">
      <c r="A297" s="17">
        <v>296</v>
      </c>
      <c r="B297" s="17" t="s">
        <v>747</v>
      </c>
      <c r="C297" s="21" t="s">
        <v>346</v>
      </c>
      <c r="D297" s="17" t="s">
        <v>342</v>
      </c>
      <c r="E297" s="18">
        <v>0.26</v>
      </c>
      <c r="F297" s="18">
        <v>3.5</v>
      </c>
      <c r="G297" s="18">
        <v>0</v>
      </c>
      <c r="H297" s="18"/>
      <c r="I297" s="18">
        <v>2025</v>
      </c>
      <c r="J297" s="18">
        <v>0.25999999046325684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9">
        <v>0</v>
      </c>
      <c r="Q297" s="18">
        <v>0.15999999642372131</v>
      </c>
      <c r="R297" s="19">
        <v>0.61538460162969733</v>
      </c>
      <c r="S297" s="18">
        <v>0.10000000149011612</v>
      </c>
      <c r="T297" s="19">
        <v>0.38461539034660047</v>
      </c>
      <c r="U297" s="18">
        <v>0</v>
      </c>
      <c r="V297" s="19">
        <v>0</v>
      </c>
      <c r="W297">
        <f t="shared" si="56"/>
        <v>0.15999999642372131</v>
      </c>
      <c r="X297" s="19">
        <f t="shared" si="57"/>
        <v>0.61538460162969733</v>
      </c>
      <c r="Y297">
        <f t="shared" si="58"/>
        <v>0.10000000149011612</v>
      </c>
      <c r="Z297" s="19">
        <f t="shared" si="59"/>
        <v>0.38461539034660047</v>
      </c>
      <c r="AA297" s="19">
        <f t="shared" si="60"/>
        <v>0.38461538461538458</v>
      </c>
      <c r="AB297" t="str">
        <f t="shared" si="61"/>
        <v>Tidak Mantap Sedang</v>
      </c>
      <c r="AC297" s="19">
        <f>IF(Dashboard!$B$7="Mantap (%)",X297,IF(Dashboard!$B$7="Tidak Mantap (%)",Z297,IF(Dashboard!$B$7="Baik (%)",P297,IF(Dashboard!$B$7="Sedang (%)",R297,IF(Dashboard!$B$7="Rusak Ringan (%)",T297,IF(Dashboard!$B$7="Rusak Berat (%)",V297,AA297))))))</f>
        <v>0.38461539034660047</v>
      </c>
      <c r="AD297" s="20">
        <f>IF(AND(AF297=1,E297&gt;=Dashboard!$B$10,IF(Dashboard!$B$9="≤ Maksimum",AC297&lt;=Dashboard!$B$8,AC297&gt;=Dashboard!$B$8)),1,0)</f>
        <v>1</v>
      </c>
      <c r="AE297" s="20">
        <f>IF(AD297=1,COUNTIFS($AD$2:$AD$351,1,$AC$2:$AC$351,"&gt;"&amp;AC297)+COUNTIFS($AD$2:AD297,1,$AC$2:AC297,AC297),"")</f>
        <v>151</v>
      </c>
      <c r="AF297" s="20">
        <f>IF(OR(Dashboard!$B$6="Semua",ISNUMBER(SEARCH(Dashboard!$B$6,D297))),1,0)</f>
        <v>1</v>
      </c>
      <c r="AG297" s="18">
        <f t="shared" si="62"/>
        <v>0.26</v>
      </c>
      <c r="AH297" s="18">
        <f t="shared" si="63"/>
        <v>0.15999999642372131</v>
      </c>
      <c r="AI297" s="18">
        <f t="shared" si="64"/>
        <v>0.10000000149011612</v>
      </c>
      <c r="AJ297" s="18">
        <f t="shared" si="65"/>
        <v>0</v>
      </c>
      <c r="AK297" s="20">
        <f>IF(OR(Ruas_Per_Kecamatan!$B$4="Semua",ISNUMBER(SEARCH(Ruas_Per_Kecamatan!$B$4,D297))),1,0)</f>
        <v>1</v>
      </c>
      <c r="AL297" s="20">
        <f>IF(AK297=1,COUNTIF($AK$2:AK297,1),"")</f>
        <v>296</v>
      </c>
      <c r="AM297" s="18">
        <f t="shared" si="66"/>
        <v>0.26</v>
      </c>
      <c r="AN297" s="18">
        <f t="shared" si="67"/>
        <v>0.15999999642372131</v>
      </c>
      <c r="AO297" s="18">
        <f t="shared" si="68"/>
        <v>0.10000000149011612</v>
      </c>
      <c r="AP297" s="18">
        <f t="shared" si="69"/>
        <v>0</v>
      </c>
    </row>
    <row r="298" spans="1:42" x14ac:dyDescent="0.25">
      <c r="A298" s="17">
        <v>297</v>
      </c>
      <c r="B298" s="17" t="s">
        <v>748</v>
      </c>
      <c r="C298" s="21" t="s">
        <v>347</v>
      </c>
      <c r="D298" s="17" t="s">
        <v>342</v>
      </c>
      <c r="E298" s="18">
        <v>0.24</v>
      </c>
      <c r="F298" s="18">
        <v>3.5</v>
      </c>
      <c r="G298" s="18">
        <v>0</v>
      </c>
      <c r="H298" s="18"/>
      <c r="I298" s="18">
        <v>2025</v>
      </c>
      <c r="J298" s="18">
        <v>0.23999999463558197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9">
        <v>0</v>
      </c>
      <c r="Q298" s="18">
        <v>0</v>
      </c>
      <c r="R298" s="19">
        <v>0</v>
      </c>
      <c r="S298" s="18">
        <v>0</v>
      </c>
      <c r="T298" s="19">
        <v>0</v>
      </c>
      <c r="U298" s="18">
        <v>0.23999999463558197</v>
      </c>
      <c r="V298" s="19">
        <v>0.99999997764825821</v>
      </c>
      <c r="W298">
        <f t="shared" si="56"/>
        <v>0</v>
      </c>
      <c r="X298" s="19">
        <f t="shared" si="57"/>
        <v>0</v>
      </c>
      <c r="Y298">
        <f t="shared" si="58"/>
        <v>0.23999999463558197</v>
      </c>
      <c r="Z298" s="19">
        <f t="shared" si="59"/>
        <v>0.99999997764825821</v>
      </c>
      <c r="AA298" s="19">
        <f t="shared" si="60"/>
        <v>0.99999997764825821</v>
      </c>
      <c r="AB298" t="str">
        <f t="shared" si="61"/>
        <v>Rusak Berat Dominan</v>
      </c>
      <c r="AC298" s="19">
        <f>IF(Dashboard!$B$7="Mantap (%)",X298,IF(Dashboard!$B$7="Tidak Mantap (%)",Z298,IF(Dashboard!$B$7="Baik (%)",P298,IF(Dashboard!$B$7="Sedang (%)",R298,IF(Dashboard!$B$7="Rusak Ringan (%)",T298,IF(Dashboard!$B$7="Rusak Berat (%)",V298,AA298))))))</f>
        <v>0.99999997764825821</v>
      </c>
      <c r="AD298" s="20">
        <f>IF(AND(AF298=1,E298&gt;=Dashboard!$B$10,IF(Dashboard!$B$9="≤ Maksimum",AC298&lt;=Dashboard!$B$8,AC298&gt;=Dashboard!$B$8)),1,0)</f>
        <v>1</v>
      </c>
      <c r="AE298" s="20">
        <f>IF(AD298=1,COUNTIFS($AD$2:$AD$351,1,$AC$2:$AC$351,"&gt;"&amp;AC298)+COUNTIFS($AD$2:AD298,1,$AC$2:AC298,AC298),"")</f>
        <v>41</v>
      </c>
      <c r="AF298" s="20">
        <f>IF(OR(Dashboard!$B$6="Semua",ISNUMBER(SEARCH(Dashboard!$B$6,D298))),1,0)</f>
        <v>1</v>
      </c>
      <c r="AG298" s="18">
        <f t="shared" si="62"/>
        <v>0.24</v>
      </c>
      <c r="AH298" s="18">
        <f t="shared" si="63"/>
        <v>0</v>
      </c>
      <c r="AI298" s="18">
        <f t="shared" si="64"/>
        <v>0.23999999463558197</v>
      </c>
      <c r="AJ298" s="18">
        <f t="shared" si="65"/>
        <v>0.23999999463558197</v>
      </c>
      <c r="AK298" s="20">
        <f>IF(OR(Ruas_Per_Kecamatan!$B$4="Semua",ISNUMBER(SEARCH(Ruas_Per_Kecamatan!$B$4,D298))),1,0)</f>
        <v>1</v>
      </c>
      <c r="AL298" s="20">
        <f>IF(AK298=1,COUNTIF($AK$2:AK298,1),"")</f>
        <v>297</v>
      </c>
      <c r="AM298" s="18">
        <f t="shared" si="66"/>
        <v>0.24</v>
      </c>
      <c r="AN298" s="18">
        <f t="shared" si="67"/>
        <v>0</v>
      </c>
      <c r="AO298" s="18">
        <f t="shared" si="68"/>
        <v>0.23999999463558197</v>
      </c>
      <c r="AP298" s="18">
        <f t="shared" si="69"/>
        <v>0.23999999463558197</v>
      </c>
    </row>
    <row r="299" spans="1:42" ht="30" x14ac:dyDescent="0.25">
      <c r="A299" s="17">
        <v>298</v>
      </c>
      <c r="B299" s="17" t="s">
        <v>749</v>
      </c>
      <c r="C299" s="21" t="s">
        <v>348</v>
      </c>
      <c r="D299" s="17" t="s">
        <v>342</v>
      </c>
      <c r="E299" s="18">
        <v>0.21</v>
      </c>
      <c r="F299" s="18">
        <v>3</v>
      </c>
      <c r="G299" s="18">
        <v>0</v>
      </c>
      <c r="H299" s="18"/>
      <c r="I299" s="18">
        <v>2025</v>
      </c>
      <c r="J299" s="18">
        <v>0.20999999344348907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9">
        <v>0</v>
      </c>
      <c r="Q299" s="18">
        <v>0</v>
      </c>
      <c r="R299" s="19">
        <v>0</v>
      </c>
      <c r="S299" s="18">
        <v>0.20999999344348907</v>
      </c>
      <c r="T299" s="19">
        <v>0.99999996877851949</v>
      </c>
      <c r="U299" s="18">
        <v>0</v>
      </c>
      <c r="V299" s="19">
        <v>0</v>
      </c>
      <c r="W299">
        <f t="shared" si="56"/>
        <v>0</v>
      </c>
      <c r="X299" s="19">
        <f t="shared" si="57"/>
        <v>0</v>
      </c>
      <c r="Y299">
        <f t="shared" si="58"/>
        <v>0.20999999344348907</v>
      </c>
      <c r="Z299" s="19">
        <f t="shared" si="59"/>
        <v>0.99999996877851949</v>
      </c>
      <c r="AA299" s="19">
        <f t="shared" si="60"/>
        <v>0.59999998126711163</v>
      </c>
      <c r="AB299" t="str">
        <f t="shared" si="61"/>
        <v>Tidak Mantap Tinggi</v>
      </c>
      <c r="AC299" s="19">
        <f>IF(Dashboard!$B$7="Mantap (%)",X299,IF(Dashboard!$B$7="Tidak Mantap (%)",Z299,IF(Dashboard!$B$7="Baik (%)",P299,IF(Dashboard!$B$7="Sedang (%)",R299,IF(Dashboard!$B$7="Rusak Ringan (%)",T299,IF(Dashboard!$B$7="Rusak Berat (%)",V299,AA299))))))</f>
        <v>0.99999996877851949</v>
      </c>
      <c r="AD299" s="20">
        <f>IF(AND(AF299=1,E299&gt;=Dashboard!$B$10,IF(Dashboard!$B$9="≤ Maksimum",AC299&lt;=Dashboard!$B$8,AC299&gt;=Dashboard!$B$8)),1,0)</f>
        <v>1</v>
      </c>
      <c r="AE299" s="20">
        <f>IF(AD299=1,COUNTIFS($AD$2:$AD$351,1,$AC$2:$AC$351,"&gt;"&amp;AC299)+COUNTIFS($AD$2:AD299,1,$AC$2:AC299,AC299),"")</f>
        <v>45</v>
      </c>
      <c r="AF299" s="20">
        <f>IF(OR(Dashboard!$B$6="Semua",ISNUMBER(SEARCH(Dashboard!$B$6,D299))),1,0)</f>
        <v>1</v>
      </c>
      <c r="AG299" s="18">
        <f t="shared" si="62"/>
        <v>0.21</v>
      </c>
      <c r="AH299" s="18">
        <f t="shared" si="63"/>
        <v>0</v>
      </c>
      <c r="AI299" s="18">
        <f t="shared" si="64"/>
        <v>0.20999999344348907</v>
      </c>
      <c r="AJ299" s="18">
        <f t="shared" si="65"/>
        <v>0</v>
      </c>
      <c r="AK299" s="20">
        <f>IF(OR(Ruas_Per_Kecamatan!$B$4="Semua",ISNUMBER(SEARCH(Ruas_Per_Kecamatan!$B$4,D299))),1,0)</f>
        <v>1</v>
      </c>
      <c r="AL299" s="20">
        <f>IF(AK299=1,COUNTIF($AK$2:AK299,1),"")</f>
        <v>298</v>
      </c>
      <c r="AM299" s="18">
        <f t="shared" si="66"/>
        <v>0.21</v>
      </c>
      <c r="AN299" s="18">
        <f t="shared" si="67"/>
        <v>0</v>
      </c>
      <c r="AO299" s="18">
        <f t="shared" si="68"/>
        <v>0.20999999344348907</v>
      </c>
      <c r="AP299" s="18">
        <f t="shared" si="69"/>
        <v>0</v>
      </c>
    </row>
    <row r="300" spans="1:42" x14ac:dyDescent="0.25">
      <c r="A300" s="17">
        <v>299</v>
      </c>
      <c r="B300" s="17" t="s">
        <v>750</v>
      </c>
      <c r="C300" s="21" t="s">
        <v>349</v>
      </c>
      <c r="D300" s="17" t="s">
        <v>350</v>
      </c>
      <c r="E300" s="18">
        <v>8.5</v>
      </c>
      <c r="F300" s="18">
        <v>3.5</v>
      </c>
      <c r="G300" s="18">
        <v>0</v>
      </c>
      <c r="H300" s="18"/>
      <c r="I300" s="18">
        <v>2025</v>
      </c>
      <c r="J300" s="18">
        <v>8.5</v>
      </c>
      <c r="K300" s="18">
        <v>0</v>
      </c>
      <c r="L300" s="18">
        <v>0</v>
      </c>
      <c r="M300" s="18">
        <v>0</v>
      </c>
      <c r="N300" s="18">
        <v>0</v>
      </c>
      <c r="O300" s="18">
        <v>5</v>
      </c>
      <c r="P300" s="19">
        <v>0.58823529411764708</v>
      </c>
      <c r="Q300" s="18">
        <v>0.69999998807907104</v>
      </c>
      <c r="R300" s="19">
        <v>8.2352939774008357E-2</v>
      </c>
      <c r="S300" s="18">
        <v>0.69999998807907104</v>
      </c>
      <c r="T300" s="19">
        <v>8.2352939774008357E-2</v>
      </c>
      <c r="U300" s="18">
        <v>2.0999999046325684</v>
      </c>
      <c r="V300" s="19">
        <v>0.24705881230971394</v>
      </c>
      <c r="W300">
        <f t="shared" si="56"/>
        <v>5.699999988079071</v>
      </c>
      <c r="X300" s="19">
        <f t="shared" si="57"/>
        <v>0.67058823389165545</v>
      </c>
      <c r="Y300">
        <f t="shared" si="58"/>
        <v>2.7999998927116394</v>
      </c>
      <c r="Z300" s="19">
        <f t="shared" si="59"/>
        <v>0.32941175208372231</v>
      </c>
      <c r="AA300" s="19">
        <f t="shared" si="60"/>
        <v>0.31705881111762102</v>
      </c>
      <c r="AB300" t="str">
        <f t="shared" si="61"/>
        <v>Rusak Berat Dominan</v>
      </c>
      <c r="AC300" s="19">
        <f>IF(Dashboard!$B$7="Mantap (%)",X300,IF(Dashboard!$B$7="Tidak Mantap (%)",Z300,IF(Dashboard!$B$7="Baik (%)",P300,IF(Dashboard!$B$7="Sedang (%)",R300,IF(Dashboard!$B$7="Rusak Ringan (%)",T300,IF(Dashboard!$B$7="Rusak Berat (%)",V300,AA300))))))</f>
        <v>0.32941175208372231</v>
      </c>
      <c r="AD300" s="20">
        <f>IF(AND(AF300=1,E300&gt;=Dashboard!$B$10,IF(Dashboard!$B$9="≤ Maksimum",AC300&lt;=Dashboard!$B$8,AC300&gt;=Dashboard!$B$8)),1,0)</f>
        <v>1</v>
      </c>
      <c r="AE300" s="20">
        <f>IF(AD300=1,COUNTIFS($AD$2:$AD$351,1,$AC$2:$AC$351,"&gt;"&amp;AC300)+COUNTIFS($AD$2:AD300,1,$AC$2:AC300,AC300),"")</f>
        <v>160</v>
      </c>
      <c r="AF300" s="20">
        <f>IF(OR(Dashboard!$B$6="Semua",ISNUMBER(SEARCH(Dashboard!$B$6,D300))),1,0)</f>
        <v>1</v>
      </c>
      <c r="AG300" s="18">
        <f t="shared" si="62"/>
        <v>8.5</v>
      </c>
      <c r="AH300" s="18">
        <f t="shared" si="63"/>
        <v>5.699999988079071</v>
      </c>
      <c r="AI300" s="18">
        <f t="shared" si="64"/>
        <v>2.7999998927116394</v>
      </c>
      <c r="AJ300" s="18">
        <f t="shared" si="65"/>
        <v>2.0999999046325684</v>
      </c>
      <c r="AK300" s="20">
        <f>IF(OR(Ruas_Per_Kecamatan!$B$4="Semua",ISNUMBER(SEARCH(Ruas_Per_Kecamatan!$B$4,D300))),1,0)</f>
        <v>1</v>
      </c>
      <c r="AL300" s="20">
        <f>IF(AK300=1,COUNTIF($AK$2:AK300,1),"")</f>
        <v>299</v>
      </c>
      <c r="AM300" s="18">
        <f t="shared" si="66"/>
        <v>8.5</v>
      </c>
      <c r="AN300" s="18">
        <f t="shared" si="67"/>
        <v>5.699999988079071</v>
      </c>
      <c r="AO300" s="18">
        <f t="shared" si="68"/>
        <v>2.7999998927116394</v>
      </c>
      <c r="AP300" s="18">
        <f t="shared" si="69"/>
        <v>2.0999999046325684</v>
      </c>
    </row>
    <row r="301" spans="1:42" x14ac:dyDescent="0.25">
      <c r="A301" s="17">
        <v>300</v>
      </c>
      <c r="B301" s="17" t="s">
        <v>751</v>
      </c>
      <c r="C301" s="21" t="s">
        <v>351</v>
      </c>
      <c r="D301" s="17" t="s">
        <v>352</v>
      </c>
      <c r="E301" s="18">
        <v>2.23</v>
      </c>
      <c r="F301" s="18">
        <v>3</v>
      </c>
      <c r="G301" s="18">
        <v>0</v>
      </c>
      <c r="H301" s="18"/>
      <c r="I301" s="18">
        <v>2025</v>
      </c>
      <c r="J301" s="18">
        <v>0.10000000149011612</v>
      </c>
      <c r="K301" s="18">
        <v>0</v>
      </c>
      <c r="L301" s="18">
        <v>1.0299999713897705</v>
      </c>
      <c r="M301" s="18">
        <v>0.20000000298023224</v>
      </c>
      <c r="N301" s="18">
        <v>0.89999997615814209</v>
      </c>
      <c r="O301" s="18">
        <v>0</v>
      </c>
      <c r="P301" s="19">
        <v>0</v>
      </c>
      <c r="Q301" s="18">
        <v>0</v>
      </c>
      <c r="R301" s="19">
        <v>0</v>
      </c>
      <c r="S301" s="18">
        <v>0.62999999523162842</v>
      </c>
      <c r="T301" s="19">
        <v>0.2825112086240486</v>
      </c>
      <c r="U301" s="18">
        <v>1.6000000238418579</v>
      </c>
      <c r="V301" s="19">
        <v>0.71748879992908432</v>
      </c>
      <c r="W301">
        <f t="shared" si="56"/>
        <v>0</v>
      </c>
      <c r="X301" s="19">
        <f t="shared" si="57"/>
        <v>0</v>
      </c>
      <c r="Y301">
        <f t="shared" si="58"/>
        <v>2.2300000190734863</v>
      </c>
      <c r="Z301" s="19">
        <f t="shared" si="59"/>
        <v>1.0000000085531329</v>
      </c>
      <c r="AA301" s="19">
        <f t="shared" si="60"/>
        <v>0.88699552510351354</v>
      </c>
      <c r="AB301" t="str">
        <f t="shared" si="61"/>
        <v>Rusak Berat Dominan</v>
      </c>
      <c r="AC301" s="19">
        <f>IF(Dashboard!$B$7="Mantap (%)",X301,IF(Dashboard!$B$7="Tidak Mantap (%)",Z301,IF(Dashboard!$B$7="Baik (%)",P301,IF(Dashboard!$B$7="Sedang (%)",R301,IF(Dashboard!$B$7="Rusak Ringan (%)",T301,IF(Dashboard!$B$7="Rusak Berat (%)",V301,AA301))))))</f>
        <v>1.0000000085531329</v>
      </c>
      <c r="AD301" s="20">
        <f>IF(AND(AF301=1,E301&gt;=Dashboard!$B$10,IF(Dashboard!$B$9="≤ Maksimum",AC301&lt;=Dashboard!$B$8,AC301&gt;=Dashboard!$B$8)),1,0)</f>
        <v>1</v>
      </c>
      <c r="AE301" s="20">
        <f>IF(AD301=1,COUNTIFS($AD$2:$AD$351,1,$AC$2:$AC$351,"&gt;"&amp;AC301)+COUNTIFS($AD$2:AD301,1,$AC$2:AC301,AC301),"")</f>
        <v>23</v>
      </c>
      <c r="AF301" s="20">
        <f>IF(OR(Dashboard!$B$6="Semua",ISNUMBER(SEARCH(Dashboard!$B$6,D301))),1,0)</f>
        <v>1</v>
      </c>
      <c r="AG301" s="18">
        <f t="shared" si="62"/>
        <v>2.23</v>
      </c>
      <c r="AH301" s="18">
        <f t="shared" si="63"/>
        <v>0</v>
      </c>
      <c r="AI301" s="18">
        <f t="shared" si="64"/>
        <v>2.2300000190734863</v>
      </c>
      <c r="AJ301" s="18">
        <f t="shared" si="65"/>
        <v>1.6000000238418579</v>
      </c>
      <c r="AK301" s="20">
        <f>IF(OR(Ruas_Per_Kecamatan!$B$4="Semua",ISNUMBER(SEARCH(Ruas_Per_Kecamatan!$B$4,D301))),1,0)</f>
        <v>1</v>
      </c>
      <c r="AL301" s="20">
        <f>IF(AK301=1,COUNTIF($AK$2:AK301,1),"")</f>
        <v>300</v>
      </c>
      <c r="AM301" s="18">
        <f t="shared" si="66"/>
        <v>2.23</v>
      </c>
      <c r="AN301" s="18">
        <f t="shared" si="67"/>
        <v>0</v>
      </c>
      <c r="AO301" s="18">
        <f t="shared" si="68"/>
        <v>2.2300000190734863</v>
      </c>
      <c r="AP301" s="18">
        <f t="shared" si="69"/>
        <v>1.6000000238418579</v>
      </c>
    </row>
    <row r="302" spans="1:42" ht="30" x14ac:dyDescent="0.25">
      <c r="A302" s="17">
        <v>301</v>
      </c>
      <c r="B302" s="17" t="s">
        <v>752</v>
      </c>
      <c r="C302" s="21" t="s">
        <v>353</v>
      </c>
      <c r="D302" s="17" t="s">
        <v>342</v>
      </c>
      <c r="E302" s="18">
        <v>5.26</v>
      </c>
      <c r="F302" s="18">
        <v>3</v>
      </c>
      <c r="G302" s="18">
        <v>0</v>
      </c>
      <c r="H302" s="18"/>
      <c r="I302" s="18">
        <v>2025</v>
      </c>
      <c r="J302" s="18">
        <v>0</v>
      </c>
      <c r="K302" s="18">
        <v>0</v>
      </c>
      <c r="L302" s="18">
        <v>0</v>
      </c>
      <c r="M302" s="18">
        <v>0.30000001192092896</v>
      </c>
      <c r="N302" s="18">
        <v>4.9600000381469727</v>
      </c>
      <c r="O302" s="18">
        <v>0</v>
      </c>
      <c r="P302" s="19">
        <v>0</v>
      </c>
      <c r="Q302" s="18">
        <v>0</v>
      </c>
      <c r="R302" s="19">
        <v>0</v>
      </c>
      <c r="S302" s="18">
        <v>0</v>
      </c>
      <c r="T302" s="19">
        <v>0</v>
      </c>
      <c r="U302" s="18">
        <v>5.2600002288818359</v>
      </c>
      <c r="V302" s="19">
        <v>1.0000000435136571</v>
      </c>
      <c r="W302">
        <f t="shared" si="56"/>
        <v>0</v>
      </c>
      <c r="X302" s="19">
        <f t="shared" si="57"/>
        <v>0</v>
      </c>
      <c r="Y302">
        <f t="shared" si="58"/>
        <v>5.2600002288818359</v>
      </c>
      <c r="Z302" s="19">
        <f t="shared" si="59"/>
        <v>1.0000000435136571</v>
      </c>
      <c r="AA302" s="19">
        <f t="shared" si="60"/>
        <v>1.0000000435136571</v>
      </c>
      <c r="AB302" t="str">
        <f t="shared" si="61"/>
        <v>Rusak Berat Dominan</v>
      </c>
      <c r="AC302" s="19">
        <f>IF(Dashboard!$B$7="Mantap (%)",X302,IF(Dashboard!$B$7="Tidak Mantap (%)",Z302,IF(Dashboard!$B$7="Baik (%)",P302,IF(Dashboard!$B$7="Sedang (%)",R302,IF(Dashboard!$B$7="Rusak Ringan (%)",T302,IF(Dashboard!$B$7="Rusak Berat (%)",V302,AA302))))))</f>
        <v>1.0000000435136571</v>
      </c>
      <c r="AD302" s="20">
        <f>IF(AND(AF302=1,E302&gt;=Dashboard!$B$10,IF(Dashboard!$B$9="≤ Maksimum",AC302&lt;=Dashboard!$B$8,AC302&gt;=Dashboard!$B$8)),1,0)</f>
        <v>1</v>
      </c>
      <c r="AE302" s="20">
        <f>IF(AD302=1,COUNTIFS($AD$2:$AD$351,1,$AC$2:$AC$351,"&gt;"&amp;AC302)+COUNTIFS($AD$2:AD302,1,$AC$2:AC302,AC302),"")</f>
        <v>2</v>
      </c>
      <c r="AF302" s="20">
        <f>IF(OR(Dashboard!$B$6="Semua",ISNUMBER(SEARCH(Dashboard!$B$6,D302))),1,0)</f>
        <v>1</v>
      </c>
      <c r="AG302" s="18">
        <f t="shared" si="62"/>
        <v>5.26</v>
      </c>
      <c r="AH302" s="18">
        <f t="shared" si="63"/>
        <v>0</v>
      </c>
      <c r="AI302" s="18">
        <f t="shared" si="64"/>
        <v>5.2600002288818359</v>
      </c>
      <c r="AJ302" s="18">
        <f t="shared" si="65"/>
        <v>5.2600002288818359</v>
      </c>
      <c r="AK302" s="20">
        <f>IF(OR(Ruas_Per_Kecamatan!$B$4="Semua",ISNUMBER(SEARCH(Ruas_Per_Kecamatan!$B$4,D302))),1,0)</f>
        <v>1</v>
      </c>
      <c r="AL302" s="20">
        <f>IF(AK302=1,COUNTIF($AK$2:AK302,1),"")</f>
        <v>301</v>
      </c>
      <c r="AM302" s="18">
        <f t="shared" si="66"/>
        <v>5.26</v>
      </c>
      <c r="AN302" s="18">
        <f t="shared" si="67"/>
        <v>0</v>
      </c>
      <c r="AO302" s="18">
        <f t="shared" si="68"/>
        <v>5.2600002288818359</v>
      </c>
      <c r="AP302" s="18">
        <f t="shared" si="69"/>
        <v>5.2600002288818359</v>
      </c>
    </row>
    <row r="303" spans="1:42" x14ac:dyDescent="0.25">
      <c r="A303" s="17">
        <v>302</v>
      </c>
      <c r="B303" s="17" t="s">
        <v>753</v>
      </c>
      <c r="C303" s="21" t="s">
        <v>354</v>
      </c>
      <c r="D303" s="17" t="s">
        <v>342</v>
      </c>
      <c r="E303" s="18">
        <v>17.11</v>
      </c>
      <c r="F303" s="18">
        <v>3</v>
      </c>
      <c r="G303" s="18">
        <v>0</v>
      </c>
      <c r="H303" s="18"/>
      <c r="I303" s="18">
        <v>2025</v>
      </c>
      <c r="J303" s="18">
        <v>0</v>
      </c>
      <c r="K303" s="18">
        <v>0</v>
      </c>
      <c r="L303" s="18">
        <v>0</v>
      </c>
      <c r="M303" s="18">
        <v>0</v>
      </c>
      <c r="N303" s="18">
        <v>17.110000610351563</v>
      </c>
      <c r="O303" s="18">
        <v>0</v>
      </c>
      <c r="P303" s="19">
        <v>0</v>
      </c>
      <c r="Q303" s="18">
        <v>0</v>
      </c>
      <c r="R303" s="19">
        <v>0</v>
      </c>
      <c r="S303" s="18">
        <v>0</v>
      </c>
      <c r="T303" s="19">
        <v>0</v>
      </c>
      <c r="U303" s="18">
        <v>17.110000610351563</v>
      </c>
      <c r="V303" s="19">
        <v>1.000000035672213</v>
      </c>
      <c r="W303">
        <f t="shared" si="56"/>
        <v>0</v>
      </c>
      <c r="X303" s="19">
        <f t="shared" si="57"/>
        <v>0</v>
      </c>
      <c r="Y303">
        <f t="shared" si="58"/>
        <v>17.110000610351563</v>
      </c>
      <c r="Z303" s="19">
        <f t="shared" si="59"/>
        <v>1.000000035672213</v>
      </c>
      <c r="AA303" s="19">
        <f t="shared" si="60"/>
        <v>1.000000035672213</v>
      </c>
      <c r="AB303" t="str">
        <f t="shared" si="61"/>
        <v>Rusak Berat Dominan</v>
      </c>
      <c r="AC303" s="19">
        <f>IF(Dashboard!$B$7="Mantap (%)",X303,IF(Dashboard!$B$7="Tidak Mantap (%)",Z303,IF(Dashboard!$B$7="Baik (%)",P303,IF(Dashboard!$B$7="Sedang (%)",R303,IF(Dashboard!$B$7="Rusak Ringan (%)",T303,IF(Dashboard!$B$7="Rusak Berat (%)",V303,AA303))))))</f>
        <v>1.000000035672213</v>
      </c>
      <c r="AD303" s="20">
        <f>IF(AND(AF303=1,E303&gt;=Dashboard!$B$10,IF(Dashboard!$B$9="≤ Maksimum",AC303&lt;=Dashboard!$B$8,AC303&gt;=Dashboard!$B$8)),1,0)</f>
        <v>1</v>
      </c>
      <c r="AE303" s="20">
        <f>IF(AD303=1,COUNTIFS($AD$2:$AD$351,1,$AC$2:$AC$351,"&gt;"&amp;AC303)+COUNTIFS($AD$2:AD303,1,$AC$2:AC303,AC303),"")</f>
        <v>7</v>
      </c>
      <c r="AF303" s="20">
        <f>IF(OR(Dashboard!$B$6="Semua",ISNUMBER(SEARCH(Dashboard!$B$6,D303))),1,0)</f>
        <v>1</v>
      </c>
      <c r="AG303" s="18">
        <f t="shared" si="62"/>
        <v>17.11</v>
      </c>
      <c r="AH303" s="18">
        <f t="shared" si="63"/>
        <v>0</v>
      </c>
      <c r="AI303" s="18">
        <f t="shared" si="64"/>
        <v>17.110000610351563</v>
      </c>
      <c r="AJ303" s="18">
        <f t="shared" si="65"/>
        <v>17.110000610351563</v>
      </c>
      <c r="AK303" s="20">
        <f>IF(OR(Ruas_Per_Kecamatan!$B$4="Semua",ISNUMBER(SEARCH(Ruas_Per_Kecamatan!$B$4,D303))),1,0)</f>
        <v>1</v>
      </c>
      <c r="AL303" s="20">
        <f>IF(AK303=1,COUNTIF($AK$2:AK303,1),"")</f>
        <v>302</v>
      </c>
      <c r="AM303" s="18">
        <f t="shared" si="66"/>
        <v>17.11</v>
      </c>
      <c r="AN303" s="18">
        <f t="shared" si="67"/>
        <v>0</v>
      </c>
      <c r="AO303" s="18">
        <f t="shared" si="68"/>
        <v>17.110000610351563</v>
      </c>
      <c r="AP303" s="18">
        <f t="shared" si="69"/>
        <v>17.110000610351563</v>
      </c>
    </row>
    <row r="304" spans="1:42" x14ac:dyDescent="0.25">
      <c r="A304" s="17">
        <v>303</v>
      </c>
      <c r="B304" s="17" t="s">
        <v>754</v>
      </c>
      <c r="C304" s="21" t="s">
        <v>355</v>
      </c>
      <c r="D304" s="17" t="s">
        <v>342</v>
      </c>
      <c r="E304" s="18">
        <v>0.66</v>
      </c>
      <c r="F304" s="18">
        <v>3.5</v>
      </c>
      <c r="G304" s="18">
        <v>0</v>
      </c>
      <c r="H304" s="18"/>
      <c r="I304" s="18">
        <v>2025</v>
      </c>
      <c r="J304" s="18">
        <v>0.6600000262260437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9">
        <v>0</v>
      </c>
      <c r="Q304" s="18">
        <v>0.56000000238418579</v>
      </c>
      <c r="R304" s="19">
        <v>0.84848485209725111</v>
      </c>
      <c r="S304" s="18">
        <v>0.10000000149011612</v>
      </c>
      <c r="T304" s="19">
        <v>0.1515151537729032</v>
      </c>
      <c r="U304" s="18">
        <v>0</v>
      </c>
      <c r="V304" s="19">
        <v>0</v>
      </c>
      <c r="W304">
        <f t="shared" si="56"/>
        <v>0.56000000238418579</v>
      </c>
      <c r="X304" s="19">
        <f t="shared" si="57"/>
        <v>0.84848485209725111</v>
      </c>
      <c r="Y304">
        <f t="shared" si="58"/>
        <v>0.10000000149011612</v>
      </c>
      <c r="Z304" s="19">
        <f t="shared" si="59"/>
        <v>0.1515151537729032</v>
      </c>
      <c r="AA304" s="19">
        <f t="shared" si="60"/>
        <v>0.30303030528805469</v>
      </c>
      <c r="AB304" t="str">
        <f t="shared" si="61"/>
        <v>Relatif Mantap</v>
      </c>
      <c r="AC304" s="19">
        <f>IF(Dashboard!$B$7="Mantap (%)",X304,IF(Dashboard!$B$7="Tidak Mantap (%)",Z304,IF(Dashboard!$B$7="Baik (%)",P304,IF(Dashboard!$B$7="Sedang (%)",R304,IF(Dashboard!$B$7="Rusak Ringan (%)",T304,IF(Dashboard!$B$7="Rusak Berat (%)",V304,AA304))))))</f>
        <v>0.1515151537729032</v>
      </c>
      <c r="AD304" s="20">
        <f>IF(AND(AF304=1,E304&gt;=Dashboard!$B$10,IF(Dashboard!$B$9="≤ Maksimum",AC304&lt;=Dashboard!$B$8,AC304&gt;=Dashboard!$B$8)),1,0)</f>
        <v>0</v>
      </c>
      <c r="AE304" s="20" t="str">
        <f>IF(AD304=1,COUNTIFS($AD$2:$AD$351,1,$AC$2:$AC$351,"&gt;"&amp;AC304)+COUNTIFS($AD$2:AD304,1,$AC$2:AC304,AC304),"")</f>
        <v/>
      </c>
      <c r="AF304" s="20">
        <f>IF(OR(Dashboard!$B$6="Semua",ISNUMBER(SEARCH(Dashboard!$B$6,D304))),1,0)</f>
        <v>1</v>
      </c>
      <c r="AG304" s="18">
        <f t="shared" si="62"/>
        <v>0.66</v>
      </c>
      <c r="AH304" s="18">
        <f t="shared" si="63"/>
        <v>0.56000000238418579</v>
      </c>
      <c r="AI304" s="18">
        <f t="shared" si="64"/>
        <v>0.10000000149011612</v>
      </c>
      <c r="AJ304" s="18">
        <f t="shared" si="65"/>
        <v>0</v>
      </c>
      <c r="AK304" s="20">
        <f>IF(OR(Ruas_Per_Kecamatan!$B$4="Semua",ISNUMBER(SEARCH(Ruas_Per_Kecamatan!$B$4,D304))),1,0)</f>
        <v>1</v>
      </c>
      <c r="AL304" s="20">
        <f>IF(AK304=1,COUNTIF($AK$2:AK304,1),"")</f>
        <v>303</v>
      </c>
      <c r="AM304" s="18">
        <f t="shared" si="66"/>
        <v>0.66</v>
      </c>
      <c r="AN304" s="18">
        <f t="shared" si="67"/>
        <v>0.56000000238418579</v>
      </c>
      <c r="AO304" s="18">
        <f t="shared" si="68"/>
        <v>0.10000000149011612</v>
      </c>
      <c r="AP304" s="18">
        <f t="shared" si="69"/>
        <v>0</v>
      </c>
    </row>
    <row r="305" spans="1:42" x14ac:dyDescent="0.25">
      <c r="A305" s="17">
        <v>304</v>
      </c>
      <c r="B305" s="17" t="s">
        <v>755</v>
      </c>
      <c r="C305" s="21" t="s">
        <v>356</v>
      </c>
      <c r="D305" s="17" t="s">
        <v>342</v>
      </c>
      <c r="E305" s="18">
        <v>0.53</v>
      </c>
      <c r="F305" s="18">
        <v>5</v>
      </c>
      <c r="G305" s="18">
        <v>0</v>
      </c>
      <c r="H305" s="18"/>
      <c r="I305" s="18">
        <v>2025</v>
      </c>
      <c r="J305" s="18">
        <v>0.52999997138977051</v>
      </c>
      <c r="K305" s="18">
        <v>0</v>
      </c>
      <c r="L305" s="18">
        <v>0</v>
      </c>
      <c r="M305" s="18">
        <v>0</v>
      </c>
      <c r="N305" s="18">
        <v>0</v>
      </c>
      <c r="O305" s="18">
        <v>0.12999999523162842</v>
      </c>
      <c r="P305" s="19">
        <v>0.24528300987099699</v>
      </c>
      <c r="Q305" s="18">
        <v>0.30000001192092896</v>
      </c>
      <c r="R305" s="19">
        <v>0.56603775834137537</v>
      </c>
      <c r="S305" s="18">
        <v>0.10000000149011612</v>
      </c>
      <c r="T305" s="19">
        <v>0.18867924809455872</v>
      </c>
      <c r="U305" s="18">
        <v>0</v>
      </c>
      <c r="V305" s="19">
        <v>0</v>
      </c>
      <c r="W305">
        <f t="shared" si="56"/>
        <v>0.43000000715255737</v>
      </c>
      <c r="X305" s="19">
        <f t="shared" si="57"/>
        <v>0.81132076821237231</v>
      </c>
      <c r="Y305">
        <f t="shared" si="58"/>
        <v>0.10000000149011612</v>
      </c>
      <c r="Z305" s="19">
        <f t="shared" si="59"/>
        <v>0.18867924809455872</v>
      </c>
      <c r="AA305" s="19">
        <f t="shared" si="60"/>
        <v>0.25471698844207907</v>
      </c>
      <c r="AB305" t="str">
        <f t="shared" si="61"/>
        <v>Relatif Mantap</v>
      </c>
      <c r="AC305" s="19">
        <f>IF(Dashboard!$B$7="Mantap (%)",X305,IF(Dashboard!$B$7="Tidak Mantap (%)",Z305,IF(Dashboard!$B$7="Baik (%)",P305,IF(Dashboard!$B$7="Sedang (%)",R305,IF(Dashboard!$B$7="Rusak Ringan (%)",T305,IF(Dashboard!$B$7="Rusak Berat (%)",V305,AA305))))))</f>
        <v>0.18867924809455872</v>
      </c>
      <c r="AD305" s="20">
        <f>IF(AND(AF305=1,E305&gt;=Dashboard!$B$10,IF(Dashboard!$B$9="≤ Maksimum",AC305&lt;=Dashboard!$B$8,AC305&gt;=Dashboard!$B$8)),1,0)</f>
        <v>0</v>
      </c>
      <c r="AE305" s="20" t="str">
        <f>IF(AD305=1,COUNTIFS($AD$2:$AD$351,1,$AC$2:$AC$351,"&gt;"&amp;AC305)+COUNTIFS($AD$2:AD305,1,$AC$2:AC305,AC305),"")</f>
        <v/>
      </c>
      <c r="AF305" s="20">
        <f>IF(OR(Dashboard!$B$6="Semua",ISNUMBER(SEARCH(Dashboard!$B$6,D305))),1,0)</f>
        <v>1</v>
      </c>
      <c r="AG305" s="18">
        <f t="shared" si="62"/>
        <v>0.53</v>
      </c>
      <c r="AH305" s="18">
        <f t="shared" si="63"/>
        <v>0.43000000715255737</v>
      </c>
      <c r="AI305" s="18">
        <f t="shared" si="64"/>
        <v>0.10000000149011612</v>
      </c>
      <c r="AJ305" s="18">
        <f t="shared" si="65"/>
        <v>0</v>
      </c>
      <c r="AK305" s="20">
        <f>IF(OR(Ruas_Per_Kecamatan!$B$4="Semua",ISNUMBER(SEARCH(Ruas_Per_Kecamatan!$B$4,D305))),1,0)</f>
        <v>1</v>
      </c>
      <c r="AL305" s="20">
        <f>IF(AK305=1,COUNTIF($AK$2:AK305,1),"")</f>
        <v>304</v>
      </c>
      <c r="AM305" s="18">
        <f t="shared" si="66"/>
        <v>0.53</v>
      </c>
      <c r="AN305" s="18">
        <f t="shared" si="67"/>
        <v>0.43000000715255737</v>
      </c>
      <c r="AO305" s="18">
        <f t="shared" si="68"/>
        <v>0.10000000149011612</v>
      </c>
      <c r="AP305" s="18">
        <f t="shared" si="69"/>
        <v>0</v>
      </c>
    </row>
    <row r="306" spans="1:42" x14ac:dyDescent="0.25">
      <c r="A306" s="17">
        <v>305</v>
      </c>
      <c r="B306" s="17" t="s">
        <v>756</v>
      </c>
      <c r="C306" s="21" t="s">
        <v>357</v>
      </c>
      <c r="D306" s="17" t="s">
        <v>342</v>
      </c>
      <c r="E306" s="18">
        <v>1.04</v>
      </c>
      <c r="F306" s="18">
        <v>4</v>
      </c>
      <c r="G306" s="18">
        <v>0</v>
      </c>
      <c r="H306" s="18"/>
      <c r="I306" s="18">
        <v>2025</v>
      </c>
      <c r="J306" s="18">
        <v>1.0399999618530273</v>
      </c>
      <c r="K306" s="18">
        <v>0</v>
      </c>
      <c r="L306" s="18">
        <v>0</v>
      </c>
      <c r="M306" s="18">
        <v>0</v>
      </c>
      <c r="N306" s="18">
        <v>0</v>
      </c>
      <c r="O306" s="18">
        <v>1.0399999618530273</v>
      </c>
      <c r="P306" s="19">
        <v>0.99999996332021857</v>
      </c>
      <c r="Q306" s="18">
        <v>0</v>
      </c>
      <c r="R306" s="19">
        <v>0</v>
      </c>
      <c r="S306" s="18">
        <v>0</v>
      </c>
      <c r="T306" s="19">
        <v>0</v>
      </c>
      <c r="U306" s="18">
        <v>0</v>
      </c>
      <c r="V306" s="19">
        <v>0</v>
      </c>
      <c r="W306">
        <f t="shared" si="56"/>
        <v>1.0399999618530273</v>
      </c>
      <c r="X306" s="19">
        <f t="shared" si="57"/>
        <v>0.99999996332021857</v>
      </c>
      <c r="Y306">
        <f t="shared" si="58"/>
        <v>0</v>
      </c>
      <c r="Z306" s="19">
        <f t="shared" si="59"/>
        <v>0</v>
      </c>
      <c r="AA306" s="19">
        <f t="shared" si="60"/>
        <v>0</v>
      </c>
      <c r="AB306" t="str">
        <f t="shared" si="61"/>
        <v>Relatif Mantap</v>
      </c>
      <c r="AC306" s="19">
        <f>IF(Dashboard!$B$7="Mantap (%)",X306,IF(Dashboard!$B$7="Tidak Mantap (%)",Z306,IF(Dashboard!$B$7="Baik (%)",P306,IF(Dashboard!$B$7="Sedang (%)",R306,IF(Dashboard!$B$7="Rusak Ringan (%)",T306,IF(Dashboard!$B$7="Rusak Berat (%)",V306,AA306))))))</f>
        <v>0</v>
      </c>
      <c r="AD306" s="20">
        <f>IF(AND(AF306=1,E306&gt;=Dashboard!$B$10,IF(Dashboard!$B$9="≤ Maksimum",AC306&lt;=Dashboard!$B$8,AC306&gt;=Dashboard!$B$8)),1,0)</f>
        <v>0</v>
      </c>
      <c r="AE306" s="20" t="str">
        <f>IF(AD306=1,COUNTIFS($AD$2:$AD$351,1,$AC$2:$AC$351,"&gt;"&amp;AC306)+COUNTIFS($AD$2:AD306,1,$AC$2:AC306,AC306),"")</f>
        <v/>
      </c>
      <c r="AF306" s="20">
        <f>IF(OR(Dashboard!$B$6="Semua",ISNUMBER(SEARCH(Dashboard!$B$6,D306))),1,0)</f>
        <v>1</v>
      </c>
      <c r="AG306" s="18">
        <f t="shared" si="62"/>
        <v>1.04</v>
      </c>
      <c r="AH306" s="18">
        <f t="shared" si="63"/>
        <v>1.0399999618530273</v>
      </c>
      <c r="AI306" s="18">
        <f t="shared" si="64"/>
        <v>0</v>
      </c>
      <c r="AJ306" s="18">
        <f t="shared" si="65"/>
        <v>0</v>
      </c>
      <c r="AK306" s="20">
        <f>IF(OR(Ruas_Per_Kecamatan!$B$4="Semua",ISNUMBER(SEARCH(Ruas_Per_Kecamatan!$B$4,D306))),1,0)</f>
        <v>1</v>
      </c>
      <c r="AL306" s="20">
        <f>IF(AK306=1,COUNTIF($AK$2:AK306,1),"")</f>
        <v>305</v>
      </c>
      <c r="AM306" s="18">
        <f t="shared" si="66"/>
        <v>1.04</v>
      </c>
      <c r="AN306" s="18">
        <f t="shared" si="67"/>
        <v>1.0399999618530273</v>
      </c>
      <c r="AO306" s="18">
        <f t="shared" si="68"/>
        <v>0</v>
      </c>
      <c r="AP306" s="18">
        <f t="shared" si="69"/>
        <v>0</v>
      </c>
    </row>
    <row r="307" spans="1:42" x14ac:dyDescent="0.25">
      <c r="A307" s="17">
        <v>306</v>
      </c>
      <c r="B307" s="17" t="s">
        <v>757</v>
      </c>
      <c r="C307" s="21" t="s">
        <v>358</v>
      </c>
      <c r="D307" s="17" t="s">
        <v>342</v>
      </c>
      <c r="E307" s="18">
        <v>2.21</v>
      </c>
      <c r="F307" s="18">
        <v>3.5</v>
      </c>
      <c r="G307" s="18">
        <v>0</v>
      </c>
      <c r="H307" s="18"/>
      <c r="I307" s="18">
        <v>2025</v>
      </c>
      <c r="J307" s="18">
        <v>2</v>
      </c>
      <c r="K307" s="18">
        <v>0</v>
      </c>
      <c r="L307" s="18">
        <v>0</v>
      </c>
      <c r="M307" s="18">
        <v>0</v>
      </c>
      <c r="N307" s="18">
        <v>0.20999999344348907</v>
      </c>
      <c r="O307" s="18">
        <v>0.60000002384185791</v>
      </c>
      <c r="P307" s="19">
        <v>0.27149322345785426</v>
      </c>
      <c r="Q307" s="18">
        <v>0.40000000596046448</v>
      </c>
      <c r="R307" s="19">
        <v>0.18099547781016492</v>
      </c>
      <c r="S307" s="18">
        <v>0.60000002384185791</v>
      </c>
      <c r="T307" s="19">
        <v>0.27149322345785426</v>
      </c>
      <c r="U307" s="18">
        <v>0.60999999940395355</v>
      </c>
      <c r="V307" s="19">
        <v>0.27601809927780702</v>
      </c>
      <c r="W307">
        <f t="shared" si="56"/>
        <v>1.0000000298023224</v>
      </c>
      <c r="X307" s="19">
        <f t="shared" si="57"/>
        <v>0.45248870126801921</v>
      </c>
      <c r="Y307">
        <f t="shared" si="58"/>
        <v>1.2100000232458115</v>
      </c>
      <c r="Z307" s="19">
        <f t="shared" si="59"/>
        <v>0.54751132273566128</v>
      </c>
      <c r="AA307" s="19">
        <f t="shared" si="60"/>
        <v>0.4841629028050608</v>
      </c>
      <c r="AB307" t="str">
        <f t="shared" si="61"/>
        <v>Rusak Berat Dominan</v>
      </c>
      <c r="AC307" s="19">
        <f>IF(Dashboard!$B$7="Mantap (%)",X307,IF(Dashboard!$B$7="Tidak Mantap (%)",Z307,IF(Dashboard!$B$7="Baik (%)",P307,IF(Dashboard!$B$7="Sedang (%)",R307,IF(Dashboard!$B$7="Rusak Ringan (%)",T307,IF(Dashboard!$B$7="Rusak Berat (%)",V307,AA307))))))</f>
        <v>0.54751132273566128</v>
      </c>
      <c r="AD307" s="20">
        <f>IF(AND(AF307=1,E307&gt;=Dashboard!$B$10,IF(Dashboard!$B$9="≤ Maksimum",AC307&lt;=Dashboard!$B$8,AC307&gt;=Dashboard!$B$8)),1,0)</f>
        <v>1</v>
      </c>
      <c r="AE307" s="20">
        <f>IF(AD307=1,COUNTIFS($AD$2:$AD$351,1,$AC$2:$AC$351,"&gt;"&amp;AC307)+COUNTIFS($AD$2:AD307,1,$AC$2:AC307,AC307),"")</f>
        <v>116</v>
      </c>
      <c r="AF307" s="20">
        <f>IF(OR(Dashboard!$B$6="Semua",ISNUMBER(SEARCH(Dashboard!$B$6,D307))),1,0)</f>
        <v>1</v>
      </c>
      <c r="AG307" s="18">
        <f t="shared" si="62"/>
        <v>2.21</v>
      </c>
      <c r="AH307" s="18">
        <f t="shared" si="63"/>
        <v>1.0000000298023224</v>
      </c>
      <c r="AI307" s="18">
        <f t="shared" si="64"/>
        <v>1.2100000232458115</v>
      </c>
      <c r="AJ307" s="18">
        <f t="shared" si="65"/>
        <v>0.60999999940395355</v>
      </c>
      <c r="AK307" s="20">
        <f>IF(OR(Ruas_Per_Kecamatan!$B$4="Semua",ISNUMBER(SEARCH(Ruas_Per_Kecamatan!$B$4,D307))),1,0)</f>
        <v>1</v>
      </c>
      <c r="AL307" s="20">
        <f>IF(AK307=1,COUNTIF($AK$2:AK307,1),"")</f>
        <v>306</v>
      </c>
      <c r="AM307" s="18">
        <f t="shared" si="66"/>
        <v>2.21</v>
      </c>
      <c r="AN307" s="18">
        <f t="shared" si="67"/>
        <v>1.0000000298023224</v>
      </c>
      <c r="AO307" s="18">
        <f t="shared" si="68"/>
        <v>1.2100000232458115</v>
      </c>
      <c r="AP307" s="18">
        <f t="shared" si="69"/>
        <v>0.60999999940395355</v>
      </c>
    </row>
    <row r="308" spans="1:42" x14ac:dyDescent="0.25">
      <c r="A308" s="17">
        <v>307</v>
      </c>
      <c r="B308" s="17" t="s">
        <v>758</v>
      </c>
      <c r="C308" s="21" t="s">
        <v>359</v>
      </c>
      <c r="D308" s="17" t="s">
        <v>342</v>
      </c>
      <c r="E308" s="18">
        <v>0.32</v>
      </c>
      <c r="F308" s="18">
        <v>4</v>
      </c>
      <c r="G308" s="18">
        <v>0</v>
      </c>
      <c r="H308" s="18"/>
      <c r="I308" s="18">
        <v>2025</v>
      </c>
      <c r="J308" s="18">
        <v>0.31999999284744263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9">
        <v>0</v>
      </c>
      <c r="Q308" s="18">
        <v>0.31999999284744263</v>
      </c>
      <c r="R308" s="19">
        <v>0.99999997764825821</v>
      </c>
      <c r="S308" s="18">
        <v>0</v>
      </c>
      <c r="T308" s="19">
        <v>0</v>
      </c>
      <c r="U308" s="18">
        <v>0</v>
      </c>
      <c r="V308" s="19">
        <v>0</v>
      </c>
      <c r="W308">
        <f t="shared" si="56"/>
        <v>0.31999999284744263</v>
      </c>
      <c r="X308" s="19">
        <f t="shared" si="57"/>
        <v>0.99999997764825821</v>
      </c>
      <c r="Y308">
        <f t="shared" si="58"/>
        <v>0</v>
      </c>
      <c r="Z308" s="19">
        <f t="shared" si="59"/>
        <v>0</v>
      </c>
      <c r="AA308" s="19">
        <f t="shared" si="60"/>
        <v>0.24999999441206455</v>
      </c>
      <c r="AB308" t="str">
        <f t="shared" si="61"/>
        <v>Relatif Mantap</v>
      </c>
      <c r="AC308" s="19">
        <f>IF(Dashboard!$B$7="Mantap (%)",X308,IF(Dashboard!$B$7="Tidak Mantap (%)",Z308,IF(Dashboard!$B$7="Baik (%)",P308,IF(Dashboard!$B$7="Sedang (%)",R308,IF(Dashboard!$B$7="Rusak Ringan (%)",T308,IF(Dashboard!$B$7="Rusak Berat (%)",V308,AA308))))))</f>
        <v>0</v>
      </c>
      <c r="AD308" s="20">
        <f>IF(AND(AF308=1,E308&gt;=Dashboard!$B$10,IF(Dashboard!$B$9="≤ Maksimum",AC308&lt;=Dashboard!$B$8,AC308&gt;=Dashboard!$B$8)),1,0)</f>
        <v>0</v>
      </c>
      <c r="AE308" s="20" t="str">
        <f>IF(AD308=1,COUNTIFS($AD$2:$AD$351,1,$AC$2:$AC$351,"&gt;"&amp;AC308)+COUNTIFS($AD$2:AD308,1,$AC$2:AC308,AC308),"")</f>
        <v/>
      </c>
      <c r="AF308" s="20">
        <f>IF(OR(Dashboard!$B$6="Semua",ISNUMBER(SEARCH(Dashboard!$B$6,D308))),1,0)</f>
        <v>1</v>
      </c>
      <c r="AG308" s="18">
        <f t="shared" si="62"/>
        <v>0.32</v>
      </c>
      <c r="AH308" s="18">
        <f t="shared" si="63"/>
        <v>0.31999999284744263</v>
      </c>
      <c r="AI308" s="18">
        <f t="shared" si="64"/>
        <v>0</v>
      </c>
      <c r="AJ308" s="18">
        <f t="shared" si="65"/>
        <v>0</v>
      </c>
      <c r="AK308" s="20">
        <f>IF(OR(Ruas_Per_Kecamatan!$B$4="Semua",ISNUMBER(SEARCH(Ruas_Per_Kecamatan!$B$4,D308))),1,0)</f>
        <v>1</v>
      </c>
      <c r="AL308" s="20">
        <f>IF(AK308=1,COUNTIF($AK$2:AK308,1),"")</f>
        <v>307</v>
      </c>
      <c r="AM308" s="18">
        <f t="shared" si="66"/>
        <v>0.32</v>
      </c>
      <c r="AN308" s="18">
        <f t="shared" si="67"/>
        <v>0.31999999284744263</v>
      </c>
      <c r="AO308" s="18">
        <f t="shared" si="68"/>
        <v>0</v>
      </c>
      <c r="AP308" s="18">
        <f t="shared" si="69"/>
        <v>0</v>
      </c>
    </row>
    <row r="309" spans="1:42" x14ac:dyDescent="0.25">
      <c r="A309" s="17">
        <v>308</v>
      </c>
      <c r="B309" s="17" t="s">
        <v>759</v>
      </c>
      <c r="C309" s="21" t="s">
        <v>360</v>
      </c>
      <c r="D309" s="17" t="s">
        <v>342</v>
      </c>
      <c r="E309" s="18">
        <v>0.31</v>
      </c>
      <c r="F309" s="18">
        <v>3</v>
      </c>
      <c r="G309" s="18">
        <v>0</v>
      </c>
      <c r="H309" s="18"/>
      <c r="I309" s="18">
        <v>2025</v>
      </c>
      <c r="J309" s="18">
        <v>0</v>
      </c>
      <c r="K309" s="18">
        <v>0</v>
      </c>
      <c r="L309" s="18">
        <v>0.31000000238418579</v>
      </c>
      <c r="M309" s="18">
        <v>0</v>
      </c>
      <c r="N309" s="18">
        <v>0</v>
      </c>
      <c r="O309" s="18">
        <v>0</v>
      </c>
      <c r="P309" s="19">
        <v>0</v>
      </c>
      <c r="Q309" s="18">
        <v>0</v>
      </c>
      <c r="R309" s="19">
        <v>0</v>
      </c>
      <c r="S309" s="18">
        <v>0.31000000238418579</v>
      </c>
      <c r="T309" s="19">
        <v>1.0000000076909219</v>
      </c>
      <c r="U309" s="18">
        <v>0</v>
      </c>
      <c r="V309" s="19">
        <v>0</v>
      </c>
      <c r="W309">
        <f t="shared" si="56"/>
        <v>0</v>
      </c>
      <c r="X309" s="19">
        <f t="shared" si="57"/>
        <v>0</v>
      </c>
      <c r="Y309">
        <f t="shared" si="58"/>
        <v>0.31000000238418579</v>
      </c>
      <c r="Z309" s="19">
        <f t="shared" si="59"/>
        <v>1.0000000076909219</v>
      </c>
      <c r="AA309" s="19">
        <f t="shared" si="60"/>
        <v>0.60000000461455316</v>
      </c>
      <c r="AB309" t="str">
        <f t="shared" si="61"/>
        <v>Tidak Mantap Tinggi</v>
      </c>
      <c r="AC309" s="19">
        <f>IF(Dashboard!$B$7="Mantap (%)",X309,IF(Dashboard!$B$7="Tidak Mantap (%)",Z309,IF(Dashboard!$B$7="Baik (%)",P309,IF(Dashboard!$B$7="Sedang (%)",R309,IF(Dashboard!$B$7="Rusak Ringan (%)",T309,IF(Dashboard!$B$7="Rusak Berat (%)",V309,AA309))))))</f>
        <v>1.0000000076909219</v>
      </c>
      <c r="AD309" s="20">
        <f>IF(AND(AF309=1,E309&gt;=Dashboard!$B$10,IF(Dashboard!$B$9="≤ Maksimum",AC309&lt;=Dashboard!$B$8,AC309&gt;=Dashboard!$B$8)),1,0)</f>
        <v>1</v>
      </c>
      <c r="AE309" s="20">
        <f>IF(AD309=1,COUNTIFS($AD$2:$AD$351,1,$AC$2:$AC$351,"&gt;"&amp;AC309)+COUNTIFS($AD$2:AD309,1,$AC$2:AC309,AC309),"")</f>
        <v>25</v>
      </c>
      <c r="AF309" s="20">
        <f>IF(OR(Dashboard!$B$6="Semua",ISNUMBER(SEARCH(Dashboard!$B$6,D309))),1,0)</f>
        <v>1</v>
      </c>
      <c r="AG309" s="18">
        <f t="shared" si="62"/>
        <v>0.31</v>
      </c>
      <c r="AH309" s="18">
        <f t="shared" si="63"/>
        <v>0</v>
      </c>
      <c r="AI309" s="18">
        <f t="shared" si="64"/>
        <v>0.31000000238418579</v>
      </c>
      <c r="AJ309" s="18">
        <f t="shared" si="65"/>
        <v>0</v>
      </c>
      <c r="AK309" s="20">
        <f>IF(OR(Ruas_Per_Kecamatan!$B$4="Semua",ISNUMBER(SEARCH(Ruas_Per_Kecamatan!$B$4,D309))),1,0)</f>
        <v>1</v>
      </c>
      <c r="AL309" s="20">
        <f>IF(AK309=1,COUNTIF($AK$2:AK309,1),"")</f>
        <v>308</v>
      </c>
      <c r="AM309" s="18">
        <f t="shared" si="66"/>
        <v>0.31</v>
      </c>
      <c r="AN309" s="18">
        <f t="shared" si="67"/>
        <v>0</v>
      </c>
      <c r="AO309" s="18">
        <f t="shared" si="68"/>
        <v>0.31000000238418579</v>
      </c>
      <c r="AP309" s="18">
        <f t="shared" si="69"/>
        <v>0</v>
      </c>
    </row>
    <row r="310" spans="1:42" x14ac:dyDescent="0.25">
      <c r="A310" s="17">
        <v>309</v>
      </c>
      <c r="B310" s="17" t="s">
        <v>760</v>
      </c>
      <c r="C310" s="21" t="s">
        <v>361</v>
      </c>
      <c r="D310" s="17" t="s">
        <v>342</v>
      </c>
      <c r="E310" s="18">
        <v>0.48</v>
      </c>
      <c r="F310" s="18">
        <v>3</v>
      </c>
      <c r="G310" s="18">
        <v>0</v>
      </c>
      <c r="H310" s="18"/>
      <c r="I310" s="18">
        <v>2025</v>
      </c>
      <c r="J310" s="18">
        <v>0</v>
      </c>
      <c r="K310" s="18">
        <v>0</v>
      </c>
      <c r="L310" s="18">
        <v>0</v>
      </c>
      <c r="M310" s="18">
        <v>0.47999998927116394</v>
      </c>
      <c r="N310" s="18">
        <v>0</v>
      </c>
      <c r="O310" s="18">
        <v>0</v>
      </c>
      <c r="P310" s="19">
        <v>0</v>
      </c>
      <c r="Q310" s="18">
        <v>0</v>
      </c>
      <c r="R310" s="19">
        <v>0</v>
      </c>
      <c r="S310" s="18">
        <v>0</v>
      </c>
      <c r="T310" s="19">
        <v>0</v>
      </c>
      <c r="U310" s="18">
        <v>0.47999998927116394</v>
      </c>
      <c r="V310" s="19">
        <v>0.99999997764825821</v>
      </c>
      <c r="W310">
        <f t="shared" si="56"/>
        <v>0</v>
      </c>
      <c r="X310" s="19">
        <f t="shared" si="57"/>
        <v>0</v>
      </c>
      <c r="Y310">
        <f t="shared" si="58"/>
        <v>0.47999998927116394</v>
      </c>
      <c r="Z310" s="19">
        <f t="shared" si="59"/>
        <v>0.99999997764825821</v>
      </c>
      <c r="AA310" s="19">
        <f t="shared" si="60"/>
        <v>0.99999997764825821</v>
      </c>
      <c r="AB310" t="str">
        <f t="shared" si="61"/>
        <v>Rusak Berat Dominan</v>
      </c>
      <c r="AC310" s="19">
        <f>IF(Dashboard!$B$7="Mantap (%)",X310,IF(Dashboard!$B$7="Tidak Mantap (%)",Z310,IF(Dashboard!$B$7="Baik (%)",P310,IF(Dashboard!$B$7="Sedang (%)",R310,IF(Dashboard!$B$7="Rusak Ringan (%)",T310,IF(Dashboard!$B$7="Rusak Berat (%)",V310,AA310))))))</f>
        <v>0.99999997764825821</v>
      </c>
      <c r="AD310" s="20">
        <f>IF(AND(AF310=1,E310&gt;=Dashboard!$B$10,IF(Dashboard!$B$9="≤ Maksimum",AC310&lt;=Dashboard!$B$8,AC310&gt;=Dashboard!$B$8)),1,0)</f>
        <v>1</v>
      </c>
      <c r="AE310" s="20">
        <f>IF(AD310=1,COUNTIFS($AD$2:$AD$351,1,$AC$2:$AC$351,"&gt;"&amp;AC310)+COUNTIFS($AD$2:AD310,1,$AC$2:AC310,AC310),"")</f>
        <v>42</v>
      </c>
      <c r="AF310" s="20">
        <f>IF(OR(Dashboard!$B$6="Semua",ISNUMBER(SEARCH(Dashboard!$B$6,D310))),1,0)</f>
        <v>1</v>
      </c>
      <c r="AG310" s="18">
        <f t="shared" si="62"/>
        <v>0.48</v>
      </c>
      <c r="AH310" s="18">
        <f t="shared" si="63"/>
        <v>0</v>
      </c>
      <c r="AI310" s="18">
        <f t="shared" si="64"/>
        <v>0.47999998927116394</v>
      </c>
      <c r="AJ310" s="18">
        <f t="shared" si="65"/>
        <v>0.47999998927116394</v>
      </c>
      <c r="AK310" s="20">
        <f>IF(OR(Ruas_Per_Kecamatan!$B$4="Semua",ISNUMBER(SEARCH(Ruas_Per_Kecamatan!$B$4,D310))),1,0)</f>
        <v>1</v>
      </c>
      <c r="AL310" s="20">
        <f>IF(AK310=1,COUNTIF($AK$2:AK310,1),"")</f>
        <v>309</v>
      </c>
      <c r="AM310" s="18">
        <f t="shared" si="66"/>
        <v>0.48</v>
      </c>
      <c r="AN310" s="18">
        <f t="shared" si="67"/>
        <v>0</v>
      </c>
      <c r="AO310" s="18">
        <f t="shared" si="68"/>
        <v>0.47999998927116394</v>
      </c>
      <c r="AP310" s="18">
        <f t="shared" si="69"/>
        <v>0.47999998927116394</v>
      </c>
    </row>
    <row r="311" spans="1:42" x14ac:dyDescent="0.25">
      <c r="A311" s="17">
        <v>310</v>
      </c>
      <c r="B311" s="17" t="s">
        <v>761</v>
      </c>
      <c r="C311" s="21" t="s">
        <v>362</v>
      </c>
      <c r="D311" s="17" t="s">
        <v>363</v>
      </c>
      <c r="E311" s="18">
        <v>7.33</v>
      </c>
      <c r="F311" s="18">
        <v>3.5</v>
      </c>
      <c r="G311" s="18">
        <v>0</v>
      </c>
      <c r="H311" s="18"/>
      <c r="I311" s="18">
        <v>2025</v>
      </c>
      <c r="J311" s="18">
        <v>7.3299999237060547</v>
      </c>
      <c r="K311" s="18">
        <v>0</v>
      </c>
      <c r="L311" s="18">
        <v>0</v>
      </c>
      <c r="M311" s="18">
        <v>0</v>
      </c>
      <c r="N311" s="18">
        <v>0</v>
      </c>
      <c r="O311" s="18">
        <v>0.20000000298023224</v>
      </c>
      <c r="P311" s="19">
        <v>2.7285130010945735E-2</v>
      </c>
      <c r="Q311" s="18">
        <v>5.0999999046325684</v>
      </c>
      <c r="R311" s="19">
        <v>0.69577079190075963</v>
      </c>
      <c r="S311" s="18">
        <v>1.5299999713897705</v>
      </c>
      <c r="T311" s="19">
        <v>0.20873123757022791</v>
      </c>
      <c r="U311" s="18">
        <v>0.5</v>
      </c>
      <c r="V311" s="19">
        <v>6.8212824010914053E-2</v>
      </c>
      <c r="W311">
        <f t="shared" si="56"/>
        <v>5.2999999076128006</v>
      </c>
      <c r="X311" s="19">
        <f t="shared" si="57"/>
        <v>0.72305592191170542</v>
      </c>
      <c r="Y311">
        <f t="shared" si="58"/>
        <v>2.0299999713897705</v>
      </c>
      <c r="Z311" s="19">
        <f t="shared" si="59"/>
        <v>0.27694406158114193</v>
      </c>
      <c r="AA311" s="19">
        <f t="shared" si="60"/>
        <v>0.3673942645282407</v>
      </c>
      <c r="AB311" t="str">
        <f t="shared" si="61"/>
        <v>Tidak Mantap Sedang</v>
      </c>
      <c r="AC311" s="19">
        <f>IF(Dashboard!$B$7="Mantap (%)",X311,IF(Dashboard!$B$7="Tidak Mantap (%)",Z311,IF(Dashboard!$B$7="Baik (%)",P311,IF(Dashboard!$B$7="Sedang (%)",R311,IF(Dashboard!$B$7="Rusak Ringan (%)",T311,IF(Dashboard!$B$7="Rusak Berat (%)",V311,AA311))))))</f>
        <v>0.27694406158114193</v>
      </c>
      <c r="AD311" s="20">
        <f>IF(AND(AF311=1,E311&gt;=Dashboard!$B$10,IF(Dashboard!$B$9="≤ Maksimum",AC311&lt;=Dashboard!$B$8,AC311&gt;=Dashboard!$B$8)),1,0)</f>
        <v>1</v>
      </c>
      <c r="AE311" s="20">
        <f>IF(AD311=1,COUNTIFS($AD$2:$AD$351,1,$AC$2:$AC$351,"&gt;"&amp;AC311)+COUNTIFS($AD$2:AD311,1,$AC$2:AC311,AC311),"")</f>
        <v>174</v>
      </c>
      <c r="AF311" s="20">
        <f>IF(OR(Dashboard!$B$6="Semua",ISNUMBER(SEARCH(Dashboard!$B$6,D311))),1,0)</f>
        <v>1</v>
      </c>
      <c r="AG311" s="18">
        <f t="shared" si="62"/>
        <v>7.33</v>
      </c>
      <c r="AH311" s="18">
        <f t="shared" si="63"/>
        <v>5.2999999076128006</v>
      </c>
      <c r="AI311" s="18">
        <f t="shared" si="64"/>
        <v>2.0299999713897705</v>
      </c>
      <c r="AJ311" s="18">
        <f t="shared" si="65"/>
        <v>0.5</v>
      </c>
      <c r="AK311" s="20">
        <f>IF(OR(Ruas_Per_Kecamatan!$B$4="Semua",ISNUMBER(SEARCH(Ruas_Per_Kecamatan!$B$4,D311))),1,0)</f>
        <v>1</v>
      </c>
      <c r="AL311" s="20">
        <f>IF(AK311=1,COUNTIF($AK$2:AK311,1),"")</f>
        <v>310</v>
      </c>
      <c r="AM311" s="18">
        <f t="shared" si="66"/>
        <v>7.33</v>
      </c>
      <c r="AN311" s="18">
        <f t="shared" si="67"/>
        <v>5.2999999076128006</v>
      </c>
      <c r="AO311" s="18">
        <f t="shared" si="68"/>
        <v>2.0299999713897705</v>
      </c>
      <c r="AP311" s="18">
        <f t="shared" si="69"/>
        <v>0.5</v>
      </c>
    </row>
    <row r="312" spans="1:42" x14ac:dyDescent="0.25">
      <c r="A312" s="17">
        <v>311</v>
      </c>
      <c r="B312" s="17" t="s">
        <v>762</v>
      </c>
      <c r="C312" s="21" t="s">
        <v>364</v>
      </c>
      <c r="D312" s="17" t="s">
        <v>365</v>
      </c>
      <c r="E312" s="18">
        <v>2.1</v>
      </c>
      <c r="F312" s="18">
        <v>3.5</v>
      </c>
      <c r="G312" s="18">
        <v>0</v>
      </c>
      <c r="H312" s="18"/>
      <c r="I312" s="18">
        <v>2025</v>
      </c>
      <c r="J312" s="18">
        <v>2.0999999046325684</v>
      </c>
      <c r="K312" s="18">
        <v>0</v>
      </c>
      <c r="L312" s="18">
        <v>0</v>
      </c>
      <c r="M312" s="18">
        <v>0</v>
      </c>
      <c r="N312" s="18">
        <v>0</v>
      </c>
      <c r="O312" s="18">
        <v>0.10000000149011612</v>
      </c>
      <c r="P312" s="19">
        <v>4.761904832862672E-2</v>
      </c>
      <c r="Q312" s="18">
        <v>0.30000001192092896</v>
      </c>
      <c r="R312" s="19">
        <v>0.14285714853377568</v>
      </c>
      <c r="S312" s="18">
        <v>1</v>
      </c>
      <c r="T312" s="19">
        <v>0.47619047619047616</v>
      </c>
      <c r="U312" s="18">
        <v>0.69999998807907104</v>
      </c>
      <c r="V312" s="19">
        <v>0.33333332765670048</v>
      </c>
      <c r="W312">
        <f t="shared" si="56"/>
        <v>0.40000001341104507</v>
      </c>
      <c r="X312" s="19">
        <f t="shared" si="57"/>
        <v>0.19047619686240241</v>
      </c>
      <c r="Y312">
        <f t="shared" si="58"/>
        <v>1.699999988079071</v>
      </c>
      <c r="Z312" s="19">
        <f t="shared" si="59"/>
        <v>0.8095238038471767</v>
      </c>
      <c r="AA312" s="19">
        <f t="shared" si="60"/>
        <v>0.65476190050443006</v>
      </c>
      <c r="AB312" t="str">
        <f t="shared" si="61"/>
        <v>Rusak Berat Dominan</v>
      </c>
      <c r="AC312" s="19">
        <f>IF(Dashboard!$B$7="Mantap (%)",X312,IF(Dashboard!$B$7="Tidak Mantap (%)",Z312,IF(Dashboard!$B$7="Baik (%)",P312,IF(Dashboard!$B$7="Sedang (%)",R312,IF(Dashboard!$B$7="Rusak Ringan (%)",T312,IF(Dashboard!$B$7="Rusak Berat (%)",V312,AA312))))))</f>
        <v>0.8095238038471767</v>
      </c>
      <c r="AD312" s="20">
        <f>IF(AND(AF312=1,E312&gt;=Dashboard!$B$10,IF(Dashboard!$B$9="≤ Maksimum",AC312&lt;=Dashboard!$B$8,AC312&gt;=Dashboard!$B$8)),1,0)</f>
        <v>1</v>
      </c>
      <c r="AE312" s="20">
        <f>IF(AD312=1,COUNTIFS($AD$2:$AD$351,1,$AC$2:$AC$351,"&gt;"&amp;AC312)+COUNTIFS($AD$2:AD312,1,$AC$2:AC312,AC312),"")</f>
        <v>66</v>
      </c>
      <c r="AF312" s="20">
        <f>IF(OR(Dashboard!$B$6="Semua",ISNUMBER(SEARCH(Dashboard!$B$6,D312))),1,0)</f>
        <v>1</v>
      </c>
      <c r="AG312" s="18">
        <f t="shared" si="62"/>
        <v>2.1</v>
      </c>
      <c r="AH312" s="18">
        <f t="shared" si="63"/>
        <v>0.40000001341104507</v>
      </c>
      <c r="AI312" s="18">
        <f t="shared" si="64"/>
        <v>1.699999988079071</v>
      </c>
      <c r="AJ312" s="18">
        <f t="shared" si="65"/>
        <v>0.69999998807907104</v>
      </c>
      <c r="AK312" s="20">
        <f>IF(OR(Ruas_Per_Kecamatan!$B$4="Semua",ISNUMBER(SEARCH(Ruas_Per_Kecamatan!$B$4,D312))),1,0)</f>
        <v>1</v>
      </c>
      <c r="AL312" s="20">
        <f>IF(AK312=1,COUNTIF($AK$2:AK312,1),"")</f>
        <v>311</v>
      </c>
      <c r="AM312" s="18">
        <f t="shared" si="66"/>
        <v>2.1</v>
      </c>
      <c r="AN312" s="18">
        <f t="shared" si="67"/>
        <v>0.40000001341104507</v>
      </c>
      <c r="AO312" s="18">
        <f t="shared" si="68"/>
        <v>1.699999988079071</v>
      </c>
      <c r="AP312" s="18">
        <f t="shared" si="69"/>
        <v>0.69999998807907104</v>
      </c>
    </row>
    <row r="313" spans="1:42" x14ac:dyDescent="0.25">
      <c r="A313" s="17">
        <v>312</v>
      </c>
      <c r="B313" s="17" t="s">
        <v>763</v>
      </c>
      <c r="C313" s="21" t="s">
        <v>366</v>
      </c>
      <c r="D313" s="17" t="s">
        <v>365</v>
      </c>
      <c r="E313" s="18">
        <v>0.18</v>
      </c>
      <c r="F313" s="18">
        <v>3</v>
      </c>
      <c r="G313" s="18">
        <v>0</v>
      </c>
      <c r="H313" s="18"/>
      <c r="I313" s="18">
        <v>2025</v>
      </c>
      <c r="J313" s="18">
        <v>0.18000000715255737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9">
        <v>0</v>
      </c>
      <c r="Q313" s="18">
        <v>0</v>
      </c>
      <c r="R313" s="19">
        <v>0</v>
      </c>
      <c r="S313" s="18">
        <v>0</v>
      </c>
      <c r="T313" s="19">
        <v>0</v>
      </c>
      <c r="U313" s="18">
        <v>0.18000000715255737</v>
      </c>
      <c r="V313" s="19">
        <v>1.0000000397364299</v>
      </c>
      <c r="W313">
        <f t="shared" si="56"/>
        <v>0</v>
      </c>
      <c r="X313" s="19">
        <f t="shared" si="57"/>
        <v>0</v>
      </c>
      <c r="Y313">
        <f t="shared" si="58"/>
        <v>0.18000000715255737</v>
      </c>
      <c r="Z313" s="19">
        <f t="shared" si="59"/>
        <v>1.0000000397364299</v>
      </c>
      <c r="AA313" s="19">
        <f t="shared" si="60"/>
        <v>1.0000000397364299</v>
      </c>
      <c r="AB313" t="str">
        <f t="shared" si="61"/>
        <v>Rusak Berat Dominan</v>
      </c>
      <c r="AC313" s="19">
        <f>IF(Dashboard!$B$7="Mantap (%)",X313,IF(Dashboard!$B$7="Tidak Mantap (%)",Z313,IF(Dashboard!$B$7="Baik (%)",P313,IF(Dashboard!$B$7="Sedang (%)",R313,IF(Dashboard!$B$7="Rusak Ringan (%)",T313,IF(Dashboard!$B$7="Rusak Berat (%)",V313,AA313))))))</f>
        <v>1.0000000397364299</v>
      </c>
      <c r="AD313" s="20">
        <f>IF(AND(AF313=1,E313&gt;=Dashboard!$B$10,IF(Dashboard!$B$9="≤ Maksimum",AC313&lt;=Dashboard!$B$8,AC313&gt;=Dashboard!$B$8)),1,0)</f>
        <v>1</v>
      </c>
      <c r="AE313" s="20">
        <f>IF(AD313=1,COUNTIFS($AD$2:$AD$351,1,$AC$2:$AC$351,"&gt;"&amp;AC313)+COUNTIFS($AD$2:AD313,1,$AC$2:AC313,AC313),"")</f>
        <v>4</v>
      </c>
      <c r="AF313" s="20">
        <f>IF(OR(Dashboard!$B$6="Semua",ISNUMBER(SEARCH(Dashboard!$B$6,D313))),1,0)</f>
        <v>1</v>
      </c>
      <c r="AG313" s="18">
        <f t="shared" si="62"/>
        <v>0.18</v>
      </c>
      <c r="AH313" s="18">
        <f t="shared" si="63"/>
        <v>0</v>
      </c>
      <c r="AI313" s="18">
        <f t="shared" si="64"/>
        <v>0.18000000715255737</v>
      </c>
      <c r="AJ313" s="18">
        <f t="shared" si="65"/>
        <v>0.18000000715255737</v>
      </c>
      <c r="AK313" s="20">
        <f>IF(OR(Ruas_Per_Kecamatan!$B$4="Semua",ISNUMBER(SEARCH(Ruas_Per_Kecamatan!$B$4,D313))),1,0)</f>
        <v>1</v>
      </c>
      <c r="AL313" s="20">
        <f>IF(AK313=1,COUNTIF($AK$2:AK313,1),"")</f>
        <v>312</v>
      </c>
      <c r="AM313" s="18">
        <f t="shared" si="66"/>
        <v>0.18</v>
      </c>
      <c r="AN313" s="18">
        <f t="shared" si="67"/>
        <v>0</v>
      </c>
      <c r="AO313" s="18">
        <f t="shared" si="68"/>
        <v>0.18000000715255737</v>
      </c>
      <c r="AP313" s="18">
        <f t="shared" si="69"/>
        <v>0.18000000715255737</v>
      </c>
    </row>
    <row r="314" spans="1:42" x14ac:dyDescent="0.25">
      <c r="A314" s="17">
        <v>313</v>
      </c>
      <c r="B314" s="17" t="s">
        <v>764</v>
      </c>
      <c r="C314" s="21" t="s">
        <v>367</v>
      </c>
      <c r="D314" s="17" t="s">
        <v>365</v>
      </c>
      <c r="E314" s="18">
        <v>0.21</v>
      </c>
      <c r="F314" s="18">
        <v>3</v>
      </c>
      <c r="G314" s="18">
        <v>0</v>
      </c>
      <c r="H314" s="18"/>
      <c r="I314" s="18">
        <v>2025</v>
      </c>
      <c r="J314" s="18">
        <v>0.10000000149011612</v>
      </c>
      <c r="K314" s="18">
        <v>0</v>
      </c>
      <c r="L314" s="18">
        <v>0</v>
      </c>
      <c r="M314" s="18">
        <v>0.10999999940395355</v>
      </c>
      <c r="N314" s="18">
        <v>0</v>
      </c>
      <c r="O314" s="18">
        <v>0</v>
      </c>
      <c r="P314" s="19">
        <v>0</v>
      </c>
      <c r="Q314" s="18">
        <v>0</v>
      </c>
      <c r="R314" s="19">
        <v>0</v>
      </c>
      <c r="S314" s="18">
        <v>0</v>
      </c>
      <c r="T314" s="19">
        <v>0</v>
      </c>
      <c r="U314" s="18">
        <v>0.21000000089406967</v>
      </c>
      <c r="V314" s="19">
        <v>1.0000000042574746</v>
      </c>
      <c r="W314">
        <f t="shared" si="56"/>
        <v>0</v>
      </c>
      <c r="X314" s="19">
        <f t="shared" si="57"/>
        <v>0</v>
      </c>
      <c r="Y314">
        <f t="shared" si="58"/>
        <v>0.21000000089406967</v>
      </c>
      <c r="Z314" s="19">
        <f t="shared" si="59"/>
        <v>1.0000000042574746</v>
      </c>
      <c r="AA314" s="19">
        <f t="shared" si="60"/>
        <v>1.0000000042574746</v>
      </c>
      <c r="AB314" t="str">
        <f t="shared" si="61"/>
        <v>Rusak Berat Dominan</v>
      </c>
      <c r="AC314" s="19">
        <f>IF(Dashboard!$B$7="Mantap (%)",X314,IF(Dashboard!$B$7="Tidak Mantap (%)",Z314,IF(Dashboard!$B$7="Baik (%)",P314,IF(Dashboard!$B$7="Sedang (%)",R314,IF(Dashboard!$B$7="Rusak Ringan (%)",T314,IF(Dashboard!$B$7="Rusak Berat (%)",V314,AA314))))))</f>
        <v>1.0000000042574746</v>
      </c>
      <c r="AD314" s="20">
        <f>IF(AND(AF314=1,E314&gt;=Dashboard!$B$10,IF(Dashboard!$B$9="≤ Maksimum",AC314&lt;=Dashboard!$B$8,AC314&gt;=Dashboard!$B$8)),1,0)</f>
        <v>1</v>
      </c>
      <c r="AE314" s="20">
        <f>IF(AD314=1,COUNTIFS($AD$2:$AD$351,1,$AC$2:$AC$351,"&gt;"&amp;AC314)+COUNTIFS($AD$2:AD314,1,$AC$2:AC314,AC314),"")</f>
        <v>29</v>
      </c>
      <c r="AF314" s="20">
        <f>IF(OR(Dashboard!$B$6="Semua",ISNUMBER(SEARCH(Dashboard!$B$6,D314))),1,0)</f>
        <v>1</v>
      </c>
      <c r="AG314" s="18">
        <f t="shared" si="62"/>
        <v>0.21</v>
      </c>
      <c r="AH314" s="18">
        <f t="shared" si="63"/>
        <v>0</v>
      </c>
      <c r="AI314" s="18">
        <f t="shared" si="64"/>
        <v>0.21000000089406967</v>
      </c>
      <c r="AJ314" s="18">
        <f t="shared" si="65"/>
        <v>0.21000000089406967</v>
      </c>
      <c r="AK314" s="20">
        <f>IF(OR(Ruas_Per_Kecamatan!$B$4="Semua",ISNUMBER(SEARCH(Ruas_Per_Kecamatan!$B$4,D314))),1,0)</f>
        <v>1</v>
      </c>
      <c r="AL314" s="20">
        <f>IF(AK314=1,COUNTIF($AK$2:AK314,1),"")</f>
        <v>313</v>
      </c>
      <c r="AM314" s="18">
        <f t="shared" si="66"/>
        <v>0.21</v>
      </c>
      <c r="AN314" s="18">
        <f t="shared" si="67"/>
        <v>0</v>
      </c>
      <c r="AO314" s="18">
        <f t="shared" si="68"/>
        <v>0.21000000089406967</v>
      </c>
      <c r="AP314" s="18">
        <f t="shared" si="69"/>
        <v>0.21000000089406967</v>
      </c>
    </row>
    <row r="315" spans="1:42" x14ac:dyDescent="0.25">
      <c r="A315" s="17">
        <v>314</v>
      </c>
      <c r="B315" s="17" t="s">
        <v>765</v>
      </c>
      <c r="C315" s="21" t="s">
        <v>368</v>
      </c>
      <c r="D315" s="17" t="s">
        <v>365</v>
      </c>
      <c r="E315" s="18">
        <v>0.35</v>
      </c>
      <c r="F315" s="18">
        <v>3</v>
      </c>
      <c r="G315" s="18">
        <v>0</v>
      </c>
      <c r="H315" s="18"/>
      <c r="I315" s="18">
        <v>2025</v>
      </c>
      <c r="J315" s="18">
        <v>0.34999999403953552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9">
        <v>0</v>
      </c>
      <c r="Q315" s="18">
        <v>0.15000000596046448</v>
      </c>
      <c r="R315" s="19">
        <v>0.42857144560132709</v>
      </c>
      <c r="S315" s="18">
        <v>0.10000000149011612</v>
      </c>
      <c r="T315" s="19">
        <v>0.28571428997176035</v>
      </c>
      <c r="U315" s="18">
        <v>0.10000000149011612</v>
      </c>
      <c r="V315" s="19">
        <v>0.28571428997176035</v>
      </c>
      <c r="W315">
        <f t="shared" si="56"/>
        <v>0.15000000596046448</v>
      </c>
      <c r="X315" s="19">
        <f t="shared" si="57"/>
        <v>0.42857144560132709</v>
      </c>
      <c r="Y315">
        <f t="shared" si="58"/>
        <v>0.20000000298023224</v>
      </c>
      <c r="Z315" s="19">
        <f t="shared" si="59"/>
        <v>0.5714285799435207</v>
      </c>
      <c r="AA315" s="19">
        <f t="shared" si="60"/>
        <v>0.56428572535514832</v>
      </c>
      <c r="AB315" t="str">
        <f t="shared" si="61"/>
        <v>Rusak Berat Dominan</v>
      </c>
      <c r="AC315" s="19">
        <f>IF(Dashboard!$B$7="Mantap (%)",X315,IF(Dashboard!$B$7="Tidak Mantap (%)",Z315,IF(Dashboard!$B$7="Baik (%)",P315,IF(Dashboard!$B$7="Sedang (%)",R315,IF(Dashboard!$B$7="Rusak Ringan (%)",T315,IF(Dashboard!$B$7="Rusak Berat (%)",V315,AA315))))))</f>
        <v>0.5714285799435207</v>
      </c>
      <c r="AD315" s="20">
        <f>IF(AND(AF315=1,E315&gt;=Dashboard!$B$10,IF(Dashboard!$B$9="≤ Maksimum",AC315&lt;=Dashboard!$B$8,AC315&gt;=Dashboard!$B$8)),1,0)</f>
        <v>1</v>
      </c>
      <c r="AE315" s="20">
        <f>IF(AD315=1,COUNTIFS($AD$2:$AD$351,1,$AC$2:$AC$351,"&gt;"&amp;AC315)+COUNTIFS($AD$2:AD315,1,$AC$2:AC315,AC315),"")</f>
        <v>110</v>
      </c>
      <c r="AF315" s="20">
        <f>IF(OR(Dashboard!$B$6="Semua",ISNUMBER(SEARCH(Dashboard!$B$6,D315))),1,0)</f>
        <v>1</v>
      </c>
      <c r="AG315" s="18">
        <f t="shared" si="62"/>
        <v>0.35</v>
      </c>
      <c r="AH315" s="18">
        <f t="shared" si="63"/>
        <v>0.15000000596046448</v>
      </c>
      <c r="AI315" s="18">
        <f t="shared" si="64"/>
        <v>0.20000000298023224</v>
      </c>
      <c r="AJ315" s="18">
        <f t="shared" si="65"/>
        <v>0.10000000149011612</v>
      </c>
      <c r="AK315" s="20">
        <f>IF(OR(Ruas_Per_Kecamatan!$B$4="Semua",ISNUMBER(SEARCH(Ruas_Per_Kecamatan!$B$4,D315))),1,0)</f>
        <v>1</v>
      </c>
      <c r="AL315" s="20">
        <f>IF(AK315=1,COUNTIF($AK$2:AK315,1),"")</f>
        <v>314</v>
      </c>
      <c r="AM315" s="18">
        <f t="shared" si="66"/>
        <v>0.35</v>
      </c>
      <c r="AN315" s="18">
        <f t="shared" si="67"/>
        <v>0.15000000596046448</v>
      </c>
      <c r="AO315" s="18">
        <f t="shared" si="68"/>
        <v>0.20000000298023224</v>
      </c>
      <c r="AP315" s="18">
        <f t="shared" si="69"/>
        <v>0.10000000149011612</v>
      </c>
    </row>
    <row r="316" spans="1:42" x14ac:dyDescent="0.25">
      <c r="A316" s="17">
        <v>315</v>
      </c>
      <c r="B316" s="17" t="s">
        <v>766</v>
      </c>
      <c r="C316" s="21" t="s">
        <v>369</v>
      </c>
      <c r="D316" s="17" t="s">
        <v>365</v>
      </c>
      <c r="E316" s="18">
        <v>0.31</v>
      </c>
      <c r="F316" s="18">
        <v>3</v>
      </c>
      <c r="G316" s="18">
        <v>0</v>
      </c>
      <c r="H316" s="18"/>
      <c r="I316" s="18">
        <v>2025</v>
      </c>
      <c r="J316" s="18">
        <v>0.31000000238418579</v>
      </c>
      <c r="K316" s="18">
        <v>0</v>
      </c>
      <c r="L316" s="18">
        <v>0</v>
      </c>
      <c r="M316" s="18">
        <v>0</v>
      </c>
      <c r="N316" s="18">
        <v>0</v>
      </c>
      <c r="O316" s="18">
        <v>0.20000000298023224</v>
      </c>
      <c r="P316" s="19">
        <v>0.64516129993623306</v>
      </c>
      <c r="Q316" s="18">
        <v>0</v>
      </c>
      <c r="R316" s="19">
        <v>0</v>
      </c>
      <c r="S316" s="18">
        <v>0</v>
      </c>
      <c r="T316" s="19">
        <v>0</v>
      </c>
      <c r="U316" s="18">
        <v>0.10999999940395355</v>
      </c>
      <c r="V316" s="19">
        <v>0.3548387077546889</v>
      </c>
      <c r="W316">
        <f t="shared" si="56"/>
        <v>0.20000000298023224</v>
      </c>
      <c r="X316" s="19">
        <f t="shared" si="57"/>
        <v>0.64516129993623306</v>
      </c>
      <c r="Y316">
        <f t="shared" si="58"/>
        <v>0.10999999940395355</v>
      </c>
      <c r="Z316" s="19">
        <f t="shared" si="59"/>
        <v>0.3548387077546889</v>
      </c>
      <c r="AA316" s="19">
        <f t="shared" si="60"/>
        <v>0.3548387077546889</v>
      </c>
      <c r="AB316" t="str">
        <f t="shared" si="61"/>
        <v>Rusak Berat Dominan</v>
      </c>
      <c r="AC316" s="19">
        <f>IF(Dashboard!$B$7="Mantap (%)",X316,IF(Dashboard!$B$7="Tidak Mantap (%)",Z316,IF(Dashboard!$B$7="Baik (%)",P316,IF(Dashboard!$B$7="Sedang (%)",R316,IF(Dashboard!$B$7="Rusak Ringan (%)",T316,IF(Dashboard!$B$7="Rusak Berat (%)",V316,AA316))))))</f>
        <v>0.3548387077546889</v>
      </c>
      <c r="AD316" s="20">
        <f>IF(AND(AF316=1,E316&gt;=Dashboard!$B$10,IF(Dashboard!$B$9="≤ Maksimum",AC316&lt;=Dashboard!$B$8,AC316&gt;=Dashboard!$B$8)),1,0)</f>
        <v>1</v>
      </c>
      <c r="AE316" s="20">
        <f>IF(AD316=1,COUNTIFS($AD$2:$AD$351,1,$AC$2:$AC$351,"&gt;"&amp;AC316)+COUNTIFS($AD$2:AD316,1,$AC$2:AC316,AC316),"")</f>
        <v>159</v>
      </c>
      <c r="AF316" s="20">
        <f>IF(OR(Dashboard!$B$6="Semua",ISNUMBER(SEARCH(Dashboard!$B$6,D316))),1,0)</f>
        <v>1</v>
      </c>
      <c r="AG316" s="18">
        <f t="shared" si="62"/>
        <v>0.31</v>
      </c>
      <c r="AH316" s="18">
        <f t="shared" si="63"/>
        <v>0.20000000298023224</v>
      </c>
      <c r="AI316" s="18">
        <f t="shared" si="64"/>
        <v>0.10999999940395355</v>
      </c>
      <c r="AJ316" s="18">
        <f t="shared" si="65"/>
        <v>0.10999999940395355</v>
      </c>
      <c r="AK316" s="20">
        <f>IF(OR(Ruas_Per_Kecamatan!$B$4="Semua",ISNUMBER(SEARCH(Ruas_Per_Kecamatan!$B$4,D316))),1,0)</f>
        <v>1</v>
      </c>
      <c r="AL316" s="20">
        <f>IF(AK316=1,COUNTIF($AK$2:AK316,1),"")</f>
        <v>315</v>
      </c>
      <c r="AM316" s="18">
        <f t="shared" si="66"/>
        <v>0.31</v>
      </c>
      <c r="AN316" s="18">
        <f t="shared" si="67"/>
        <v>0.20000000298023224</v>
      </c>
      <c r="AO316" s="18">
        <f t="shared" si="68"/>
        <v>0.10999999940395355</v>
      </c>
      <c r="AP316" s="18">
        <f t="shared" si="69"/>
        <v>0.10999999940395355</v>
      </c>
    </row>
    <row r="317" spans="1:42" x14ac:dyDescent="0.25">
      <c r="A317" s="17">
        <v>316</v>
      </c>
      <c r="B317" s="17" t="s">
        <v>767</v>
      </c>
      <c r="C317" s="21" t="s">
        <v>370</v>
      </c>
      <c r="D317" s="17" t="s">
        <v>365</v>
      </c>
      <c r="E317" s="18">
        <v>0.34</v>
      </c>
      <c r="F317" s="18">
        <v>3.5</v>
      </c>
      <c r="G317" s="18">
        <v>0</v>
      </c>
      <c r="H317" s="18"/>
      <c r="I317" s="18">
        <v>2025</v>
      </c>
      <c r="J317" s="18">
        <v>0.34000000357627869</v>
      </c>
      <c r="K317" s="18">
        <v>0</v>
      </c>
      <c r="L317" s="18">
        <v>0</v>
      </c>
      <c r="M317" s="18">
        <v>0</v>
      </c>
      <c r="N317" s="18">
        <v>0</v>
      </c>
      <c r="O317" s="18">
        <v>0.34000000357627869</v>
      </c>
      <c r="P317" s="19">
        <v>1.0000000105184665</v>
      </c>
      <c r="Q317" s="18">
        <v>0</v>
      </c>
      <c r="R317" s="19">
        <v>0</v>
      </c>
      <c r="S317" s="18">
        <v>0</v>
      </c>
      <c r="T317" s="19">
        <v>0</v>
      </c>
      <c r="U317" s="18">
        <v>0</v>
      </c>
      <c r="V317" s="19">
        <v>0</v>
      </c>
      <c r="W317">
        <f t="shared" si="56"/>
        <v>0.34000000357627869</v>
      </c>
      <c r="X317" s="19">
        <f t="shared" si="57"/>
        <v>1.0000000105184665</v>
      </c>
      <c r="Y317">
        <f t="shared" si="58"/>
        <v>0</v>
      </c>
      <c r="Z317" s="19">
        <f t="shared" si="59"/>
        <v>0</v>
      </c>
      <c r="AA317" s="19">
        <f t="shared" si="60"/>
        <v>0</v>
      </c>
      <c r="AB317" t="str">
        <f t="shared" si="61"/>
        <v>Relatif Mantap</v>
      </c>
      <c r="AC317" s="19">
        <f>IF(Dashboard!$B$7="Mantap (%)",X317,IF(Dashboard!$B$7="Tidak Mantap (%)",Z317,IF(Dashboard!$B$7="Baik (%)",P317,IF(Dashboard!$B$7="Sedang (%)",R317,IF(Dashboard!$B$7="Rusak Ringan (%)",T317,IF(Dashboard!$B$7="Rusak Berat (%)",V317,AA317))))))</f>
        <v>0</v>
      </c>
      <c r="AD317" s="20">
        <f>IF(AND(AF317=1,E317&gt;=Dashboard!$B$10,IF(Dashboard!$B$9="≤ Maksimum",AC317&lt;=Dashboard!$B$8,AC317&gt;=Dashboard!$B$8)),1,0)</f>
        <v>0</v>
      </c>
      <c r="AE317" s="20" t="str">
        <f>IF(AD317=1,COUNTIFS($AD$2:$AD$351,1,$AC$2:$AC$351,"&gt;"&amp;AC317)+COUNTIFS($AD$2:AD317,1,$AC$2:AC317,AC317),"")</f>
        <v/>
      </c>
      <c r="AF317" s="20">
        <f>IF(OR(Dashboard!$B$6="Semua",ISNUMBER(SEARCH(Dashboard!$B$6,D317))),1,0)</f>
        <v>1</v>
      </c>
      <c r="AG317" s="18">
        <f t="shared" si="62"/>
        <v>0.34</v>
      </c>
      <c r="AH317" s="18">
        <f t="shared" si="63"/>
        <v>0.34000000357627869</v>
      </c>
      <c r="AI317" s="18">
        <f t="shared" si="64"/>
        <v>0</v>
      </c>
      <c r="AJ317" s="18">
        <f t="shared" si="65"/>
        <v>0</v>
      </c>
      <c r="AK317" s="20">
        <f>IF(OR(Ruas_Per_Kecamatan!$B$4="Semua",ISNUMBER(SEARCH(Ruas_Per_Kecamatan!$B$4,D317))),1,0)</f>
        <v>1</v>
      </c>
      <c r="AL317" s="20">
        <f>IF(AK317=1,COUNTIF($AK$2:AK317,1),"")</f>
        <v>316</v>
      </c>
      <c r="AM317" s="18">
        <f t="shared" si="66"/>
        <v>0.34</v>
      </c>
      <c r="AN317" s="18">
        <f t="shared" si="67"/>
        <v>0.34000000357627869</v>
      </c>
      <c r="AO317" s="18">
        <f t="shared" si="68"/>
        <v>0</v>
      </c>
      <c r="AP317" s="18">
        <f t="shared" si="69"/>
        <v>0</v>
      </c>
    </row>
    <row r="318" spans="1:42" x14ac:dyDescent="0.25">
      <c r="A318" s="17">
        <v>317</v>
      </c>
      <c r="B318" s="17" t="s">
        <v>768</v>
      </c>
      <c r="C318" s="21" t="s">
        <v>371</v>
      </c>
      <c r="D318" s="17" t="s">
        <v>365</v>
      </c>
      <c r="E318" s="18">
        <v>0.32</v>
      </c>
      <c r="F318" s="18">
        <v>3</v>
      </c>
      <c r="G318" s="18">
        <v>0</v>
      </c>
      <c r="H318" s="18"/>
      <c r="I318" s="18">
        <v>2025</v>
      </c>
      <c r="J318" s="18">
        <v>0.31999999284744263</v>
      </c>
      <c r="K318" s="18">
        <v>0</v>
      </c>
      <c r="L318" s="18">
        <v>0</v>
      </c>
      <c r="M318" s="18">
        <v>0</v>
      </c>
      <c r="N318" s="18">
        <v>0</v>
      </c>
      <c r="O318" s="18">
        <v>0.31999999284744263</v>
      </c>
      <c r="P318" s="19">
        <v>0.99999997764825821</v>
      </c>
      <c r="Q318" s="18">
        <v>0</v>
      </c>
      <c r="R318" s="19">
        <v>0</v>
      </c>
      <c r="S318" s="18">
        <v>0</v>
      </c>
      <c r="T318" s="19">
        <v>0</v>
      </c>
      <c r="U318" s="18">
        <v>0</v>
      </c>
      <c r="V318" s="19">
        <v>0</v>
      </c>
      <c r="W318">
        <f t="shared" si="56"/>
        <v>0.31999999284744263</v>
      </c>
      <c r="X318" s="19">
        <f t="shared" si="57"/>
        <v>0.99999997764825821</v>
      </c>
      <c r="Y318">
        <f t="shared" si="58"/>
        <v>0</v>
      </c>
      <c r="Z318" s="19">
        <f t="shared" si="59"/>
        <v>0</v>
      </c>
      <c r="AA318" s="19">
        <f t="shared" si="60"/>
        <v>0</v>
      </c>
      <c r="AB318" t="str">
        <f t="shared" si="61"/>
        <v>Relatif Mantap</v>
      </c>
      <c r="AC318" s="19">
        <f>IF(Dashboard!$B$7="Mantap (%)",X318,IF(Dashboard!$B$7="Tidak Mantap (%)",Z318,IF(Dashboard!$B$7="Baik (%)",P318,IF(Dashboard!$B$7="Sedang (%)",R318,IF(Dashboard!$B$7="Rusak Ringan (%)",T318,IF(Dashboard!$B$7="Rusak Berat (%)",V318,AA318))))))</f>
        <v>0</v>
      </c>
      <c r="AD318" s="20">
        <f>IF(AND(AF318=1,E318&gt;=Dashboard!$B$10,IF(Dashboard!$B$9="≤ Maksimum",AC318&lt;=Dashboard!$B$8,AC318&gt;=Dashboard!$B$8)),1,0)</f>
        <v>0</v>
      </c>
      <c r="AE318" s="20" t="str">
        <f>IF(AD318=1,COUNTIFS($AD$2:$AD$351,1,$AC$2:$AC$351,"&gt;"&amp;AC318)+COUNTIFS($AD$2:AD318,1,$AC$2:AC318,AC318),"")</f>
        <v/>
      </c>
      <c r="AF318" s="20">
        <f>IF(OR(Dashboard!$B$6="Semua",ISNUMBER(SEARCH(Dashboard!$B$6,D318))),1,0)</f>
        <v>1</v>
      </c>
      <c r="AG318" s="18">
        <f t="shared" si="62"/>
        <v>0.32</v>
      </c>
      <c r="AH318" s="18">
        <f t="shared" si="63"/>
        <v>0.31999999284744263</v>
      </c>
      <c r="AI318" s="18">
        <f t="shared" si="64"/>
        <v>0</v>
      </c>
      <c r="AJ318" s="18">
        <f t="shared" si="65"/>
        <v>0</v>
      </c>
      <c r="AK318" s="20">
        <f>IF(OR(Ruas_Per_Kecamatan!$B$4="Semua",ISNUMBER(SEARCH(Ruas_Per_Kecamatan!$B$4,D318))),1,0)</f>
        <v>1</v>
      </c>
      <c r="AL318" s="20">
        <f>IF(AK318=1,COUNTIF($AK$2:AK318,1),"")</f>
        <v>317</v>
      </c>
      <c r="AM318" s="18">
        <f t="shared" si="66"/>
        <v>0.32</v>
      </c>
      <c r="AN318" s="18">
        <f t="shared" si="67"/>
        <v>0.31999999284744263</v>
      </c>
      <c r="AO318" s="18">
        <f t="shared" si="68"/>
        <v>0</v>
      </c>
      <c r="AP318" s="18">
        <f t="shared" si="69"/>
        <v>0</v>
      </c>
    </row>
    <row r="319" spans="1:42" x14ac:dyDescent="0.25">
      <c r="A319" s="17">
        <v>318</v>
      </c>
      <c r="B319" s="17" t="s">
        <v>769</v>
      </c>
      <c r="C319" s="21" t="s">
        <v>372</v>
      </c>
      <c r="D319" s="17" t="s">
        <v>365</v>
      </c>
      <c r="E319" s="18">
        <v>0.28000000000000003</v>
      </c>
      <c r="F319" s="18">
        <v>3</v>
      </c>
      <c r="G319" s="18">
        <v>0</v>
      </c>
      <c r="H319" s="18"/>
      <c r="I319" s="18">
        <v>2025</v>
      </c>
      <c r="J319" s="18">
        <v>0.2800000011920929</v>
      </c>
      <c r="K319" s="18">
        <v>0</v>
      </c>
      <c r="L319" s="18">
        <v>0</v>
      </c>
      <c r="M319" s="18">
        <v>0</v>
      </c>
      <c r="N319" s="18">
        <v>0</v>
      </c>
      <c r="O319" s="18">
        <v>0.2800000011920929</v>
      </c>
      <c r="P319" s="19">
        <v>1.0000000042574746</v>
      </c>
      <c r="Q319" s="18">
        <v>0</v>
      </c>
      <c r="R319" s="19">
        <v>0</v>
      </c>
      <c r="S319" s="18">
        <v>0</v>
      </c>
      <c r="T319" s="19">
        <v>0</v>
      </c>
      <c r="U319" s="18">
        <v>0</v>
      </c>
      <c r="V319" s="19">
        <v>0</v>
      </c>
      <c r="W319">
        <f t="shared" si="56"/>
        <v>0.2800000011920929</v>
      </c>
      <c r="X319" s="19">
        <f t="shared" si="57"/>
        <v>1.0000000042574746</v>
      </c>
      <c r="Y319">
        <f t="shared" si="58"/>
        <v>0</v>
      </c>
      <c r="Z319" s="19">
        <f t="shared" si="59"/>
        <v>0</v>
      </c>
      <c r="AA319" s="19">
        <f t="shared" si="60"/>
        <v>0</v>
      </c>
      <c r="AB319" t="str">
        <f t="shared" si="61"/>
        <v>Relatif Mantap</v>
      </c>
      <c r="AC319" s="19">
        <f>IF(Dashboard!$B$7="Mantap (%)",X319,IF(Dashboard!$B$7="Tidak Mantap (%)",Z319,IF(Dashboard!$B$7="Baik (%)",P319,IF(Dashboard!$B$7="Sedang (%)",R319,IF(Dashboard!$B$7="Rusak Ringan (%)",T319,IF(Dashboard!$B$7="Rusak Berat (%)",V319,AA319))))))</f>
        <v>0</v>
      </c>
      <c r="AD319" s="20">
        <f>IF(AND(AF319=1,E319&gt;=Dashboard!$B$10,IF(Dashboard!$B$9="≤ Maksimum",AC319&lt;=Dashboard!$B$8,AC319&gt;=Dashboard!$B$8)),1,0)</f>
        <v>0</v>
      </c>
      <c r="AE319" s="20" t="str">
        <f>IF(AD319=1,COUNTIFS($AD$2:$AD$351,1,$AC$2:$AC$351,"&gt;"&amp;AC319)+COUNTIFS($AD$2:AD319,1,$AC$2:AC319,AC319),"")</f>
        <v/>
      </c>
      <c r="AF319" s="20">
        <f>IF(OR(Dashboard!$B$6="Semua",ISNUMBER(SEARCH(Dashboard!$B$6,D319))),1,0)</f>
        <v>1</v>
      </c>
      <c r="AG319" s="18">
        <f t="shared" si="62"/>
        <v>0.28000000000000003</v>
      </c>
      <c r="AH319" s="18">
        <f t="shared" si="63"/>
        <v>0.2800000011920929</v>
      </c>
      <c r="AI319" s="18">
        <f t="shared" si="64"/>
        <v>0</v>
      </c>
      <c r="AJ319" s="18">
        <f t="shared" si="65"/>
        <v>0</v>
      </c>
      <c r="AK319" s="20">
        <f>IF(OR(Ruas_Per_Kecamatan!$B$4="Semua",ISNUMBER(SEARCH(Ruas_Per_Kecamatan!$B$4,D319))),1,0)</f>
        <v>1</v>
      </c>
      <c r="AL319" s="20">
        <f>IF(AK319=1,COUNTIF($AK$2:AK319,1),"")</f>
        <v>318</v>
      </c>
      <c r="AM319" s="18">
        <f t="shared" si="66"/>
        <v>0.28000000000000003</v>
      </c>
      <c r="AN319" s="18">
        <f t="shared" si="67"/>
        <v>0.2800000011920929</v>
      </c>
      <c r="AO319" s="18">
        <f t="shared" si="68"/>
        <v>0</v>
      </c>
      <c r="AP319" s="18">
        <f t="shared" si="69"/>
        <v>0</v>
      </c>
    </row>
    <row r="320" spans="1:42" x14ac:dyDescent="0.25">
      <c r="A320" s="17">
        <v>319</v>
      </c>
      <c r="B320" s="17" t="s">
        <v>770</v>
      </c>
      <c r="C320" s="21" t="s">
        <v>373</v>
      </c>
      <c r="D320" s="17" t="s">
        <v>365</v>
      </c>
      <c r="E320" s="18">
        <v>0.17</v>
      </c>
      <c r="F320" s="18">
        <v>3</v>
      </c>
      <c r="G320" s="18">
        <v>0</v>
      </c>
      <c r="H320" s="18"/>
      <c r="I320" s="18">
        <v>2025</v>
      </c>
      <c r="J320" s="18">
        <v>0.17000000178813934</v>
      </c>
      <c r="K320" s="18">
        <v>0</v>
      </c>
      <c r="L320" s="18">
        <v>0</v>
      </c>
      <c r="M320" s="18">
        <v>0</v>
      </c>
      <c r="N320" s="18">
        <v>0</v>
      </c>
      <c r="O320" s="18">
        <v>0.17000000178813934</v>
      </c>
      <c r="P320" s="19">
        <v>1.0000000105184665</v>
      </c>
      <c r="Q320" s="18">
        <v>0</v>
      </c>
      <c r="R320" s="19">
        <v>0</v>
      </c>
      <c r="S320" s="18">
        <v>0</v>
      </c>
      <c r="T320" s="19">
        <v>0</v>
      </c>
      <c r="U320" s="18">
        <v>0</v>
      </c>
      <c r="V320" s="19">
        <v>0</v>
      </c>
      <c r="W320">
        <f t="shared" si="56"/>
        <v>0.17000000178813934</v>
      </c>
      <c r="X320" s="19">
        <f t="shared" si="57"/>
        <v>1.0000000105184665</v>
      </c>
      <c r="Y320">
        <f t="shared" si="58"/>
        <v>0</v>
      </c>
      <c r="Z320" s="19">
        <f t="shared" si="59"/>
        <v>0</v>
      </c>
      <c r="AA320" s="19">
        <f t="shared" si="60"/>
        <v>0</v>
      </c>
      <c r="AB320" t="str">
        <f t="shared" si="61"/>
        <v>Relatif Mantap</v>
      </c>
      <c r="AC320" s="19">
        <f>IF(Dashboard!$B$7="Mantap (%)",X320,IF(Dashboard!$B$7="Tidak Mantap (%)",Z320,IF(Dashboard!$B$7="Baik (%)",P320,IF(Dashboard!$B$7="Sedang (%)",R320,IF(Dashboard!$B$7="Rusak Ringan (%)",T320,IF(Dashboard!$B$7="Rusak Berat (%)",V320,AA320))))))</f>
        <v>0</v>
      </c>
      <c r="AD320" s="20">
        <f>IF(AND(AF320=1,E320&gt;=Dashboard!$B$10,IF(Dashboard!$B$9="≤ Maksimum",AC320&lt;=Dashboard!$B$8,AC320&gt;=Dashboard!$B$8)),1,0)</f>
        <v>0</v>
      </c>
      <c r="AE320" s="20" t="str">
        <f>IF(AD320=1,COUNTIFS($AD$2:$AD$351,1,$AC$2:$AC$351,"&gt;"&amp;AC320)+COUNTIFS($AD$2:AD320,1,$AC$2:AC320,AC320),"")</f>
        <v/>
      </c>
      <c r="AF320" s="20">
        <f>IF(OR(Dashboard!$B$6="Semua",ISNUMBER(SEARCH(Dashboard!$B$6,D320))),1,0)</f>
        <v>1</v>
      </c>
      <c r="AG320" s="18">
        <f t="shared" si="62"/>
        <v>0.17</v>
      </c>
      <c r="AH320" s="18">
        <f t="shared" si="63"/>
        <v>0.17000000178813934</v>
      </c>
      <c r="AI320" s="18">
        <f t="shared" si="64"/>
        <v>0</v>
      </c>
      <c r="AJ320" s="18">
        <f t="shared" si="65"/>
        <v>0</v>
      </c>
      <c r="AK320" s="20">
        <f>IF(OR(Ruas_Per_Kecamatan!$B$4="Semua",ISNUMBER(SEARCH(Ruas_Per_Kecamatan!$B$4,D320))),1,0)</f>
        <v>1</v>
      </c>
      <c r="AL320" s="20">
        <f>IF(AK320=1,COUNTIF($AK$2:AK320,1),"")</f>
        <v>319</v>
      </c>
      <c r="AM320" s="18">
        <f t="shared" si="66"/>
        <v>0.17</v>
      </c>
      <c r="AN320" s="18">
        <f t="shared" si="67"/>
        <v>0.17000000178813934</v>
      </c>
      <c r="AO320" s="18">
        <f t="shared" si="68"/>
        <v>0</v>
      </c>
      <c r="AP320" s="18">
        <f t="shared" si="69"/>
        <v>0</v>
      </c>
    </row>
    <row r="321" spans="1:42" x14ac:dyDescent="0.25">
      <c r="A321" s="17">
        <v>320</v>
      </c>
      <c r="B321" s="17" t="s">
        <v>771</v>
      </c>
      <c r="C321" s="21" t="s">
        <v>374</v>
      </c>
      <c r="D321" s="17" t="s">
        <v>365</v>
      </c>
      <c r="E321" s="18">
        <v>0.73</v>
      </c>
      <c r="F321" s="18">
        <v>3</v>
      </c>
      <c r="G321" s="18">
        <v>0</v>
      </c>
      <c r="H321" s="18"/>
      <c r="I321" s="18">
        <v>2025</v>
      </c>
      <c r="J321" s="18">
        <v>0.73000001907348633</v>
      </c>
      <c r="K321" s="18">
        <v>0</v>
      </c>
      <c r="L321" s="18">
        <v>0</v>
      </c>
      <c r="M321" s="18">
        <v>0</v>
      </c>
      <c r="N321" s="18">
        <v>0</v>
      </c>
      <c r="O321" s="18">
        <v>0.73000001907348633</v>
      </c>
      <c r="P321" s="19">
        <v>1.0000000261280635</v>
      </c>
      <c r="Q321" s="18">
        <v>0</v>
      </c>
      <c r="R321" s="19">
        <v>0</v>
      </c>
      <c r="S321" s="18">
        <v>0</v>
      </c>
      <c r="T321" s="19">
        <v>0</v>
      </c>
      <c r="U321" s="18">
        <v>0</v>
      </c>
      <c r="V321" s="19">
        <v>0</v>
      </c>
      <c r="W321">
        <f t="shared" si="56"/>
        <v>0.73000001907348633</v>
      </c>
      <c r="X321" s="19">
        <f t="shared" si="57"/>
        <v>1.0000000261280635</v>
      </c>
      <c r="Y321">
        <f t="shared" si="58"/>
        <v>0</v>
      </c>
      <c r="Z321" s="19">
        <f t="shared" si="59"/>
        <v>0</v>
      </c>
      <c r="AA321" s="19">
        <f t="shared" si="60"/>
        <v>0</v>
      </c>
      <c r="AB321" t="str">
        <f t="shared" si="61"/>
        <v>Relatif Mantap</v>
      </c>
      <c r="AC321" s="19">
        <f>IF(Dashboard!$B$7="Mantap (%)",X321,IF(Dashboard!$B$7="Tidak Mantap (%)",Z321,IF(Dashboard!$B$7="Baik (%)",P321,IF(Dashboard!$B$7="Sedang (%)",R321,IF(Dashboard!$B$7="Rusak Ringan (%)",T321,IF(Dashboard!$B$7="Rusak Berat (%)",V321,AA321))))))</f>
        <v>0</v>
      </c>
      <c r="AD321" s="20">
        <f>IF(AND(AF321=1,E321&gt;=Dashboard!$B$10,IF(Dashboard!$B$9="≤ Maksimum",AC321&lt;=Dashboard!$B$8,AC321&gt;=Dashboard!$B$8)),1,0)</f>
        <v>0</v>
      </c>
      <c r="AE321" s="20" t="str">
        <f>IF(AD321=1,COUNTIFS($AD$2:$AD$351,1,$AC$2:$AC$351,"&gt;"&amp;AC321)+COUNTIFS($AD$2:AD321,1,$AC$2:AC321,AC321),"")</f>
        <v/>
      </c>
      <c r="AF321" s="20">
        <f>IF(OR(Dashboard!$B$6="Semua",ISNUMBER(SEARCH(Dashboard!$B$6,D321))),1,0)</f>
        <v>1</v>
      </c>
      <c r="AG321" s="18">
        <f t="shared" si="62"/>
        <v>0.73</v>
      </c>
      <c r="AH321" s="18">
        <f t="shared" si="63"/>
        <v>0.73000001907348633</v>
      </c>
      <c r="AI321" s="18">
        <f t="shared" si="64"/>
        <v>0</v>
      </c>
      <c r="AJ321" s="18">
        <f t="shared" si="65"/>
        <v>0</v>
      </c>
      <c r="AK321" s="20">
        <f>IF(OR(Ruas_Per_Kecamatan!$B$4="Semua",ISNUMBER(SEARCH(Ruas_Per_Kecamatan!$B$4,D321))),1,0)</f>
        <v>1</v>
      </c>
      <c r="AL321" s="20">
        <f>IF(AK321=1,COUNTIF($AK$2:AK321,1),"")</f>
        <v>320</v>
      </c>
      <c r="AM321" s="18">
        <f t="shared" si="66"/>
        <v>0.73</v>
      </c>
      <c r="AN321" s="18">
        <f t="shared" si="67"/>
        <v>0.73000001907348633</v>
      </c>
      <c r="AO321" s="18">
        <f t="shared" si="68"/>
        <v>0</v>
      </c>
      <c r="AP321" s="18">
        <f t="shared" si="69"/>
        <v>0</v>
      </c>
    </row>
    <row r="322" spans="1:42" x14ac:dyDescent="0.25">
      <c r="A322" s="17">
        <v>321</v>
      </c>
      <c r="B322" s="17" t="s">
        <v>772</v>
      </c>
      <c r="C322" s="21" t="s">
        <v>375</v>
      </c>
      <c r="D322" s="17" t="s">
        <v>365</v>
      </c>
      <c r="E322" s="18">
        <v>0.32</v>
      </c>
      <c r="F322" s="18">
        <v>3.5</v>
      </c>
      <c r="G322" s="18">
        <v>0</v>
      </c>
      <c r="H322" s="18"/>
      <c r="I322" s="18">
        <v>2025</v>
      </c>
      <c r="J322" s="18">
        <v>0.31999999284744263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9">
        <v>0</v>
      </c>
      <c r="Q322" s="18">
        <v>0.31999999284744263</v>
      </c>
      <c r="R322" s="19">
        <v>0.99999997764825821</v>
      </c>
      <c r="S322" s="18">
        <v>0</v>
      </c>
      <c r="T322" s="19">
        <v>0</v>
      </c>
      <c r="U322" s="18">
        <v>0</v>
      </c>
      <c r="V322" s="19">
        <v>0</v>
      </c>
      <c r="W322">
        <f t="shared" ref="W322:W351" si="70">O322+Q322</f>
        <v>0.31999999284744263</v>
      </c>
      <c r="X322" s="19">
        <f t="shared" ref="X322:X385" si="71">IFERROR(W322/E322,0)</f>
        <v>0.99999997764825821</v>
      </c>
      <c r="Y322">
        <f t="shared" ref="Y322:Y351" si="72">S322+U322</f>
        <v>0</v>
      </c>
      <c r="Z322" s="19">
        <f t="shared" ref="Z322:Z385" si="73">IFERROR(Y322/E322,0)</f>
        <v>0</v>
      </c>
      <c r="AA322" s="19">
        <f t="shared" ref="AA322:AA351" si="74">0.25*R322+0.6*T322+V322</f>
        <v>0.24999999441206455</v>
      </c>
      <c r="AB322" t="str">
        <f t="shared" ref="AB322:AB351" si="75">IF(V322&gt;=0.2,"Rusak Berat Dominan",IF(Z322&gt;=0.5,"Tidak Mantap Tinggi",IF(Z322&gt;=0.2,"Tidak Mantap Sedang","Relatif Mantap")))</f>
        <v>Relatif Mantap</v>
      </c>
      <c r="AC322" s="19">
        <f>IF(Dashboard!$B$7="Mantap (%)",X322,IF(Dashboard!$B$7="Tidak Mantap (%)",Z322,IF(Dashboard!$B$7="Baik (%)",P322,IF(Dashboard!$B$7="Sedang (%)",R322,IF(Dashboard!$B$7="Rusak Ringan (%)",T322,IF(Dashboard!$B$7="Rusak Berat (%)",V322,AA322))))))</f>
        <v>0</v>
      </c>
      <c r="AD322" s="20">
        <f>IF(AND(AF322=1,E322&gt;=Dashboard!$B$10,IF(Dashboard!$B$9="≤ Maksimum",AC322&lt;=Dashboard!$B$8,AC322&gt;=Dashboard!$B$8)),1,0)</f>
        <v>0</v>
      </c>
      <c r="AE322" s="20" t="str">
        <f>IF(AD322=1,COUNTIFS($AD$2:$AD$351,1,$AC$2:$AC$351,"&gt;"&amp;AC322)+COUNTIFS($AD$2:AD322,1,$AC$2:AC322,AC322),"")</f>
        <v/>
      </c>
      <c r="AF322" s="20">
        <f>IF(OR(Dashboard!$B$6="Semua",ISNUMBER(SEARCH(Dashboard!$B$6,D322))),1,0)</f>
        <v>1</v>
      </c>
      <c r="AG322" s="18">
        <f t="shared" ref="AG322:AG385" si="76">AF322*E322</f>
        <v>0.32</v>
      </c>
      <c r="AH322" s="18">
        <f t="shared" ref="AH322:AH351" si="77">AF322*W322</f>
        <v>0.31999999284744263</v>
      </c>
      <c r="AI322" s="18">
        <f t="shared" ref="AI322:AI351" si="78">AF322*Y322</f>
        <v>0</v>
      </c>
      <c r="AJ322" s="18">
        <f t="shared" ref="AJ322:AJ351" si="79">AF322*U322</f>
        <v>0</v>
      </c>
      <c r="AK322" s="20">
        <f>IF(OR(Ruas_Per_Kecamatan!$B$4="Semua",ISNUMBER(SEARCH(Ruas_Per_Kecamatan!$B$4,D322))),1,0)</f>
        <v>1</v>
      </c>
      <c r="AL322" s="20">
        <f>IF(AK322=1,COUNTIF($AK$2:AK322,1),"")</f>
        <v>321</v>
      </c>
      <c r="AM322" s="18">
        <f t="shared" ref="AM322:AM351" si="80">AK322*E322</f>
        <v>0.32</v>
      </c>
      <c r="AN322" s="18">
        <f t="shared" ref="AN322:AN351" si="81">AK322*W322</f>
        <v>0.31999999284744263</v>
      </c>
      <c r="AO322" s="18">
        <f t="shared" ref="AO322:AO351" si="82">AK322*Y322</f>
        <v>0</v>
      </c>
      <c r="AP322" s="18">
        <f t="shared" ref="AP322:AP351" si="83">AK322*U322</f>
        <v>0</v>
      </c>
    </row>
    <row r="323" spans="1:42" x14ac:dyDescent="0.25">
      <c r="A323" s="17">
        <v>322</v>
      </c>
      <c r="B323" s="17" t="s">
        <v>773</v>
      </c>
      <c r="C323" s="21" t="s">
        <v>376</v>
      </c>
      <c r="D323" s="17" t="s">
        <v>365</v>
      </c>
      <c r="E323" s="18">
        <v>0.28999999999999998</v>
      </c>
      <c r="F323" s="18">
        <v>3.5</v>
      </c>
      <c r="G323" s="18">
        <v>0</v>
      </c>
      <c r="H323" s="18"/>
      <c r="I323" s="18">
        <v>2025</v>
      </c>
      <c r="J323" s="18">
        <v>0.28999999165534973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9">
        <v>0</v>
      </c>
      <c r="Q323" s="18">
        <v>0.28999999165534973</v>
      </c>
      <c r="R323" s="19">
        <v>0.99999997122534401</v>
      </c>
      <c r="S323" s="18">
        <v>0</v>
      </c>
      <c r="T323" s="19">
        <v>0</v>
      </c>
      <c r="U323" s="18">
        <v>0</v>
      </c>
      <c r="V323" s="19">
        <v>0</v>
      </c>
      <c r="W323">
        <f t="shared" si="70"/>
        <v>0.28999999165534973</v>
      </c>
      <c r="X323" s="19">
        <f t="shared" si="71"/>
        <v>0.99999997122534401</v>
      </c>
      <c r="Y323">
        <f t="shared" si="72"/>
        <v>0</v>
      </c>
      <c r="Z323" s="19">
        <f t="shared" si="73"/>
        <v>0</v>
      </c>
      <c r="AA323" s="19">
        <f t="shared" si="74"/>
        <v>0.249999992806336</v>
      </c>
      <c r="AB323" t="str">
        <f t="shared" si="75"/>
        <v>Relatif Mantap</v>
      </c>
      <c r="AC323" s="19">
        <f>IF(Dashboard!$B$7="Mantap (%)",X323,IF(Dashboard!$B$7="Tidak Mantap (%)",Z323,IF(Dashboard!$B$7="Baik (%)",P323,IF(Dashboard!$B$7="Sedang (%)",R323,IF(Dashboard!$B$7="Rusak Ringan (%)",T323,IF(Dashboard!$B$7="Rusak Berat (%)",V323,AA323))))))</f>
        <v>0</v>
      </c>
      <c r="AD323" s="20">
        <f>IF(AND(AF323=1,E323&gt;=Dashboard!$B$10,IF(Dashboard!$B$9="≤ Maksimum",AC323&lt;=Dashboard!$B$8,AC323&gt;=Dashboard!$B$8)),1,0)</f>
        <v>0</v>
      </c>
      <c r="AE323" s="20" t="str">
        <f>IF(AD323=1,COUNTIFS($AD$2:$AD$351,1,$AC$2:$AC$351,"&gt;"&amp;AC323)+COUNTIFS($AD$2:AD323,1,$AC$2:AC323,AC323),"")</f>
        <v/>
      </c>
      <c r="AF323" s="20">
        <f>IF(OR(Dashboard!$B$6="Semua",ISNUMBER(SEARCH(Dashboard!$B$6,D323))),1,0)</f>
        <v>1</v>
      </c>
      <c r="AG323" s="18">
        <f t="shared" si="76"/>
        <v>0.28999999999999998</v>
      </c>
      <c r="AH323" s="18">
        <f t="shared" si="77"/>
        <v>0.28999999165534973</v>
      </c>
      <c r="AI323" s="18">
        <f t="shared" si="78"/>
        <v>0</v>
      </c>
      <c r="AJ323" s="18">
        <f t="shared" si="79"/>
        <v>0</v>
      </c>
      <c r="AK323" s="20">
        <f>IF(OR(Ruas_Per_Kecamatan!$B$4="Semua",ISNUMBER(SEARCH(Ruas_Per_Kecamatan!$B$4,D323))),1,0)</f>
        <v>1</v>
      </c>
      <c r="AL323" s="20">
        <f>IF(AK323=1,COUNTIF($AK$2:AK323,1),"")</f>
        <v>322</v>
      </c>
      <c r="AM323" s="18">
        <f t="shared" si="80"/>
        <v>0.28999999999999998</v>
      </c>
      <c r="AN323" s="18">
        <f t="shared" si="81"/>
        <v>0.28999999165534973</v>
      </c>
      <c r="AO323" s="18">
        <f t="shared" si="82"/>
        <v>0</v>
      </c>
      <c r="AP323" s="18">
        <f t="shared" si="83"/>
        <v>0</v>
      </c>
    </row>
    <row r="324" spans="1:42" x14ac:dyDescent="0.25">
      <c r="A324" s="17">
        <v>323</v>
      </c>
      <c r="B324" s="17" t="s">
        <v>774</v>
      </c>
      <c r="C324" s="21" t="s">
        <v>377</v>
      </c>
      <c r="D324" s="17" t="s">
        <v>365</v>
      </c>
      <c r="E324" s="18">
        <v>0.28000000000000003</v>
      </c>
      <c r="F324" s="18">
        <v>3.5</v>
      </c>
      <c r="G324" s="18">
        <v>0</v>
      </c>
      <c r="H324" s="18"/>
      <c r="I324" s="18">
        <v>2025</v>
      </c>
      <c r="J324" s="18">
        <v>0.2800000011920929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9">
        <v>0</v>
      </c>
      <c r="Q324" s="18">
        <v>0.2800000011920929</v>
      </c>
      <c r="R324" s="19">
        <v>1.0000000042574746</v>
      </c>
      <c r="S324" s="18">
        <v>0</v>
      </c>
      <c r="T324" s="19">
        <v>0</v>
      </c>
      <c r="U324" s="18">
        <v>0</v>
      </c>
      <c r="V324" s="19">
        <v>0</v>
      </c>
      <c r="W324">
        <f t="shared" si="70"/>
        <v>0.2800000011920929</v>
      </c>
      <c r="X324" s="19">
        <f t="shared" si="71"/>
        <v>1.0000000042574746</v>
      </c>
      <c r="Y324">
        <f t="shared" si="72"/>
        <v>0</v>
      </c>
      <c r="Z324" s="19">
        <f t="shared" si="73"/>
        <v>0</v>
      </c>
      <c r="AA324" s="19">
        <f t="shared" si="74"/>
        <v>0.25000000106436865</v>
      </c>
      <c r="AB324" t="str">
        <f t="shared" si="75"/>
        <v>Relatif Mantap</v>
      </c>
      <c r="AC324" s="19">
        <f>IF(Dashboard!$B$7="Mantap (%)",X324,IF(Dashboard!$B$7="Tidak Mantap (%)",Z324,IF(Dashboard!$B$7="Baik (%)",P324,IF(Dashboard!$B$7="Sedang (%)",R324,IF(Dashboard!$B$7="Rusak Ringan (%)",T324,IF(Dashboard!$B$7="Rusak Berat (%)",V324,AA324))))))</f>
        <v>0</v>
      </c>
      <c r="AD324" s="20">
        <f>IF(AND(AF324=1,E324&gt;=Dashboard!$B$10,IF(Dashboard!$B$9="≤ Maksimum",AC324&lt;=Dashboard!$B$8,AC324&gt;=Dashboard!$B$8)),1,0)</f>
        <v>0</v>
      </c>
      <c r="AE324" s="20" t="str">
        <f>IF(AD324=1,COUNTIFS($AD$2:$AD$351,1,$AC$2:$AC$351,"&gt;"&amp;AC324)+COUNTIFS($AD$2:AD324,1,$AC$2:AC324,AC324),"")</f>
        <v/>
      </c>
      <c r="AF324" s="20">
        <f>IF(OR(Dashboard!$B$6="Semua",ISNUMBER(SEARCH(Dashboard!$B$6,D324))),1,0)</f>
        <v>1</v>
      </c>
      <c r="AG324" s="18">
        <f t="shared" si="76"/>
        <v>0.28000000000000003</v>
      </c>
      <c r="AH324" s="18">
        <f t="shared" si="77"/>
        <v>0.2800000011920929</v>
      </c>
      <c r="AI324" s="18">
        <f t="shared" si="78"/>
        <v>0</v>
      </c>
      <c r="AJ324" s="18">
        <f t="shared" si="79"/>
        <v>0</v>
      </c>
      <c r="AK324" s="20">
        <f>IF(OR(Ruas_Per_Kecamatan!$B$4="Semua",ISNUMBER(SEARCH(Ruas_Per_Kecamatan!$B$4,D324))),1,0)</f>
        <v>1</v>
      </c>
      <c r="AL324" s="20">
        <f>IF(AK324=1,COUNTIF($AK$2:AK324,1),"")</f>
        <v>323</v>
      </c>
      <c r="AM324" s="18">
        <f t="shared" si="80"/>
        <v>0.28000000000000003</v>
      </c>
      <c r="AN324" s="18">
        <f t="shared" si="81"/>
        <v>0.2800000011920929</v>
      </c>
      <c r="AO324" s="18">
        <f t="shared" si="82"/>
        <v>0</v>
      </c>
      <c r="AP324" s="18">
        <f t="shared" si="83"/>
        <v>0</v>
      </c>
    </row>
    <row r="325" spans="1:42" x14ac:dyDescent="0.25">
      <c r="A325" s="17">
        <v>324</v>
      </c>
      <c r="B325" s="17" t="s">
        <v>775</v>
      </c>
      <c r="C325" s="21" t="s">
        <v>378</v>
      </c>
      <c r="D325" s="17" t="s">
        <v>365</v>
      </c>
      <c r="E325" s="18">
        <v>0.3</v>
      </c>
      <c r="F325" s="18">
        <v>3</v>
      </c>
      <c r="G325" s="18">
        <v>0</v>
      </c>
      <c r="H325" s="18"/>
      <c r="I325" s="18">
        <v>2025</v>
      </c>
      <c r="J325" s="18">
        <v>0.20000000298023224</v>
      </c>
      <c r="K325" s="18">
        <v>0</v>
      </c>
      <c r="L325" s="18">
        <v>0</v>
      </c>
      <c r="M325" s="18">
        <v>0.10000000149011612</v>
      </c>
      <c r="N325" s="18">
        <v>0</v>
      </c>
      <c r="O325" s="18">
        <v>0</v>
      </c>
      <c r="P325" s="19">
        <v>0</v>
      </c>
      <c r="Q325" s="18">
        <v>0</v>
      </c>
      <c r="R325" s="19">
        <v>0</v>
      </c>
      <c r="S325" s="18">
        <v>0</v>
      </c>
      <c r="T325" s="19">
        <v>0</v>
      </c>
      <c r="U325" s="18">
        <v>0.30000000447034836</v>
      </c>
      <c r="V325" s="19">
        <v>1.0000000149011612</v>
      </c>
      <c r="W325">
        <f t="shared" si="70"/>
        <v>0</v>
      </c>
      <c r="X325" s="19">
        <f t="shared" si="71"/>
        <v>0</v>
      </c>
      <c r="Y325">
        <f t="shared" si="72"/>
        <v>0.30000000447034836</v>
      </c>
      <c r="Z325" s="19">
        <f t="shared" si="73"/>
        <v>1.0000000149011612</v>
      </c>
      <c r="AA325" s="19">
        <f t="shared" si="74"/>
        <v>1.0000000149011612</v>
      </c>
      <c r="AB325" t="str">
        <f t="shared" si="75"/>
        <v>Rusak Berat Dominan</v>
      </c>
      <c r="AC325" s="19">
        <f>IF(Dashboard!$B$7="Mantap (%)",X325,IF(Dashboard!$B$7="Tidak Mantap (%)",Z325,IF(Dashboard!$B$7="Baik (%)",P325,IF(Dashboard!$B$7="Sedang (%)",R325,IF(Dashboard!$B$7="Rusak Ringan (%)",T325,IF(Dashboard!$B$7="Rusak Berat (%)",V325,AA325))))))</f>
        <v>1.0000000149011612</v>
      </c>
      <c r="AD325" s="20">
        <f>IF(AND(AF325=1,E325&gt;=Dashboard!$B$10,IF(Dashboard!$B$9="≤ Maksimum",AC325&lt;=Dashboard!$B$8,AC325&gt;=Dashboard!$B$8)),1,0)</f>
        <v>1</v>
      </c>
      <c r="AE325" s="20">
        <f>IF(AD325=1,COUNTIFS($AD$2:$AD$351,1,$AC$2:$AC$351,"&gt;"&amp;AC325)+COUNTIFS($AD$2:AD325,1,$AC$2:AC325,AC325),"")</f>
        <v>18</v>
      </c>
      <c r="AF325" s="20">
        <f>IF(OR(Dashboard!$B$6="Semua",ISNUMBER(SEARCH(Dashboard!$B$6,D325))),1,0)</f>
        <v>1</v>
      </c>
      <c r="AG325" s="18">
        <f t="shared" si="76"/>
        <v>0.3</v>
      </c>
      <c r="AH325" s="18">
        <f t="shared" si="77"/>
        <v>0</v>
      </c>
      <c r="AI325" s="18">
        <f t="shared" si="78"/>
        <v>0.30000000447034836</v>
      </c>
      <c r="AJ325" s="18">
        <f t="shared" si="79"/>
        <v>0.30000000447034836</v>
      </c>
      <c r="AK325" s="20">
        <f>IF(OR(Ruas_Per_Kecamatan!$B$4="Semua",ISNUMBER(SEARCH(Ruas_Per_Kecamatan!$B$4,D325))),1,0)</f>
        <v>1</v>
      </c>
      <c r="AL325" s="20">
        <f>IF(AK325=1,COUNTIF($AK$2:AK325,1),"")</f>
        <v>324</v>
      </c>
      <c r="AM325" s="18">
        <f t="shared" si="80"/>
        <v>0.3</v>
      </c>
      <c r="AN325" s="18">
        <f t="shared" si="81"/>
        <v>0</v>
      </c>
      <c r="AO325" s="18">
        <f t="shared" si="82"/>
        <v>0.30000000447034836</v>
      </c>
      <c r="AP325" s="18">
        <f t="shared" si="83"/>
        <v>0.30000000447034836</v>
      </c>
    </row>
    <row r="326" spans="1:42" x14ac:dyDescent="0.25">
      <c r="A326" s="17">
        <v>325</v>
      </c>
      <c r="B326" s="17" t="s">
        <v>776</v>
      </c>
      <c r="C326" s="21" t="s">
        <v>379</v>
      </c>
      <c r="D326" s="17" t="s">
        <v>365</v>
      </c>
      <c r="E326" s="18">
        <v>0.3</v>
      </c>
      <c r="F326" s="18">
        <v>3</v>
      </c>
      <c r="G326" s="18">
        <v>0</v>
      </c>
      <c r="H326" s="18"/>
      <c r="I326" s="18">
        <v>2025</v>
      </c>
      <c r="J326" s="18">
        <v>0.10000000149011612</v>
      </c>
      <c r="K326" s="18">
        <v>0</v>
      </c>
      <c r="L326" s="18">
        <v>0</v>
      </c>
      <c r="M326" s="18">
        <v>0.20000000298023224</v>
      </c>
      <c r="N326" s="18">
        <v>0</v>
      </c>
      <c r="O326" s="18">
        <v>0</v>
      </c>
      <c r="P326" s="19">
        <v>0</v>
      </c>
      <c r="Q326" s="18">
        <v>0.10000000149011612</v>
      </c>
      <c r="R326" s="19">
        <v>0.33333333830038708</v>
      </c>
      <c r="S326" s="18">
        <v>0</v>
      </c>
      <c r="T326" s="19">
        <v>0</v>
      </c>
      <c r="U326" s="18">
        <v>0.20000000298023224</v>
      </c>
      <c r="V326" s="19">
        <v>0.66666667660077417</v>
      </c>
      <c r="W326">
        <f t="shared" si="70"/>
        <v>0.10000000149011612</v>
      </c>
      <c r="X326" s="19">
        <f t="shared" si="71"/>
        <v>0.33333333830038708</v>
      </c>
      <c r="Y326">
        <f t="shared" si="72"/>
        <v>0.20000000298023224</v>
      </c>
      <c r="Z326" s="19">
        <f t="shared" si="73"/>
        <v>0.66666667660077417</v>
      </c>
      <c r="AA326" s="19">
        <f t="shared" si="74"/>
        <v>0.7500000111758709</v>
      </c>
      <c r="AB326" t="str">
        <f t="shared" si="75"/>
        <v>Rusak Berat Dominan</v>
      </c>
      <c r="AC326" s="19">
        <f>IF(Dashboard!$B$7="Mantap (%)",X326,IF(Dashboard!$B$7="Tidak Mantap (%)",Z326,IF(Dashboard!$B$7="Baik (%)",P326,IF(Dashboard!$B$7="Sedang (%)",R326,IF(Dashboard!$B$7="Rusak Ringan (%)",T326,IF(Dashboard!$B$7="Rusak Berat (%)",V326,AA326))))))</f>
        <v>0.66666667660077417</v>
      </c>
      <c r="AD326" s="20">
        <f>IF(AND(AF326=1,E326&gt;=Dashboard!$B$10,IF(Dashboard!$B$9="≤ Maksimum",AC326&lt;=Dashboard!$B$8,AC326&gt;=Dashboard!$B$8)),1,0)</f>
        <v>1</v>
      </c>
      <c r="AE326" s="20">
        <f>IF(AD326=1,COUNTIFS($AD$2:$AD$351,1,$AC$2:$AC$351,"&gt;"&amp;AC326)+COUNTIFS($AD$2:AD326,1,$AC$2:AC326,AC326),"")</f>
        <v>96</v>
      </c>
      <c r="AF326" s="20">
        <f>IF(OR(Dashboard!$B$6="Semua",ISNUMBER(SEARCH(Dashboard!$B$6,D326))),1,0)</f>
        <v>1</v>
      </c>
      <c r="AG326" s="18">
        <f t="shared" si="76"/>
        <v>0.3</v>
      </c>
      <c r="AH326" s="18">
        <f t="shared" si="77"/>
        <v>0.10000000149011612</v>
      </c>
      <c r="AI326" s="18">
        <f t="shared" si="78"/>
        <v>0.20000000298023224</v>
      </c>
      <c r="AJ326" s="18">
        <f t="shared" si="79"/>
        <v>0.20000000298023224</v>
      </c>
      <c r="AK326" s="20">
        <f>IF(OR(Ruas_Per_Kecamatan!$B$4="Semua",ISNUMBER(SEARCH(Ruas_Per_Kecamatan!$B$4,D326))),1,0)</f>
        <v>1</v>
      </c>
      <c r="AL326" s="20">
        <f>IF(AK326=1,COUNTIF($AK$2:AK326,1),"")</f>
        <v>325</v>
      </c>
      <c r="AM326" s="18">
        <f t="shared" si="80"/>
        <v>0.3</v>
      </c>
      <c r="AN326" s="18">
        <f t="shared" si="81"/>
        <v>0.10000000149011612</v>
      </c>
      <c r="AO326" s="18">
        <f t="shared" si="82"/>
        <v>0.20000000298023224</v>
      </c>
      <c r="AP326" s="18">
        <f t="shared" si="83"/>
        <v>0.20000000298023224</v>
      </c>
    </row>
    <row r="327" spans="1:42" x14ac:dyDescent="0.25">
      <c r="A327" s="17">
        <v>326</v>
      </c>
      <c r="B327" s="17" t="s">
        <v>777</v>
      </c>
      <c r="C327" s="21" t="s">
        <v>380</v>
      </c>
      <c r="D327" s="17" t="s">
        <v>365</v>
      </c>
      <c r="E327" s="18">
        <v>0.27</v>
      </c>
      <c r="F327" s="18">
        <v>3</v>
      </c>
      <c r="G327" s="18">
        <v>0</v>
      </c>
      <c r="H327" s="18"/>
      <c r="I327" s="18">
        <v>2025</v>
      </c>
      <c r="J327" s="18">
        <v>0.27000001072883606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9">
        <v>0</v>
      </c>
      <c r="Q327" s="18">
        <v>0.27000001072883606</v>
      </c>
      <c r="R327" s="19">
        <v>1.0000000397364297</v>
      </c>
      <c r="S327" s="18">
        <v>0</v>
      </c>
      <c r="T327" s="19">
        <v>0</v>
      </c>
      <c r="U327" s="18">
        <v>0</v>
      </c>
      <c r="V327" s="19">
        <v>0</v>
      </c>
      <c r="W327">
        <f t="shared" si="70"/>
        <v>0.27000001072883606</v>
      </c>
      <c r="X327" s="19">
        <f t="shared" si="71"/>
        <v>1.0000000397364297</v>
      </c>
      <c r="Y327">
        <f t="shared" si="72"/>
        <v>0</v>
      </c>
      <c r="Z327" s="19">
        <f t="shared" si="73"/>
        <v>0</v>
      </c>
      <c r="AA327" s="19">
        <f t="shared" si="74"/>
        <v>0.25000000993410743</v>
      </c>
      <c r="AB327" t="str">
        <f t="shared" si="75"/>
        <v>Relatif Mantap</v>
      </c>
      <c r="AC327" s="19">
        <f>IF(Dashboard!$B$7="Mantap (%)",X327,IF(Dashboard!$B$7="Tidak Mantap (%)",Z327,IF(Dashboard!$B$7="Baik (%)",P327,IF(Dashboard!$B$7="Sedang (%)",R327,IF(Dashboard!$B$7="Rusak Ringan (%)",T327,IF(Dashboard!$B$7="Rusak Berat (%)",V327,AA327))))))</f>
        <v>0</v>
      </c>
      <c r="AD327" s="20">
        <f>IF(AND(AF327=1,E327&gt;=Dashboard!$B$10,IF(Dashboard!$B$9="≤ Maksimum",AC327&lt;=Dashboard!$B$8,AC327&gt;=Dashboard!$B$8)),1,0)</f>
        <v>0</v>
      </c>
      <c r="AE327" s="20" t="str">
        <f>IF(AD327=1,COUNTIFS($AD$2:$AD$351,1,$AC$2:$AC$351,"&gt;"&amp;AC327)+COUNTIFS($AD$2:AD327,1,$AC$2:AC327,AC327),"")</f>
        <v/>
      </c>
      <c r="AF327" s="20">
        <f>IF(OR(Dashboard!$B$6="Semua",ISNUMBER(SEARCH(Dashboard!$B$6,D327))),1,0)</f>
        <v>1</v>
      </c>
      <c r="AG327" s="18">
        <f t="shared" si="76"/>
        <v>0.27</v>
      </c>
      <c r="AH327" s="18">
        <f t="shared" si="77"/>
        <v>0.27000001072883606</v>
      </c>
      <c r="AI327" s="18">
        <f t="shared" si="78"/>
        <v>0</v>
      </c>
      <c r="AJ327" s="18">
        <f t="shared" si="79"/>
        <v>0</v>
      </c>
      <c r="AK327" s="20">
        <f>IF(OR(Ruas_Per_Kecamatan!$B$4="Semua",ISNUMBER(SEARCH(Ruas_Per_Kecamatan!$B$4,D327))),1,0)</f>
        <v>1</v>
      </c>
      <c r="AL327" s="20">
        <f>IF(AK327=1,COUNTIF($AK$2:AK327,1),"")</f>
        <v>326</v>
      </c>
      <c r="AM327" s="18">
        <f t="shared" si="80"/>
        <v>0.27</v>
      </c>
      <c r="AN327" s="18">
        <f t="shared" si="81"/>
        <v>0.27000001072883606</v>
      </c>
      <c r="AO327" s="18">
        <f t="shared" si="82"/>
        <v>0</v>
      </c>
      <c r="AP327" s="18">
        <f t="shared" si="83"/>
        <v>0</v>
      </c>
    </row>
    <row r="328" spans="1:42" ht="30" x14ac:dyDescent="0.25">
      <c r="A328" s="17">
        <v>327</v>
      </c>
      <c r="B328" s="17" t="s">
        <v>778</v>
      </c>
      <c r="C328" s="21" t="s">
        <v>381</v>
      </c>
      <c r="D328" s="17" t="s">
        <v>365</v>
      </c>
      <c r="E328" s="18">
        <v>1.65</v>
      </c>
      <c r="F328" s="18">
        <v>3.5</v>
      </c>
      <c r="G328" s="18">
        <v>0</v>
      </c>
      <c r="H328" s="18"/>
      <c r="I328" s="18">
        <v>2025</v>
      </c>
      <c r="J328" s="18">
        <v>0</v>
      </c>
      <c r="K328" s="18">
        <v>0</v>
      </c>
      <c r="L328" s="18">
        <v>0</v>
      </c>
      <c r="M328" s="18">
        <v>0</v>
      </c>
      <c r="N328" s="18">
        <v>1.6499999761581421</v>
      </c>
      <c r="O328" s="18">
        <v>0</v>
      </c>
      <c r="P328" s="19">
        <v>0</v>
      </c>
      <c r="Q328" s="18">
        <v>0</v>
      </c>
      <c r="R328" s="19">
        <v>0</v>
      </c>
      <c r="S328" s="18">
        <v>0</v>
      </c>
      <c r="T328" s="19">
        <v>0</v>
      </c>
      <c r="U328" s="18">
        <v>1.6499999761581421</v>
      </c>
      <c r="V328" s="19">
        <v>0.99999998555038916</v>
      </c>
      <c r="W328">
        <f t="shared" si="70"/>
        <v>0</v>
      </c>
      <c r="X328" s="19">
        <f t="shared" si="71"/>
        <v>0</v>
      </c>
      <c r="Y328">
        <f t="shared" si="72"/>
        <v>1.6499999761581421</v>
      </c>
      <c r="Z328" s="19">
        <f t="shared" si="73"/>
        <v>0.99999998555038916</v>
      </c>
      <c r="AA328" s="19">
        <f t="shared" si="74"/>
        <v>0.99999998555038916</v>
      </c>
      <c r="AB328" t="str">
        <f t="shared" si="75"/>
        <v>Rusak Berat Dominan</v>
      </c>
      <c r="AC328" s="19">
        <f>IF(Dashboard!$B$7="Mantap (%)",X328,IF(Dashboard!$B$7="Tidak Mantap (%)",Z328,IF(Dashboard!$B$7="Baik (%)",P328,IF(Dashboard!$B$7="Sedang (%)",R328,IF(Dashboard!$B$7="Rusak Ringan (%)",T328,IF(Dashboard!$B$7="Rusak Berat (%)",V328,AA328))))))</f>
        <v>0.99999998555038916</v>
      </c>
      <c r="AD328" s="20">
        <f>IF(AND(AF328=1,E328&gt;=Dashboard!$B$10,IF(Dashboard!$B$9="≤ Maksimum",AC328&lt;=Dashboard!$B$8,AC328&gt;=Dashboard!$B$8)),1,0)</f>
        <v>1</v>
      </c>
      <c r="AE328" s="20">
        <f>IF(AD328=1,COUNTIFS($AD$2:$AD$351,1,$AC$2:$AC$351,"&gt;"&amp;AC328)+COUNTIFS($AD$2:AD328,1,$AC$2:AC328,AC328),"")</f>
        <v>35</v>
      </c>
      <c r="AF328" s="20">
        <f>IF(OR(Dashboard!$B$6="Semua",ISNUMBER(SEARCH(Dashboard!$B$6,D328))),1,0)</f>
        <v>1</v>
      </c>
      <c r="AG328" s="18">
        <f t="shared" si="76"/>
        <v>1.65</v>
      </c>
      <c r="AH328" s="18">
        <f t="shared" si="77"/>
        <v>0</v>
      </c>
      <c r="AI328" s="18">
        <f t="shared" si="78"/>
        <v>1.6499999761581421</v>
      </c>
      <c r="AJ328" s="18">
        <f t="shared" si="79"/>
        <v>1.6499999761581421</v>
      </c>
      <c r="AK328" s="20">
        <f>IF(OR(Ruas_Per_Kecamatan!$B$4="Semua",ISNUMBER(SEARCH(Ruas_Per_Kecamatan!$B$4,D328))),1,0)</f>
        <v>1</v>
      </c>
      <c r="AL328" s="20">
        <f>IF(AK328=1,COUNTIF($AK$2:AK328,1),"")</f>
        <v>327</v>
      </c>
      <c r="AM328" s="18">
        <f t="shared" si="80"/>
        <v>1.65</v>
      </c>
      <c r="AN328" s="18">
        <f t="shared" si="81"/>
        <v>0</v>
      </c>
      <c r="AO328" s="18">
        <f t="shared" si="82"/>
        <v>1.6499999761581421</v>
      </c>
      <c r="AP328" s="18">
        <f t="shared" si="83"/>
        <v>1.6499999761581421</v>
      </c>
    </row>
    <row r="329" spans="1:42" x14ac:dyDescent="0.25">
      <c r="A329" s="17">
        <v>328</v>
      </c>
      <c r="B329" s="17" t="s">
        <v>779</v>
      </c>
      <c r="C329" s="21" t="s">
        <v>382</v>
      </c>
      <c r="D329" s="17" t="s">
        <v>365</v>
      </c>
      <c r="E329" s="18">
        <v>1.82</v>
      </c>
      <c r="F329" s="18">
        <v>3</v>
      </c>
      <c r="G329" s="18">
        <v>0</v>
      </c>
      <c r="H329" s="18"/>
      <c r="I329" s="18">
        <v>2025</v>
      </c>
      <c r="J329" s="18">
        <v>1.5</v>
      </c>
      <c r="K329" s="18">
        <v>0</v>
      </c>
      <c r="L329" s="18">
        <v>0.31999999284744263</v>
      </c>
      <c r="M329" s="18">
        <v>0</v>
      </c>
      <c r="N329" s="18">
        <v>0</v>
      </c>
      <c r="O329" s="18">
        <v>0.20000000298023224</v>
      </c>
      <c r="P329" s="19">
        <v>0.10989011152760013</v>
      </c>
      <c r="Q329" s="18">
        <v>0.80000001192092896</v>
      </c>
      <c r="R329" s="19">
        <v>0.43956044611040052</v>
      </c>
      <c r="S329" s="18">
        <v>0.2199999988079071</v>
      </c>
      <c r="T329" s="19">
        <v>0.12087912022412478</v>
      </c>
      <c r="U329" s="18">
        <v>0.60000002384185791</v>
      </c>
      <c r="V329" s="19">
        <v>0.32967034277025159</v>
      </c>
      <c r="W329">
        <f t="shared" si="70"/>
        <v>1.0000000149011612</v>
      </c>
      <c r="X329" s="19">
        <f t="shared" si="71"/>
        <v>0.54945055763800066</v>
      </c>
      <c r="Y329">
        <f t="shared" si="72"/>
        <v>0.82000002264976501</v>
      </c>
      <c r="Z329" s="19">
        <f t="shared" si="73"/>
        <v>0.45054946299437637</v>
      </c>
      <c r="AA329" s="19">
        <f t="shared" si="74"/>
        <v>0.51208792643232659</v>
      </c>
      <c r="AB329" t="str">
        <f t="shared" si="75"/>
        <v>Rusak Berat Dominan</v>
      </c>
      <c r="AC329" s="19">
        <f>IF(Dashboard!$B$7="Mantap (%)",X329,IF(Dashboard!$B$7="Tidak Mantap (%)",Z329,IF(Dashboard!$B$7="Baik (%)",P329,IF(Dashboard!$B$7="Sedang (%)",R329,IF(Dashboard!$B$7="Rusak Ringan (%)",T329,IF(Dashboard!$B$7="Rusak Berat (%)",V329,AA329))))))</f>
        <v>0.45054946299437637</v>
      </c>
      <c r="AD329" s="20">
        <f>IF(AND(AF329=1,E329&gt;=Dashboard!$B$10,IF(Dashboard!$B$9="≤ Maksimum",AC329&lt;=Dashboard!$B$8,AC329&gt;=Dashboard!$B$8)),1,0)</f>
        <v>1</v>
      </c>
      <c r="AE329" s="20">
        <f>IF(AD329=1,COUNTIFS($AD$2:$AD$351,1,$AC$2:$AC$351,"&gt;"&amp;AC329)+COUNTIFS($AD$2:AD329,1,$AC$2:AC329,AC329),"")</f>
        <v>136</v>
      </c>
      <c r="AF329" s="20">
        <f>IF(OR(Dashboard!$B$6="Semua",ISNUMBER(SEARCH(Dashboard!$B$6,D329))),1,0)</f>
        <v>1</v>
      </c>
      <c r="AG329" s="18">
        <f t="shared" si="76"/>
        <v>1.82</v>
      </c>
      <c r="AH329" s="18">
        <f t="shared" si="77"/>
        <v>1.0000000149011612</v>
      </c>
      <c r="AI329" s="18">
        <f t="shared" si="78"/>
        <v>0.82000002264976501</v>
      </c>
      <c r="AJ329" s="18">
        <f t="shared" si="79"/>
        <v>0.60000002384185791</v>
      </c>
      <c r="AK329" s="20">
        <f>IF(OR(Ruas_Per_Kecamatan!$B$4="Semua",ISNUMBER(SEARCH(Ruas_Per_Kecamatan!$B$4,D329))),1,0)</f>
        <v>1</v>
      </c>
      <c r="AL329" s="20">
        <f>IF(AK329=1,COUNTIF($AK$2:AK329,1),"")</f>
        <v>328</v>
      </c>
      <c r="AM329" s="18">
        <f t="shared" si="80"/>
        <v>1.82</v>
      </c>
      <c r="AN329" s="18">
        <f t="shared" si="81"/>
        <v>1.0000000149011612</v>
      </c>
      <c r="AO329" s="18">
        <f t="shared" si="82"/>
        <v>0.82000002264976501</v>
      </c>
      <c r="AP329" s="18">
        <f t="shared" si="83"/>
        <v>0.60000002384185791</v>
      </c>
    </row>
    <row r="330" spans="1:42" x14ac:dyDescent="0.25">
      <c r="A330" s="17">
        <v>329</v>
      </c>
      <c r="B330" s="17" t="s">
        <v>780</v>
      </c>
      <c r="C330" s="21" t="s">
        <v>383</v>
      </c>
      <c r="D330" s="17" t="s">
        <v>365</v>
      </c>
      <c r="E330" s="18">
        <v>0.15</v>
      </c>
      <c r="F330" s="18">
        <v>3.5</v>
      </c>
      <c r="G330" s="18">
        <v>0</v>
      </c>
      <c r="H330" s="18"/>
      <c r="I330" s="18">
        <v>2025</v>
      </c>
      <c r="J330" s="18">
        <v>0.15000000596046448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9">
        <v>0</v>
      </c>
      <c r="Q330" s="18">
        <v>0.15000000596046448</v>
      </c>
      <c r="R330" s="19">
        <v>1.0000000397364299</v>
      </c>
      <c r="S330" s="18">
        <v>0</v>
      </c>
      <c r="T330" s="19">
        <v>0</v>
      </c>
      <c r="U330" s="18">
        <v>0</v>
      </c>
      <c r="V330" s="19">
        <v>0</v>
      </c>
      <c r="W330">
        <f t="shared" si="70"/>
        <v>0.15000000596046448</v>
      </c>
      <c r="X330" s="19">
        <f t="shared" si="71"/>
        <v>1.0000000397364299</v>
      </c>
      <c r="Y330">
        <f t="shared" si="72"/>
        <v>0</v>
      </c>
      <c r="Z330" s="19">
        <f t="shared" si="73"/>
        <v>0</v>
      </c>
      <c r="AA330" s="19">
        <f t="shared" si="74"/>
        <v>0.25000000993410748</v>
      </c>
      <c r="AB330" t="str">
        <f t="shared" si="75"/>
        <v>Relatif Mantap</v>
      </c>
      <c r="AC330" s="19">
        <f>IF(Dashboard!$B$7="Mantap (%)",X330,IF(Dashboard!$B$7="Tidak Mantap (%)",Z330,IF(Dashboard!$B$7="Baik (%)",P330,IF(Dashboard!$B$7="Sedang (%)",R330,IF(Dashboard!$B$7="Rusak Ringan (%)",T330,IF(Dashboard!$B$7="Rusak Berat (%)",V330,AA330))))))</f>
        <v>0</v>
      </c>
      <c r="AD330" s="20">
        <f>IF(AND(AF330=1,E330&gt;=Dashboard!$B$10,IF(Dashboard!$B$9="≤ Maksimum",AC330&lt;=Dashboard!$B$8,AC330&gt;=Dashboard!$B$8)),1,0)</f>
        <v>0</v>
      </c>
      <c r="AE330" s="20" t="str">
        <f>IF(AD330=1,COUNTIFS($AD$2:$AD$351,1,$AC$2:$AC$351,"&gt;"&amp;AC330)+COUNTIFS($AD$2:AD330,1,$AC$2:AC330,AC330),"")</f>
        <v/>
      </c>
      <c r="AF330" s="20">
        <f>IF(OR(Dashboard!$B$6="Semua",ISNUMBER(SEARCH(Dashboard!$B$6,D330))),1,0)</f>
        <v>1</v>
      </c>
      <c r="AG330" s="18">
        <f t="shared" si="76"/>
        <v>0.15</v>
      </c>
      <c r="AH330" s="18">
        <f t="shared" si="77"/>
        <v>0.15000000596046448</v>
      </c>
      <c r="AI330" s="18">
        <f t="shared" si="78"/>
        <v>0</v>
      </c>
      <c r="AJ330" s="18">
        <f t="shared" si="79"/>
        <v>0</v>
      </c>
      <c r="AK330" s="20">
        <f>IF(OR(Ruas_Per_Kecamatan!$B$4="Semua",ISNUMBER(SEARCH(Ruas_Per_Kecamatan!$B$4,D330))),1,0)</f>
        <v>1</v>
      </c>
      <c r="AL330" s="20">
        <f>IF(AK330=1,COUNTIF($AK$2:AK330,1),"")</f>
        <v>329</v>
      </c>
      <c r="AM330" s="18">
        <f t="shared" si="80"/>
        <v>0.15</v>
      </c>
      <c r="AN330" s="18">
        <f t="shared" si="81"/>
        <v>0.15000000596046448</v>
      </c>
      <c r="AO330" s="18">
        <f t="shared" si="82"/>
        <v>0</v>
      </c>
      <c r="AP330" s="18">
        <f t="shared" si="83"/>
        <v>0</v>
      </c>
    </row>
    <row r="331" spans="1:42" x14ac:dyDescent="0.25">
      <c r="A331" s="17">
        <v>330</v>
      </c>
      <c r="B331" s="17" t="s">
        <v>781</v>
      </c>
      <c r="C331" s="21" t="s">
        <v>384</v>
      </c>
      <c r="D331" s="17" t="s">
        <v>365</v>
      </c>
      <c r="E331" s="18">
        <v>0.56999999999999995</v>
      </c>
      <c r="F331" s="18">
        <v>3</v>
      </c>
      <c r="G331" s="18">
        <v>0</v>
      </c>
      <c r="H331" s="18"/>
      <c r="I331" s="18">
        <v>2025</v>
      </c>
      <c r="J331" s="18">
        <v>0</v>
      </c>
      <c r="K331" s="18">
        <v>0</v>
      </c>
      <c r="L331" s="18">
        <v>0.57000000774860382</v>
      </c>
      <c r="M331" s="18">
        <v>0</v>
      </c>
      <c r="N331" s="18">
        <v>0</v>
      </c>
      <c r="O331" s="18">
        <v>0.56999999284744263</v>
      </c>
      <c r="P331" s="19">
        <v>0.99999998745165386</v>
      </c>
      <c r="Q331" s="18">
        <v>0</v>
      </c>
      <c r="R331" s="19">
        <v>0</v>
      </c>
      <c r="S331" s="18">
        <v>0</v>
      </c>
      <c r="T331" s="19">
        <v>0</v>
      </c>
      <c r="U331" s="18">
        <v>0</v>
      </c>
      <c r="V331" s="19">
        <v>0</v>
      </c>
      <c r="W331">
        <f t="shared" si="70"/>
        <v>0.56999999284744263</v>
      </c>
      <c r="X331" s="19">
        <f t="shared" si="71"/>
        <v>0.99999998745165386</v>
      </c>
      <c r="Y331">
        <f t="shared" si="72"/>
        <v>0</v>
      </c>
      <c r="Z331" s="19">
        <f t="shared" si="73"/>
        <v>0</v>
      </c>
      <c r="AA331" s="19">
        <f t="shared" si="74"/>
        <v>0</v>
      </c>
      <c r="AB331" t="str">
        <f t="shared" si="75"/>
        <v>Relatif Mantap</v>
      </c>
      <c r="AC331" s="19">
        <f>IF(Dashboard!$B$7="Mantap (%)",X331,IF(Dashboard!$B$7="Tidak Mantap (%)",Z331,IF(Dashboard!$B$7="Baik (%)",P331,IF(Dashboard!$B$7="Sedang (%)",R331,IF(Dashboard!$B$7="Rusak Ringan (%)",T331,IF(Dashboard!$B$7="Rusak Berat (%)",V331,AA331))))))</f>
        <v>0</v>
      </c>
      <c r="AD331" s="20">
        <f>IF(AND(AF331=1,E331&gt;=Dashboard!$B$10,IF(Dashboard!$B$9="≤ Maksimum",AC331&lt;=Dashboard!$B$8,AC331&gt;=Dashboard!$B$8)),1,0)</f>
        <v>0</v>
      </c>
      <c r="AE331" s="20" t="str">
        <f>IF(AD331=1,COUNTIFS($AD$2:$AD$351,1,$AC$2:$AC$351,"&gt;"&amp;AC331)+COUNTIFS($AD$2:AD331,1,$AC$2:AC331,AC331),"")</f>
        <v/>
      </c>
      <c r="AF331" s="20">
        <f>IF(OR(Dashboard!$B$6="Semua",ISNUMBER(SEARCH(Dashboard!$B$6,D331))),1,0)</f>
        <v>1</v>
      </c>
      <c r="AG331" s="18">
        <f t="shared" si="76"/>
        <v>0.56999999999999995</v>
      </c>
      <c r="AH331" s="18">
        <f t="shared" si="77"/>
        <v>0.56999999284744263</v>
      </c>
      <c r="AI331" s="18">
        <f t="shared" si="78"/>
        <v>0</v>
      </c>
      <c r="AJ331" s="18">
        <f t="shared" si="79"/>
        <v>0</v>
      </c>
      <c r="AK331" s="20">
        <f>IF(OR(Ruas_Per_Kecamatan!$B$4="Semua",ISNUMBER(SEARCH(Ruas_Per_Kecamatan!$B$4,D331))),1,0)</f>
        <v>1</v>
      </c>
      <c r="AL331" s="20">
        <f>IF(AK331=1,COUNTIF($AK$2:AK331,1),"")</f>
        <v>330</v>
      </c>
      <c r="AM331" s="18">
        <f t="shared" si="80"/>
        <v>0.56999999999999995</v>
      </c>
      <c r="AN331" s="18">
        <f t="shared" si="81"/>
        <v>0.56999999284744263</v>
      </c>
      <c r="AO331" s="18">
        <f t="shared" si="82"/>
        <v>0</v>
      </c>
      <c r="AP331" s="18">
        <f t="shared" si="83"/>
        <v>0</v>
      </c>
    </row>
    <row r="332" spans="1:42" x14ac:dyDescent="0.25">
      <c r="A332" s="17">
        <v>331</v>
      </c>
      <c r="B332" s="17" t="s">
        <v>782</v>
      </c>
      <c r="C332" s="21" t="s">
        <v>385</v>
      </c>
      <c r="D332" s="17" t="s">
        <v>365</v>
      </c>
      <c r="E332" s="18">
        <v>0.32</v>
      </c>
      <c r="F332" s="18">
        <v>3</v>
      </c>
      <c r="G332" s="18">
        <v>0</v>
      </c>
      <c r="H332" s="18"/>
      <c r="I332" s="18">
        <v>2025</v>
      </c>
      <c r="J332" s="18">
        <v>0.31999999284744263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9">
        <v>0</v>
      </c>
      <c r="Q332" s="18">
        <v>0.20000000298023224</v>
      </c>
      <c r="R332" s="19">
        <v>0.62500000931322575</v>
      </c>
      <c r="S332" s="18">
        <v>0.10000000149011612</v>
      </c>
      <c r="T332" s="19">
        <v>0.31250000465661287</v>
      </c>
      <c r="U332" s="18">
        <v>1.9999999552965164E-2</v>
      </c>
      <c r="V332" s="19">
        <v>6.2499998603016138E-2</v>
      </c>
      <c r="W332">
        <f t="shared" si="70"/>
        <v>0.20000000298023224</v>
      </c>
      <c r="X332" s="19">
        <f t="shared" si="71"/>
        <v>0.62500000931322575</v>
      </c>
      <c r="Y332">
        <f t="shared" si="72"/>
        <v>0.12000000104308128</v>
      </c>
      <c r="Z332" s="19">
        <f t="shared" si="73"/>
        <v>0.37500000325962901</v>
      </c>
      <c r="AA332" s="19">
        <f t="shared" si="74"/>
        <v>0.4062500037252903</v>
      </c>
      <c r="AB332" t="str">
        <f t="shared" si="75"/>
        <v>Tidak Mantap Sedang</v>
      </c>
      <c r="AC332" s="19">
        <f>IF(Dashboard!$B$7="Mantap (%)",X332,IF(Dashboard!$B$7="Tidak Mantap (%)",Z332,IF(Dashboard!$B$7="Baik (%)",P332,IF(Dashboard!$B$7="Sedang (%)",R332,IF(Dashboard!$B$7="Rusak Ringan (%)",T332,IF(Dashboard!$B$7="Rusak Berat (%)",V332,AA332))))))</f>
        <v>0.37500000325962901</v>
      </c>
      <c r="AD332" s="20">
        <f>IF(AND(AF332=1,E332&gt;=Dashboard!$B$10,IF(Dashboard!$B$9="≤ Maksimum",AC332&lt;=Dashboard!$B$8,AC332&gt;=Dashboard!$B$8)),1,0)</f>
        <v>1</v>
      </c>
      <c r="AE332" s="20">
        <f>IF(AD332=1,COUNTIFS($AD$2:$AD$351,1,$AC$2:$AC$351,"&gt;"&amp;AC332)+COUNTIFS($AD$2:AD332,1,$AC$2:AC332,AC332),"")</f>
        <v>153</v>
      </c>
      <c r="AF332" s="20">
        <f>IF(OR(Dashboard!$B$6="Semua",ISNUMBER(SEARCH(Dashboard!$B$6,D332))),1,0)</f>
        <v>1</v>
      </c>
      <c r="AG332" s="18">
        <f t="shared" si="76"/>
        <v>0.32</v>
      </c>
      <c r="AH332" s="18">
        <f t="shared" si="77"/>
        <v>0.20000000298023224</v>
      </c>
      <c r="AI332" s="18">
        <f t="shared" si="78"/>
        <v>0.12000000104308128</v>
      </c>
      <c r="AJ332" s="18">
        <f t="shared" si="79"/>
        <v>1.9999999552965164E-2</v>
      </c>
      <c r="AK332" s="20">
        <f>IF(OR(Ruas_Per_Kecamatan!$B$4="Semua",ISNUMBER(SEARCH(Ruas_Per_Kecamatan!$B$4,D332))),1,0)</f>
        <v>1</v>
      </c>
      <c r="AL332" s="20">
        <f>IF(AK332=1,COUNTIF($AK$2:AK332,1),"")</f>
        <v>331</v>
      </c>
      <c r="AM332" s="18">
        <f t="shared" si="80"/>
        <v>0.32</v>
      </c>
      <c r="AN332" s="18">
        <f t="shared" si="81"/>
        <v>0.20000000298023224</v>
      </c>
      <c r="AO332" s="18">
        <f t="shared" si="82"/>
        <v>0.12000000104308128</v>
      </c>
      <c r="AP332" s="18">
        <f t="shared" si="83"/>
        <v>1.9999999552965164E-2</v>
      </c>
    </row>
    <row r="333" spans="1:42" x14ac:dyDescent="0.25">
      <c r="A333" s="17">
        <v>332</v>
      </c>
      <c r="B333" s="17" t="s">
        <v>783</v>
      </c>
      <c r="C333" s="21" t="s">
        <v>386</v>
      </c>
      <c r="D333" s="17" t="s">
        <v>365</v>
      </c>
      <c r="E333" s="18">
        <v>0.33</v>
      </c>
      <c r="F333" s="18">
        <v>3</v>
      </c>
      <c r="G333" s="18">
        <v>0</v>
      </c>
      <c r="H333" s="18"/>
      <c r="I333" s="18">
        <v>2025</v>
      </c>
      <c r="J333" s="18">
        <v>0.33000001311302185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9">
        <v>0</v>
      </c>
      <c r="Q333" s="18">
        <v>0</v>
      </c>
      <c r="R333" s="19">
        <v>0</v>
      </c>
      <c r="S333" s="18">
        <v>0</v>
      </c>
      <c r="T333" s="19">
        <v>0</v>
      </c>
      <c r="U333" s="18">
        <v>0.33000001311302185</v>
      </c>
      <c r="V333" s="19">
        <v>1.0000000397364297</v>
      </c>
      <c r="W333">
        <f t="shared" si="70"/>
        <v>0</v>
      </c>
      <c r="X333" s="19">
        <f t="shared" si="71"/>
        <v>0</v>
      </c>
      <c r="Y333">
        <f t="shared" si="72"/>
        <v>0.33000001311302185</v>
      </c>
      <c r="Z333" s="19">
        <f t="shared" si="73"/>
        <v>1.0000000397364297</v>
      </c>
      <c r="AA333" s="19">
        <f t="shared" si="74"/>
        <v>1.0000000397364297</v>
      </c>
      <c r="AB333" t="str">
        <f t="shared" si="75"/>
        <v>Rusak Berat Dominan</v>
      </c>
      <c r="AC333" s="19">
        <f>IF(Dashboard!$B$7="Mantap (%)",X333,IF(Dashboard!$B$7="Tidak Mantap (%)",Z333,IF(Dashboard!$B$7="Baik (%)",P333,IF(Dashboard!$B$7="Sedang (%)",R333,IF(Dashboard!$B$7="Rusak Ringan (%)",T333,IF(Dashboard!$B$7="Rusak Berat (%)",V333,AA333))))))</f>
        <v>1.0000000397364297</v>
      </c>
      <c r="AD333" s="20">
        <f>IF(AND(AF333=1,E333&gt;=Dashboard!$B$10,IF(Dashboard!$B$9="≤ Maksimum",AC333&lt;=Dashboard!$B$8,AC333&gt;=Dashboard!$B$8)),1,0)</f>
        <v>1</v>
      </c>
      <c r="AE333" s="20">
        <f>IF(AD333=1,COUNTIFS($AD$2:$AD$351,1,$AC$2:$AC$351,"&gt;"&amp;AC333)+COUNTIFS($AD$2:AD333,1,$AC$2:AC333,AC333),"")</f>
        <v>5</v>
      </c>
      <c r="AF333" s="20">
        <f>IF(OR(Dashboard!$B$6="Semua",ISNUMBER(SEARCH(Dashboard!$B$6,D333))),1,0)</f>
        <v>1</v>
      </c>
      <c r="AG333" s="18">
        <f t="shared" si="76"/>
        <v>0.33</v>
      </c>
      <c r="AH333" s="18">
        <f t="shared" si="77"/>
        <v>0</v>
      </c>
      <c r="AI333" s="18">
        <f t="shared" si="78"/>
        <v>0.33000001311302185</v>
      </c>
      <c r="AJ333" s="18">
        <f t="shared" si="79"/>
        <v>0.33000001311302185</v>
      </c>
      <c r="AK333" s="20">
        <f>IF(OR(Ruas_Per_Kecamatan!$B$4="Semua",ISNUMBER(SEARCH(Ruas_Per_Kecamatan!$B$4,D333))),1,0)</f>
        <v>1</v>
      </c>
      <c r="AL333" s="20">
        <f>IF(AK333=1,COUNTIF($AK$2:AK333,1),"")</f>
        <v>332</v>
      </c>
      <c r="AM333" s="18">
        <f t="shared" si="80"/>
        <v>0.33</v>
      </c>
      <c r="AN333" s="18">
        <f t="shared" si="81"/>
        <v>0</v>
      </c>
      <c r="AO333" s="18">
        <f t="shared" si="82"/>
        <v>0.33000001311302185</v>
      </c>
      <c r="AP333" s="18">
        <f t="shared" si="83"/>
        <v>0.33000001311302185</v>
      </c>
    </row>
    <row r="334" spans="1:42" x14ac:dyDescent="0.25">
      <c r="A334" s="17">
        <v>333</v>
      </c>
      <c r="B334" s="17" t="s">
        <v>784</v>
      </c>
      <c r="C334" s="21" t="s">
        <v>387</v>
      </c>
      <c r="D334" s="17" t="s">
        <v>365</v>
      </c>
      <c r="E334" s="18">
        <v>0.35</v>
      </c>
      <c r="F334" s="18">
        <v>3</v>
      </c>
      <c r="G334" s="18">
        <v>0</v>
      </c>
      <c r="H334" s="18"/>
      <c r="I334" s="18">
        <v>2025</v>
      </c>
      <c r="J334" s="18">
        <v>0.34999999403953552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9">
        <v>0</v>
      </c>
      <c r="Q334" s="18">
        <v>0</v>
      </c>
      <c r="R334" s="19">
        <v>0</v>
      </c>
      <c r="S334" s="18">
        <v>0</v>
      </c>
      <c r="T334" s="19">
        <v>0</v>
      </c>
      <c r="U334" s="18">
        <v>0.34999999403953552</v>
      </c>
      <c r="V334" s="19">
        <v>0.99999998297010151</v>
      </c>
      <c r="W334">
        <f t="shared" si="70"/>
        <v>0</v>
      </c>
      <c r="X334" s="19">
        <f t="shared" si="71"/>
        <v>0</v>
      </c>
      <c r="Y334">
        <f t="shared" si="72"/>
        <v>0.34999999403953552</v>
      </c>
      <c r="Z334" s="19">
        <f t="shared" si="73"/>
        <v>0.99999998297010151</v>
      </c>
      <c r="AA334" s="19">
        <f t="shared" si="74"/>
        <v>0.99999998297010151</v>
      </c>
      <c r="AB334" t="str">
        <f t="shared" si="75"/>
        <v>Rusak Berat Dominan</v>
      </c>
      <c r="AC334" s="19">
        <f>IF(Dashboard!$B$7="Mantap (%)",X334,IF(Dashboard!$B$7="Tidak Mantap (%)",Z334,IF(Dashboard!$B$7="Baik (%)",P334,IF(Dashboard!$B$7="Sedang (%)",R334,IF(Dashboard!$B$7="Rusak Ringan (%)",T334,IF(Dashboard!$B$7="Rusak Berat (%)",V334,AA334))))))</f>
        <v>0.99999998297010151</v>
      </c>
      <c r="AD334" s="20">
        <f>IF(AND(AF334=1,E334&gt;=Dashboard!$B$10,IF(Dashboard!$B$9="≤ Maksimum",AC334&lt;=Dashboard!$B$8,AC334&gt;=Dashboard!$B$8)),1,0)</f>
        <v>1</v>
      </c>
      <c r="AE334" s="20">
        <f>IF(AD334=1,COUNTIFS($AD$2:$AD$351,1,$AC$2:$AC$351,"&gt;"&amp;AC334)+COUNTIFS($AD$2:AD334,1,$AC$2:AC334,AC334),"")</f>
        <v>36</v>
      </c>
      <c r="AF334" s="20">
        <f>IF(OR(Dashboard!$B$6="Semua",ISNUMBER(SEARCH(Dashboard!$B$6,D334))),1,0)</f>
        <v>1</v>
      </c>
      <c r="AG334" s="18">
        <f t="shared" si="76"/>
        <v>0.35</v>
      </c>
      <c r="AH334" s="18">
        <f t="shared" si="77"/>
        <v>0</v>
      </c>
      <c r="AI334" s="18">
        <f t="shared" si="78"/>
        <v>0.34999999403953552</v>
      </c>
      <c r="AJ334" s="18">
        <f t="shared" si="79"/>
        <v>0.34999999403953552</v>
      </c>
      <c r="AK334" s="20">
        <f>IF(OR(Ruas_Per_Kecamatan!$B$4="Semua",ISNUMBER(SEARCH(Ruas_Per_Kecamatan!$B$4,D334))),1,0)</f>
        <v>1</v>
      </c>
      <c r="AL334" s="20">
        <f>IF(AK334=1,COUNTIF($AK$2:AK334,1),"")</f>
        <v>333</v>
      </c>
      <c r="AM334" s="18">
        <f t="shared" si="80"/>
        <v>0.35</v>
      </c>
      <c r="AN334" s="18">
        <f t="shared" si="81"/>
        <v>0</v>
      </c>
      <c r="AO334" s="18">
        <f t="shared" si="82"/>
        <v>0.34999999403953552</v>
      </c>
      <c r="AP334" s="18">
        <f t="shared" si="83"/>
        <v>0.34999999403953552</v>
      </c>
    </row>
    <row r="335" spans="1:42" x14ac:dyDescent="0.25">
      <c r="A335" s="17">
        <v>334</v>
      </c>
      <c r="B335" s="17" t="s">
        <v>785</v>
      </c>
      <c r="C335" s="21" t="s">
        <v>388</v>
      </c>
      <c r="D335" s="17" t="s">
        <v>365</v>
      </c>
      <c r="E335" s="18">
        <v>4.0999999999999996</v>
      </c>
      <c r="F335" s="18">
        <v>3</v>
      </c>
      <c r="G335" s="18">
        <v>0</v>
      </c>
      <c r="H335" s="18"/>
      <c r="I335" s="18">
        <v>2025</v>
      </c>
      <c r="J335" s="18">
        <v>0</v>
      </c>
      <c r="K335" s="18">
        <v>0</v>
      </c>
      <c r="L335" s="18">
        <v>2.4000000953674316</v>
      </c>
      <c r="M335" s="18">
        <v>0</v>
      </c>
      <c r="N335" s="18">
        <v>1.7000000476837158</v>
      </c>
      <c r="O335" s="18">
        <v>0</v>
      </c>
      <c r="P335" s="19">
        <v>0</v>
      </c>
      <c r="Q335" s="18">
        <v>0.10000000149011612</v>
      </c>
      <c r="R335" s="19">
        <v>2.4390244265881982E-2</v>
      </c>
      <c r="S335" s="18">
        <v>1.3999999761581421</v>
      </c>
      <c r="T335" s="19">
        <v>0.34146340881905907</v>
      </c>
      <c r="U335" s="18">
        <v>2.6000000238418579</v>
      </c>
      <c r="V335" s="19">
        <v>0.63414634727850194</v>
      </c>
      <c r="W335">
        <f t="shared" si="70"/>
        <v>0.10000000149011612</v>
      </c>
      <c r="X335" s="19">
        <f t="shared" si="71"/>
        <v>2.4390244265881982E-2</v>
      </c>
      <c r="Y335">
        <f t="shared" si="72"/>
        <v>4</v>
      </c>
      <c r="Z335" s="19">
        <f t="shared" si="73"/>
        <v>0.97560975609756106</v>
      </c>
      <c r="AA335" s="19">
        <f t="shared" si="74"/>
        <v>0.84512195363640785</v>
      </c>
      <c r="AB335" t="str">
        <f t="shared" si="75"/>
        <v>Rusak Berat Dominan</v>
      </c>
      <c r="AC335" s="19">
        <f>IF(Dashboard!$B$7="Mantap (%)",X335,IF(Dashboard!$B$7="Tidak Mantap (%)",Z335,IF(Dashboard!$B$7="Baik (%)",P335,IF(Dashboard!$B$7="Sedang (%)",R335,IF(Dashboard!$B$7="Rusak Ringan (%)",T335,IF(Dashboard!$B$7="Rusak Berat (%)",V335,AA335))))))</f>
        <v>0.97560975609756106</v>
      </c>
      <c r="AD335" s="20">
        <f>IF(AND(AF335=1,E335&gt;=Dashboard!$B$10,IF(Dashboard!$B$9="≤ Maksimum",AC335&lt;=Dashboard!$B$8,AC335&gt;=Dashboard!$B$8)),1,0)</f>
        <v>1</v>
      </c>
      <c r="AE335" s="20">
        <f>IF(AD335=1,COUNTIFS($AD$2:$AD$351,1,$AC$2:$AC$351,"&gt;"&amp;AC335)+COUNTIFS($AD$2:AD335,1,$AC$2:AC335,AC335),"")</f>
        <v>49</v>
      </c>
      <c r="AF335" s="20">
        <f>IF(OR(Dashboard!$B$6="Semua",ISNUMBER(SEARCH(Dashboard!$B$6,D335))),1,0)</f>
        <v>1</v>
      </c>
      <c r="AG335" s="18">
        <f t="shared" si="76"/>
        <v>4.0999999999999996</v>
      </c>
      <c r="AH335" s="18">
        <f t="shared" si="77"/>
        <v>0.10000000149011612</v>
      </c>
      <c r="AI335" s="18">
        <f t="shared" si="78"/>
        <v>4</v>
      </c>
      <c r="AJ335" s="18">
        <f t="shared" si="79"/>
        <v>2.6000000238418579</v>
      </c>
      <c r="AK335" s="20">
        <f>IF(OR(Ruas_Per_Kecamatan!$B$4="Semua",ISNUMBER(SEARCH(Ruas_Per_Kecamatan!$B$4,D335))),1,0)</f>
        <v>1</v>
      </c>
      <c r="AL335" s="20">
        <f>IF(AK335=1,COUNTIF($AK$2:AK335,1),"")</f>
        <v>334</v>
      </c>
      <c r="AM335" s="18">
        <f t="shared" si="80"/>
        <v>4.0999999999999996</v>
      </c>
      <c r="AN335" s="18">
        <f t="shared" si="81"/>
        <v>0.10000000149011612</v>
      </c>
      <c r="AO335" s="18">
        <f t="shared" si="82"/>
        <v>4</v>
      </c>
      <c r="AP335" s="18">
        <f t="shared" si="83"/>
        <v>2.6000000238418579</v>
      </c>
    </row>
    <row r="336" spans="1:42" x14ac:dyDescent="0.25">
      <c r="A336" s="17">
        <v>335</v>
      </c>
      <c r="B336" s="17" t="s">
        <v>786</v>
      </c>
      <c r="C336" s="21" t="s">
        <v>389</v>
      </c>
      <c r="D336" s="17" t="s">
        <v>365</v>
      </c>
      <c r="E336" s="18">
        <v>0.66</v>
      </c>
      <c r="F336" s="18">
        <v>2</v>
      </c>
      <c r="G336" s="18">
        <v>0</v>
      </c>
      <c r="H336" s="18"/>
      <c r="I336" s="18">
        <v>2025</v>
      </c>
      <c r="J336" s="18">
        <v>0</v>
      </c>
      <c r="K336" s="18">
        <v>0</v>
      </c>
      <c r="L336" s="18">
        <v>0.6600000262260437</v>
      </c>
      <c r="M336" s="18">
        <v>0</v>
      </c>
      <c r="N336" s="18">
        <v>0</v>
      </c>
      <c r="O336" s="18">
        <v>0</v>
      </c>
      <c r="P336" s="19">
        <v>0</v>
      </c>
      <c r="Q336" s="18">
        <v>0.6600000262260437</v>
      </c>
      <c r="R336" s="19">
        <v>1.0000000397364297</v>
      </c>
      <c r="S336" s="18">
        <v>0</v>
      </c>
      <c r="T336" s="19">
        <v>0</v>
      </c>
      <c r="U336" s="18">
        <v>0</v>
      </c>
      <c r="V336" s="19">
        <v>0</v>
      </c>
      <c r="W336">
        <f t="shared" si="70"/>
        <v>0.6600000262260437</v>
      </c>
      <c r="X336" s="19">
        <f t="shared" si="71"/>
        <v>1.0000000397364297</v>
      </c>
      <c r="Y336">
        <f t="shared" si="72"/>
        <v>0</v>
      </c>
      <c r="Z336" s="19">
        <f t="shared" si="73"/>
        <v>0</v>
      </c>
      <c r="AA336" s="19">
        <f t="shared" si="74"/>
        <v>0.25000000993410743</v>
      </c>
      <c r="AB336" t="str">
        <f t="shared" si="75"/>
        <v>Relatif Mantap</v>
      </c>
      <c r="AC336" s="19">
        <f>IF(Dashboard!$B$7="Mantap (%)",X336,IF(Dashboard!$B$7="Tidak Mantap (%)",Z336,IF(Dashboard!$B$7="Baik (%)",P336,IF(Dashboard!$B$7="Sedang (%)",R336,IF(Dashboard!$B$7="Rusak Ringan (%)",T336,IF(Dashboard!$B$7="Rusak Berat (%)",V336,AA336))))))</f>
        <v>0</v>
      </c>
      <c r="AD336" s="20">
        <f>IF(AND(AF336=1,E336&gt;=Dashboard!$B$10,IF(Dashboard!$B$9="≤ Maksimum",AC336&lt;=Dashboard!$B$8,AC336&gt;=Dashboard!$B$8)),1,0)</f>
        <v>0</v>
      </c>
      <c r="AE336" s="20" t="str">
        <f>IF(AD336=1,COUNTIFS($AD$2:$AD$351,1,$AC$2:$AC$351,"&gt;"&amp;AC336)+COUNTIFS($AD$2:AD336,1,$AC$2:AC336,AC336),"")</f>
        <v/>
      </c>
      <c r="AF336" s="20">
        <f>IF(OR(Dashboard!$B$6="Semua",ISNUMBER(SEARCH(Dashboard!$B$6,D336))),1,0)</f>
        <v>1</v>
      </c>
      <c r="AG336" s="18">
        <f t="shared" si="76"/>
        <v>0.66</v>
      </c>
      <c r="AH336" s="18">
        <f t="shared" si="77"/>
        <v>0.6600000262260437</v>
      </c>
      <c r="AI336" s="18">
        <f t="shared" si="78"/>
        <v>0</v>
      </c>
      <c r="AJ336" s="18">
        <f t="shared" si="79"/>
        <v>0</v>
      </c>
      <c r="AK336" s="20">
        <f>IF(OR(Ruas_Per_Kecamatan!$B$4="Semua",ISNUMBER(SEARCH(Ruas_Per_Kecamatan!$B$4,D336))),1,0)</f>
        <v>1</v>
      </c>
      <c r="AL336" s="20">
        <f>IF(AK336=1,COUNTIF($AK$2:AK336,1),"")</f>
        <v>335</v>
      </c>
      <c r="AM336" s="18">
        <f t="shared" si="80"/>
        <v>0.66</v>
      </c>
      <c r="AN336" s="18">
        <f t="shared" si="81"/>
        <v>0.6600000262260437</v>
      </c>
      <c r="AO336" s="18">
        <f t="shared" si="82"/>
        <v>0</v>
      </c>
      <c r="AP336" s="18">
        <f t="shared" si="83"/>
        <v>0</v>
      </c>
    </row>
    <row r="337" spans="1:42" x14ac:dyDescent="0.25">
      <c r="A337" s="17">
        <v>336</v>
      </c>
      <c r="B337" s="17" t="s">
        <v>787</v>
      </c>
      <c r="C337" s="21" t="s">
        <v>390</v>
      </c>
      <c r="D337" s="17" t="s">
        <v>365</v>
      </c>
      <c r="E337" s="18">
        <v>1.34</v>
      </c>
      <c r="F337" s="18">
        <v>2</v>
      </c>
      <c r="G337" s="18">
        <v>0</v>
      </c>
      <c r="H337" s="18"/>
      <c r="I337" s="18">
        <v>2025</v>
      </c>
      <c r="J337" s="18">
        <v>0</v>
      </c>
      <c r="K337" s="18">
        <v>0</v>
      </c>
      <c r="L337" s="18">
        <v>1.0399999618530273</v>
      </c>
      <c r="M337" s="18">
        <v>0</v>
      </c>
      <c r="N337" s="18">
        <v>0.30000001192092896</v>
      </c>
      <c r="O337" s="18">
        <v>0</v>
      </c>
      <c r="P337" s="19">
        <v>0</v>
      </c>
      <c r="Q337" s="18">
        <v>0.34000000357627869</v>
      </c>
      <c r="R337" s="19">
        <v>0.25373134595244679</v>
      </c>
      <c r="S337" s="18">
        <v>0.60000002384185791</v>
      </c>
      <c r="T337" s="19">
        <v>0.44776121182228201</v>
      </c>
      <c r="U337" s="18">
        <v>0.40000001341104507</v>
      </c>
      <c r="V337" s="19">
        <v>0.29850747269480976</v>
      </c>
      <c r="W337">
        <f t="shared" si="70"/>
        <v>0.34000000357627869</v>
      </c>
      <c r="X337" s="19">
        <f t="shared" si="71"/>
        <v>0.25373134595244679</v>
      </c>
      <c r="Y337">
        <f t="shared" si="72"/>
        <v>1.000000037252903</v>
      </c>
      <c r="Z337" s="19">
        <f t="shared" si="73"/>
        <v>0.74626868451709172</v>
      </c>
      <c r="AA337" s="19">
        <f t="shared" si="74"/>
        <v>0.63059703627629071</v>
      </c>
      <c r="AB337" t="str">
        <f t="shared" si="75"/>
        <v>Rusak Berat Dominan</v>
      </c>
      <c r="AC337" s="19">
        <f>IF(Dashboard!$B$7="Mantap (%)",X337,IF(Dashboard!$B$7="Tidak Mantap (%)",Z337,IF(Dashboard!$B$7="Baik (%)",P337,IF(Dashboard!$B$7="Sedang (%)",R337,IF(Dashboard!$B$7="Rusak Ringan (%)",T337,IF(Dashboard!$B$7="Rusak Berat (%)",V337,AA337))))))</f>
        <v>0.74626868451709172</v>
      </c>
      <c r="AD337" s="20">
        <f>IF(AND(AF337=1,E337&gt;=Dashboard!$B$10,IF(Dashboard!$B$9="≤ Maksimum",AC337&lt;=Dashboard!$B$8,AC337&gt;=Dashboard!$B$8)),1,0)</f>
        <v>1</v>
      </c>
      <c r="AE337" s="20">
        <f>IF(AD337=1,COUNTIFS($AD$2:$AD$351,1,$AC$2:$AC$351,"&gt;"&amp;AC337)+COUNTIFS($AD$2:AD337,1,$AC$2:AC337,AC337),"")</f>
        <v>76</v>
      </c>
      <c r="AF337" s="20">
        <f>IF(OR(Dashboard!$B$6="Semua",ISNUMBER(SEARCH(Dashboard!$B$6,D337))),1,0)</f>
        <v>1</v>
      </c>
      <c r="AG337" s="18">
        <f t="shared" si="76"/>
        <v>1.34</v>
      </c>
      <c r="AH337" s="18">
        <f t="shared" si="77"/>
        <v>0.34000000357627869</v>
      </c>
      <c r="AI337" s="18">
        <f t="shared" si="78"/>
        <v>1.000000037252903</v>
      </c>
      <c r="AJ337" s="18">
        <f t="shared" si="79"/>
        <v>0.40000001341104507</v>
      </c>
      <c r="AK337" s="20">
        <f>IF(OR(Ruas_Per_Kecamatan!$B$4="Semua",ISNUMBER(SEARCH(Ruas_Per_Kecamatan!$B$4,D337))),1,0)</f>
        <v>1</v>
      </c>
      <c r="AL337" s="20">
        <f>IF(AK337=1,COUNTIF($AK$2:AK337,1),"")</f>
        <v>336</v>
      </c>
      <c r="AM337" s="18">
        <f t="shared" si="80"/>
        <v>1.34</v>
      </c>
      <c r="AN337" s="18">
        <f t="shared" si="81"/>
        <v>0.34000000357627869</v>
      </c>
      <c r="AO337" s="18">
        <f t="shared" si="82"/>
        <v>1.000000037252903</v>
      </c>
      <c r="AP337" s="18">
        <f t="shared" si="83"/>
        <v>0.40000001341104507</v>
      </c>
    </row>
    <row r="338" spans="1:42" x14ac:dyDescent="0.25">
      <c r="A338" s="17">
        <v>337</v>
      </c>
      <c r="B338" s="17" t="s">
        <v>788</v>
      </c>
      <c r="C338" s="21" t="s">
        <v>391</v>
      </c>
      <c r="D338" s="17" t="s">
        <v>365</v>
      </c>
      <c r="E338" s="18">
        <v>0.56999999999999995</v>
      </c>
      <c r="F338" s="18">
        <v>3</v>
      </c>
      <c r="G338" s="18">
        <v>0</v>
      </c>
      <c r="H338" s="18"/>
      <c r="I338" s="18">
        <v>2025</v>
      </c>
      <c r="J338" s="18">
        <v>0</v>
      </c>
      <c r="K338" s="18">
        <v>0</v>
      </c>
      <c r="L338" s="18">
        <v>0.56999999284744263</v>
      </c>
      <c r="M338" s="18">
        <v>0</v>
      </c>
      <c r="N338" s="18">
        <v>0</v>
      </c>
      <c r="O338" s="18">
        <v>0</v>
      </c>
      <c r="P338" s="19">
        <v>0</v>
      </c>
      <c r="Q338" s="18">
        <v>0.27000001072883606</v>
      </c>
      <c r="R338" s="19">
        <v>0.47368422934883525</v>
      </c>
      <c r="S338" s="18">
        <v>0.10000000149011612</v>
      </c>
      <c r="T338" s="19">
        <v>0.17543859910546689</v>
      </c>
      <c r="U338" s="18">
        <v>0.20000000298023224</v>
      </c>
      <c r="V338" s="19">
        <v>0.35087719821093377</v>
      </c>
      <c r="W338">
        <f t="shared" si="70"/>
        <v>0.27000001072883606</v>
      </c>
      <c r="X338" s="19">
        <f t="shared" si="71"/>
        <v>0.47368422934883525</v>
      </c>
      <c r="Y338">
        <f t="shared" si="72"/>
        <v>0.30000000447034836</v>
      </c>
      <c r="Z338" s="19">
        <f t="shared" si="73"/>
        <v>0.52631579731640066</v>
      </c>
      <c r="AA338" s="19">
        <f t="shared" si="74"/>
        <v>0.57456141501142266</v>
      </c>
      <c r="AB338" t="str">
        <f t="shared" si="75"/>
        <v>Rusak Berat Dominan</v>
      </c>
      <c r="AC338" s="19">
        <f>IF(Dashboard!$B$7="Mantap (%)",X338,IF(Dashboard!$B$7="Tidak Mantap (%)",Z338,IF(Dashboard!$B$7="Baik (%)",P338,IF(Dashboard!$B$7="Sedang (%)",R338,IF(Dashboard!$B$7="Rusak Ringan (%)",T338,IF(Dashboard!$B$7="Rusak Berat (%)",V338,AA338))))))</f>
        <v>0.52631579731640066</v>
      </c>
      <c r="AD338" s="20">
        <f>IF(AND(AF338=1,E338&gt;=Dashboard!$B$10,IF(Dashboard!$B$9="≤ Maksimum",AC338&lt;=Dashboard!$B$8,AC338&gt;=Dashboard!$B$8)),1,0)</f>
        <v>1</v>
      </c>
      <c r="AE338" s="20">
        <f>IF(AD338=1,COUNTIFS($AD$2:$AD$351,1,$AC$2:$AC$351,"&gt;"&amp;AC338)+COUNTIFS($AD$2:AD338,1,$AC$2:AC338,AC338),"")</f>
        <v>119</v>
      </c>
      <c r="AF338" s="20">
        <f>IF(OR(Dashboard!$B$6="Semua",ISNUMBER(SEARCH(Dashboard!$B$6,D338))),1,0)</f>
        <v>1</v>
      </c>
      <c r="AG338" s="18">
        <f t="shared" si="76"/>
        <v>0.56999999999999995</v>
      </c>
      <c r="AH338" s="18">
        <f t="shared" si="77"/>
        <v>0.27000001072883606</v>
      </c>
      <c r="AI338" s="18">
        <f t="shared" si="78"/>
        <v>0.30000000447034836</v>
      </c>
      <c r="AJ338" s="18">
        <f t="shared" si="79"/>
        <v>0.20000000298023224</v>
      </c>
      <c r="AK338" s="20">
        <f>IF(OR(Ruas_Per_Kecamatan!$B$4="Semua",ISNUMBER(SEARCH(Ruas_Per_Kecamatan!$B$4,D338))),1,0)</f>
        <v>1</v>
      </c>
      <c r="AL338" s="20">
        <f>IF(AK338=1,COUNTIF($AK$2:AK338,1),"")</f>
        <v>337</v>
      </c>
      <c r="AM338" s="18">
        <f t="shared" si="80"/>
        <v>0.56999999999999995</v>
      </c>
      <c r="AN338" s="18">
        <f t="shared" si="81"/>
        <v>0.27000001072883606</v>
      </c>
      <c r="AO338" s="18">
        <f t="shared" si="82"/>
        <v>0.30000000447034836</v>
      </c>
      <c r="AP338" s="18">
        <f t="shared" si="83"/>
        <v>0.20000000298023224</v>
      </c>
    </row>
    <row r="339" spans="1:42" x14ac:dyDescent="0.25">
      <c r="A339" s="17">
        <v>338</v>
      </c>
      <c r="B339" s="17" t="s">
        <v>789</v>
      </c>
      <c r="C339" s="21" t="s">
        <v>392</v>
      </c>
      <c r="D339" s="17" t="s">
        <v>393</v>
      </c>
      <c r="E339" s="18">
        <v>6.93</v>
      </c>
      <c r="F339" s="18">
        <v>3.6099998950958252</v>
      </c>
      <c r="G339" s="18">
        <v>0</v>
      </c>
      <c r="H339" s="18"/>
      <c r="I339" s="18">
        <v>2025</v>
      </c>
      <c r="J339" s="18">
        <v>3.5999999046325684</v>
      </c>
      <c r="K339" s="18">
        <v>0</v>
      </c>
      <c r="L339" s="18">
        <v>1.9299999475479126</v>
      </c>
      <c r="M339" s="18">
        <v>1.3999999761581421</v>
      </c>
      <c r="N339" s="18">
        <v>0</v>
      </c>
      <c r="O339" s="18">
        <v>0</v>
      </c>
      <c r="P339" s="19">
        <v>0</v>
      </c>
      <c r="Q339" s="18">
        <v>1.9299999475479126</v>
      </c>
      <c r="R339" s="19">
        <v>0.27849927093043475</v>
      </c>
      <c r="S339" s="18">
        <v>0.60000002384185791</v>
      </c>
      <c r="T339" s="19">
        <v>8.6580090020470124E-2</v>
      </c>
      <c r="U339" s="18">
        <v>4.3999999761581421</v>
      </c>
      <c r="V339" s="19">
        <v>0.63492063148025146</v>
      </c>
      <c r="W339">
        <f t="shared" si="70"/>
        <v>1.9299999475479126</v>
      </c>
      <c r="X339" s="19">
        <f t="shared" si="71"/>
        <v>0.27849927093043475</v>
      </c>
      <c r="Y339">
        <f t="shared" si="72"/>
        <v>5</v>
      </c>
      <c r="Z339" s="19">
        <f t="shared" si="73"/>
        <v>0.72150072150072153</v>
      </c>
      <c r="AA339" s="19">
        <f t="shared" si="74"/>
        <v>0.75649350322514219</v>
      </c>
      <c r="AB339" t="str">
        <f t="shared" si="75"/>
        <v>Rusak Berat Dominan</v>
      </c>
      <c r="AC339" s="19">
        <f>IF(Dashboard!$B$7="Mantap (%)",X339,IF(Dashboard!$B$7="Tidak Mantap (%)",Z339,IF(Dashboard!$B$7="Baik (%)",P339,IF(Dashboard!$B$7="Sedang (%)",R339,IF(Dashboard!$B$7="Rusak Ringan (%)",T339,IF(Dashboard!$B$7="Rusak Berat (%)",V339,AA339))))))</f>
        <v>0.72150072150072153</v>
      </c>
      <c r="AD339" s="20">
        <f>IF(AND(AF339=1,E339&gt;=Dashboard!$B$10,IF(Dashboard!$B$9="≤ Maksimum",AC339&lt;=Dashboard!$B$8,AC339&gt;=Dashboard!$B$8)),1,0)</f>
        <v>1</v>
      </c>
      <c r="AE339" s="20">
        <f>IF(AD339=1,COUNTIFS($AD$2:$AD$351,1,$AC$2:$AC$351,"&gt;"&amp;AC339)+COUNTIFS($AD$2:AD339,1,$AC$2:AC339,AC339),"")</f>
        <v>81</v>
      </c>
      <c r="AF339" s="20">
        <f>IF(OR(Dashboard!$B$6="Semua",ISNUMBER(SEARCH(Dashboard!$B$6,D339))),1,0)</f>
        <v>1</v>
      </c>
      <c r="AG339" s="18">
        <f t="shared" si="76"/>
        <v>6.93</v>
      </c>
      <c r="AH339" s="18">
        <f t="shared" si="77"/>
        <v>1.9299999475479126</v>
      </c>
      <c r="AI339" s="18">
        <f t="shared" si="78"/>
        <v>5</v>
      </c>
      <c r="AJ339" s="18">
        <f t="shared" si="79"/>
        <v>4.3999999761581421</v>
      </c>
      <c r="AK339" s="20">
        <f>IF(OR(Ruas_Per_Kecamatan!$B$4="Semua",ISNUMBER(SEARCH(Ruas_Per_Kecamatan!$B$4,D339))),1,0)</f>
        <v>1</v>
      </c>
      <c r="AL339" s="20">
        <f>IF(AK339=1,COUNTIF($AK$2:AK339,1),"")</f>
        <v>338</v>
      </c>
      <c r="AM339" s="18">
        <f t="shared" si="80"/>
        <v>6.93</v>
      </c>
      <c r="AN339" s="18">
        <f t="shared" si="81"/>
        <v>1.9299999475479126</v>
      </c>
      <c r="AO339" s="18">
        <f t="shared" si="82"/>
        <v>5</v>
      </c>
      <c r="AP339" s="18">
        <f t="shared" si="83"/>
        <v>4.3999999761581421</v>
      </c>
    </row>
    <row r="340" spans="1:42" x14ac:dyDescent="0.25">
      <c r="A340" s="17">
        <v>339</v>
      </c>
      <c r="B340" s="17" t="s">
        <v>790</v>
      </c>
      <c r="C340" s="21" t="s">
        <v>394</v>
      </c>
      <c r="D340" s="17" t="s">
        <v>393</v>
      </c>
      <c r="E340" s="18">
        <v>2.33</v>
      </c>
      <c r="F340" s="18">
        <v>4</v>
      </c>
      <c r="G340" s="18">
        <v>0</v>
      </c>
      <c r="H340" s="18"/>
      <c r="I340" s="18">
        <v>2025</v>
      </c>
      <c r="J340" s="18">
        <v>0</v>
      </c>
      <c r="K340" s="18">
        <v>0</v>
      </c>
      <c r="L340" s="18">
        <v>0</v>
      </c>
      <c r="M340" s="18">
        <v>0</v>
      </c>
      <c r="N340" s="18">
        <v>2.3299999237060547</v>
      </c>
      <c r="O340" s="18">
        <v>0</v>
      </c>
      <c r="P340" s="19">
        <v>0</v>
      </c>
      <c r="Q340" s="18">
        <v>0</v>
      </c>
      <c r="R340" s="19">
        <v>0</v>
      </c>
      <c r="S340" s="18">
        <v>0</v>
      </c>
      <c r="T340" s="19">
        <v>0</v>
      </c>
      <c r="U340" s="18">
        <v>2.3299999237060547</v>
      </c>
      <c r="V340" s="19">
        <v>0.99999996725581741</v>
      </c>
      <c r="W340">
        <f t="shared" si="70"/>
        <v>0</v>
      </c>
      <c r="X340" s="19">
        <f t="shared" si="71"/>
        <v>0</v>
      </c>
      <c r="Y340">
        <f t="shared" si="72"/>
        <v>2.3299999237060547</v>
      </c>
      <c r="Z340" s="19">
        <f t="shared" si="73"/>
        <v>0.99999996725581741</v>
      </c>
      <c r="AA340" s="19">
        <f t="shared" si="74"/>
        <v>0.99999996725581741</v>
      </c>
      <c r="AB340" t="str">
        <f t="shared" si="75"/>
        <v>Rusak Berat Dominan</v>
      </c>
      <c r="AC340" s="19">
        <f>IF(Dashboard!$B$7="Mantap (%)",X340,IF(Dashboard!$B$7="Tidak Mantap (%)",Z340,IF(Dashboard!$B$7="Baik (%)",P340,IF(Dashboard!$B$7="Sedang (%)",R340,IF(Dashboard!$B$7="Rusak Ringan (%)",T340,IF(Dashboard!$B$7="Rusak Berat (%)",V340,AA340))))))</f>
        <v>0.99999996725581741</v>
      </c>
      <c r="AD340" s="20">
        <f>IF(AND(AF340=1,E340&gt;=Dashboard!$B$10,IF(Dashboard!$B$9="≤ Maksimum",AC340&lt;=Dashboard!$B$8,AC340&gt;=Dashboard!$B$8)),1,0)</f>
        <v>1</v>
      </c>
      <c r="AE340" s="20">
        <f>IF(AD340=1,COUNTIFS($AD$2:$AD$351,1,$AC$2:$AC$351,"&gt;"&amp;AC340)+COUNTIFS($AD$2:AD340,1,$AC$2:AC340,AC340),"")</f>
        <v>46</v>
      </c>
      <c r="AF340" s="20">
        <f>IF(OR(Dashboard!$B$6="Semua",ISNUMBER(SEARCH(Dashboard!$B$6,D340))),1,0)</f>
        <v>1</v>
      </c>
      <c r="AG340" s="18">
        <f t="shared" si="76"/>
        <v>2.33</v>
      </c>
      <c r="AH340" s="18">
        <f t="shared" si="77"/>
        <v>0</v>
      </c>
      <c r="AI340" s="18">
        <f t="shared" si="78"/>
        <v>2.3299999237060547</v>
      </c>
      <c r="AJ340" s="18">
        <f t="shared" si="79"/>
        <v>2.3299999237060547</v>
      </c>
      <c r="AK340" s="20">
        <f>IF(OR(Ruas_Per_Kecamatan!$B$4="Semua",ISNUMBER(SEARCH(Ruas_Per_Kecamatan!$B$4,D340))),1,0)</f>
        <v>1</v>
      </c>
      <c r="AL340" s="20">
        <f>IF(AK340=1,COUNTIF($AK$2:AK340,1),"")</f>
        <v>339</v>
      </c>
      <c r="AM340" s="18">
        <f t="shared" si="80"/>
        <v>2.33</v>
      </c>
      <c r="AN340" s="18">
        <f t="shared" si="81"/>
        <v>0</v>
      </c>
      <c r="AO340" s="18">
        <f t="shared" si="82"/>
        <v>2.3299999237060547</v>
      </c>
      <c r="AP340" s="18">
        <f t="shared" si="83"/>
        <v>2.3299999237060547</v>
      </c>
    </row>
    <row r="341" spans="1:42" x14ac:dyDescent="0.25">
      <c r="A341" s="17">
        <v>340</v>
      </c>
      <c r="B341" s="17" t="s">
        <v>791</v>
      </c>
      <c r="C341" s="21" t="s">
        <v>395</v>
      </c>
      <c r="D341" s="17" t="s">
        <v>393</v>
      </c>
      <c r="E341" s="18">
        <v>7.58</v>
      </c>
      <c r="F341" s="18">
        <v>3.5</v>
      </c>
      <c r="G341" s="18">
        <v>0</v>
      </c>
      <c r="H341" s="18"/>
      <c r="I341" s="18">
        <v>2025</v>
      </c>
      <c r="J341" s="18">
        <v>3</v>
      </c>
      <c r="K341" s="18">
        <v>0</v>
      </c>
      <c r="L341" s="18">
        <v>0</v>
      </c>
      <c r="M341" s="18">
        <v>0</v>
      </c>
      <c r="N341" s="18">
        <v>4.5799999237060547</v>
      </c>
      <c r="O341" s="18">
        <v>2.0999999046325684</v>
      </c>
      <c r="P341" s="19">
        <v>0.27704484229981113</v>
      </c>
      <c r="Q341" s="18">
        <v>0.40000000596046448</v>
      </c>
      <c r="R341" s="19">
        <v>5.2770449335153624E-2</v>
      </c>
      <c r="S341" s="18">
        <v>0.10000000149011612</v>
      </c>
      <c r="T341" s="19">
        <v>1.3192612333788406E-2</v>
      </c>
      <c r="U341" s="18">
        <v>4.9799999296665192</v>
      </c>
      <c r="V341" s="19">
        <v>0.65699207515389435</v>
      </c>
      <c r="W341">
        <f t="shared" si="70"/>
        <v>2.4999999105930328</v>
      </c>
      <c r="X341" s="19">
        <f t="shared" si="71"/>
        <v>0.32981529163496476</v>
      </c>
      <c r="Y341">
        <f t="shared" si="72"/>
        <v>5.0799999311566353</v>
      </c>
      <c r="Z341" s="19">
        <f t="shared" si="73"/>
        <v>0.67018468748768278</v>
      </c>
      <c r="AA341" s="19">
        <f t="shared" si="74"/>
        <v>0.67810025488795578</v>
      </c>
      <c r="AB341" t="str">
        <f t="shared" si="75"/>
        <v>Rusak Berat Dominan</v>
      </c>
      <c r="AC341" s="19">
        <f>IF(Dashboard!$B$7="Mantap (%)",X341,IF(Dashboard!$B$7="Tidak Mantap (%)",Z341,IF(Dashboard!$B$7="Baik (%)",P341,IF(Dashboard!$B$7="Sedang (%)",R341,IF(Dashboard!$B$7="Rusak Ringan (%)",T341,IF(Dashboard!$B$7="Rusak Berat (%)",V341,AA341))))))</f>
        <v>0.67018468748768278</v>
      </c>
      <c r="AD341" s="20">
        <f>IF(AND(AF341=1,E341&gt;=Dashboard!$B$10,IF(Dashboard!$B$9="≤ Maksimum",AC341&lt;=Dashboard!$B$8,AC341&gt;=Dashboard!$B$8)),1,0)</f>
        <v>1</v>
      </c>
      <c r="AE341" s="20">
        <f>IF(AD341=1,COUNTIFS($AD$2:$AD$351,1,$AC$2:$AC$351,"&gt;"&amp;AC341)+COUNTIFS($AD$2:AD341,1,$AC$2:AC341,AC341),"")</f>
        <v>94</v>
      </c>
      <c r="AF341" s="20">
        <f>IF(OR(Dashboard!$B$6="Semua",ISNUMBER(SEARCH(Dashboard!$B$6,D341))),1,0)</f>
        <v>1</v>
      </c>
      <c r="AG341" s="18">
        <f t="shared" si="76"/>
        <v>7.58</v>
      </c>
      <c r="AH341" s="18">
        <f t="shared" si="77"/>
        <v>2.4999999105930328</v>
      </c>
      <c r="AI341" s="18">
        <f t="shared" si="78"/>
        <v>5.0799999311566353</v>
      </c>
      <c r="AJ341" s="18">
        <f t="shared" si="79"/>
        <v>4.9799999296665192</v>
      </c>
      <c r="AK341" s="20">
        <f>IF(OR(Ruas_Per_Kecamatan!$B$4="Semua",ISNUMBER(SEARCH(Ruas_Per_Kecamatan!$B$4,D341))),1,0)</f>
        <v>1</v>
      </c>
      <c r="AL341" s="20">
        <f>IF(AK341=1,COUNTIF($AK$2:AK341,1),"")</f>
        <v>340</v>
      </c>
      <c r="AM341" s="18">
        <f t="shared" si="80"/>
        <v>7.58</v>
      </c>
      <c r="AN341" s="18">
        <f t="shared" si="81"/>
        <v>2.4999999105930328</v>
      </c>
      <c r="AO341" s="18">
        <f t="shared" si="82"/>
        <v>5.0799999311566353</v>
      </c>
      <c r="AP341" s="18">
        <f t="shared" si="83"/>
        <v>4.9799999296665192</v>
      </c>
    </row>
    <row r="342" spans="1:42" x14ac:dyDescent="0.25">
      <c r="A342" s="17">
        <v>341</v>
      </c>
      <c r="B342" s="17" t="s">
        <v>792</v>
      </c>
      <c r="C342" s="21" t="s">
        <v>396</v>
      </c>
      <c r="D342" s="17" t="s">
        <v>393</v>
      </c>
      <c r="E342" s="18">
        <v>5.61</v>
      </c>
      <c r="F342" s="18">
        <v>3</v>
      </c>
      <c r="G342" s="18">
        <v>0</v>
      </c>
      <c r="H342" s="18"/>
      <c r="I342" s="18">
        <v>2025</v>
      </c>
      <c r="J342" s="18">
        <v>0</v>
      </c>
      <c r="K342" s="18">
        <v>0</v>
      </c>
      <c r="L342" s="18">
        <v>0</v>
      </c>
      <c r="M342" s="18">
        <v>0</v>
      </c>
      <c r="N342" s="18">
        <v>5.6100001335144043</v>
      </c>
      <c r="O342" s="18">
        <v>0</v>
      </c>
      <c r="P342" s="19">
        <v>0</v>
      </c>
      <c r="Q342" s="18">
        <v>0</v>
      </c>
      <c r="R342" s="19">
        <v>0</v>
      </c>
      <c r="S342" s="18">
        <v>0</v>
      </c>
      <c r="T342" s="19">
        <v>0</v>
      </c>
      <c r="U342" s="18">
        <v>5.6100001335144043</v>
      </c>
      <c r="V342" s="19">
        <v>1.0000000237993589</v>
      </c>
      <c r="W342">
        <f t="shared" si="70"/>
        <v>0</v>
      </c>
      <c r="X342" s="19">
        <f t="shared" si="71"/>
        <v>0</v>
      </c>
      <c r="Y342">
        <f t="shared" si="72"/>
        <v>5.6100001335144043</v>
      </c>
      <c r="Z342" s="19">
        <f t="shared" si="73"/>
        <v>1.0000000237993589</v>
      </c>
      <c r="AA342" s="19">
        <f t="shared" si="74"/>
        <v>1.0000000237993589</v>
      </c>
      <c r="AB342" t="str">
        <f t="shared" si="75"/>
        <v>Rusak Berat Dominan</v>
      </c>
      <c r="AC342" s="19">
        <f>IF(Dashboard!$B$7="Mantap (%)",X342,IF(Dashboard!$B$7="Tidak Mantap (%)",Z342,IF(Dashboard!$B$7="Baik (%)",P342,IF(Dashboard!$B$7="Sedang (%)",R342,IF(Dashboard!$B$7="Rusak Ringan (%)",T342,IF(Dashboard!$B$7="Rusak Berat (%)",V342,AA342))))))</f>
        <v>1.0000000237993589</v>
      </c>
      <c r="AD342" s="20">
        <f>IF(AND(AF342=1,E342&gt;=Dashboard!$B$10,IF(Dashboard!$B$9="≤ Maksimum",AC342&lt;=Dashboard!$B$8,AC342&gt;=Dashboard!$B$8)),1,0)</f>
        <v>1</v>
      </c>
      <c r="AE342" s="20">
        <f>IF(AD342=1,COUNTIFS($AD$2:$AD$351,1,$AC$2:$AC$351,"&gt;"&amp;AC342)+COUNTIFS($AD$2:AD342,1,$AC$2:AC342,AC342),"")</f>
        <v>14</v>
      </c>
      <c r="AF342" s="20">
        <f>IF(OR(Dashboard!$B$6="Semua",ISNUMBER(SEARCH(Dashboard!$B$6,D342))),1,0)</f>
        <v>1</v>
      </c>
      <c r="AG342" s="18">
        <f t="shared" si="76"/>
        <v>5.61</v>
      </c>
      <c r="AH342" s="18">
        <f t="shared" si="77"/>
        <v>0</v>
      </c>
      <c r="AI342" s="18">
        <f t="shared" si="78"/>
        <v>5.6100001335144043</v>
      </c>
      <c r="AJ342" s="18">
        <f t="shared" si="79"/>
        <v>5.6100001335144043</v>
      </c>
      <c r="AK342" s="20">
        <f>IF(OR(Ruas_Per_Kecamatan!$B$4="Semua",ISNUMBER(SEARCH(Ruas_Per_Kecamatan!$B$4,D342))),1,0)</f>
        <v>1</v>
      </c>
      <c r="AL342" s="20">
        <f>IF(AK342=1,COUNTIF($AK$2:AK342,1),"")</f>
        <v>341</v>
      </c>
      <c r="AM342" s="18">
        <f t="shared" si="80"/>
        <v>5.61</v>
      </c>
      <c r="AN342" s="18">
        <f t="shared" si="81"/>
        <v>0</v>
      </c>
      <c r="AO342" s="18">
        <f t="shared" si="82"/>
        <v>5.6100001335144043</v>
      </c>
      <c r="AP342" s="18">
        <f t="shared" si="83"/>
        <v>5.6100001335144043</v>
      </c>
    </row>
    <row r="343" spans="1:42" x14ac:dyDescent="0.25">
      <c r="A343" s="17">
        <v>342</v>
      </c>
      <c r="B343" s="17" t="s">
        <v>793</v>
      </c>
      <c r="C343" s="21" t="s">
        <v>397</v>
      </c>
      <c r="D343" s="17" t="s">
        <v>393</v>
      </c>
      <c r="E343" s="18">
        <v>8.0299999999999994</v>
      </c>
      <c r="F343" s="18">
        <v>3</v>
      </c>
      <c r="G343" s="18">
        <v>0</v>
      </c>
      <c r="H343" s="18"/>
      <c r="I343" s="18">
        <v>2025</v>
      </c>
      <c r="J343" s="18">
        <v>0</v>
      </c>
      <c r="K343" s="18">
        <v>0</v>
      </c>
      <c r="L343" s="18">
        <v>0</v>
      </c>
      <c r="M343" s="18">
        <v>0</v>
      </c>
      <c r="N343" s="18">
        <v>8.0299997329711914</v>
      </c>
      <c r="O343" s="18">
        <v>0</v>
      </c>
      <c r="P343" s="19">
        <v>0</v>
      </c>
      <c r="Q343" s="18">
        <v>0</v>
      </c>
      <c r="R343" s="19">
        <v>0</v>
      </c>
      <c r="S343" s="18">
        <v>0</v>
      </c>
      <c r="T343" s="19">
        <v>0</v>
      </c>
      <c r="U343" s="18">
        <v>8.0299997329711914</v>
      </c>
      <c r="V343" s="19">
        <v>0.99999996674610114</v>
      </c>
      <c r="W343">
        <f t="shared" si="70"/>
        <v>0</v>
      </c>
      <c r="X343" s="19">
        <f t="shared" si="71"/>
        <v>0</v>
      </c>
      <c r="Y343">
        <f t="shared" si="72"/>
        <v>8.0299997329711914</v>
      </c>
      <c r="Z343" s="19">
        <f t="shared" si="73"/>
        <v>0.99999996674610114</v>
      </c>
      <c r="AA343" s="19">
        <f t="shared" si="74"/>
        <v>0.99999996674610114</v>
      </c>
      <c r="AB343" t="str">
        <f t="shared" si="75"/>
        <v>Rusak Berat Dominan</v>
      </c>
      <c r="AC343" s="19">
        <f>IF(Dashboard!$B$7="Mantap (%)",X343,IF(Dashboard!$B$7="Tidak Mantap (%)",Z343,IF(Dashboard!$B$7="Baik (%)",P343,IF(Dashboard!$B$7="Sedang (%)",R343,IF(Dashboard!$B$7="Rusak Ringan (%)",T343,IF(Dashboard!$B$7="Rusak Berat (%)",V343,AA343))))))</f>
        <v>0.99999996674610114</v>
      </c>
      <c r="AD343" s="20">
        <f>IF(AND(AF343=1,E343&gt;=Dashboard!$B$10,IF(Dashboard!$B$9="≤ Maksimum",AC343&lt;=Dashboard!$B$8,AC343&gt;=Dashboard!$B$8)),1,0)</f>
        <v>1</v>
      </c>
      <c r="AE343" s="20">
        <f>IF(AD343=1,COUNTIFS($AD$2:$AD$351,1,$AC$2:$AC$351,"&gt;"&amp;AC343)+COUNTIFS($AD$2:AD343,1,$AC$2:AC343,AC343),"")</f>
        <v>47</v>
      </c>
      <c r="AF343" s="20">
        <f>IF(OR(Dashboard!$B$6="Semua",ISNUMBER(SEARCH(Dashboard!$B$6,D343))),1,0)</f>
        <v>1</v>
      </c>
      <c r="AG343" s="18">
        <f t="shared" si="76"/>
        <v>8.0299999999999994</v>
      </c>
      <c r="AH343" s="18">
        <f t="shared" si="77"/>
        <v>0</v>
      </c>
      <c r="AI343" s="18">
        <f t="shared" si="78"/>
        <v>8.0299997329711914</v>
      </c>
      <c r="AJ343" s="18">
        <f t="shared" si="79"/>
        <v>8.0299997329711914</v>
      </c>
      <c r="AK343" s="20">
        <f>IF(OR(Ruas_Per_Kecamatan!$B$4="Semua",ISNUMBER(SEARCH(Ruas_Per_Kecamatan!$B$4,D343))),1,0)</f>
        <v>1</v>
      </c>
      <c r="AL343" s="20">
        <f>IF(AK343=1,COUNTIF($AK$2:AK343,1),"")</f>
        <v>342</v>
      </c>
      <c r="AM343" s="18">
        <f t="shared" si="80"/>
        <v>8.0299999999999994</v>
      </c>
      <c r="AN343" s="18">
        <f t="shared" si="81"/>
        <v>0</v>
      </c>
      <c r="AO343" s="18">
        <f t="shared" si="82"/>
        <v>8.0299997329711914</v>
      </c>
      <c r="AP343" s="18">
        <f t="shared" si="83"/>
        <v>8.0299997329711914</v>
      </c>
    </row>
    <row r="344" spans="1:42" x14ac:dyDescent="0.25">
      <c r="A344" s="17">
        <v>343</v>
      </c>
      <c r="B344" s="17" t="s">
        <v>794</v>
      </c>
      <c r="C344" s="21" t="s">
        <v>398</v>
      </c>
      <c r="D344" s="17" t="s">
        <v>393</v>
      </c>
      <c r="E344" s="18">
        <v>3.1</v>
      </c>
      <c r="F344" s="18">
        <v>3</v>
      </c>
      <c r="G344" s="18">
        <v>0</v>
      </c>
      <c r="H344" s="18"/>
      <c r="I344" s="18">
        <v>2025</v>
      </c>
      <c r="J344" s="18">
        <v>0</v>
      </c>
      <c r="K344" s="18">
        <v>0</v>
      </c>
      <c r="L344" s="18">
        <v>0</v>
      </c>
      <c r="M344" s="18">
        <v>0</v>
      </c>
      <c r="N344" s="18">
        <v>3.0999999046325684</v>
      </c>
      <c r="O344" s="18">
        <v>0</v>
      </c>
      <c r="P344" s="19">
        <v>0</v>
      </c>
      <c r="Q344" s="18">
        <v>0</v>
      </c>
      <c r="R344" s="19">
        <v>0</v>
      </c>
      <c r="S344" s="18">
        <v>0</v>
      </c>
      <c r="T344" s="19">
        <v>0</v>
      </c>
      <c r="U344" s="18">
        <v>3.0999999046325684</v>
      </c>
      <c r="V344" s="19">
        <v>0.99999996923631229</v>
      </c>
      <c r="W344">
        <f t="shared" si="70"/>
        <v>0</v>
      </c>
      <c r="X344" s="19">
        <f t="shared" si="71"/>
        <v>0</v>
      </c>
      <c r="Y344">
        <f t="shared" si="72"/>
        <v>3.0999999046325684</v>
      </c>
      <c r="Z344" s="19">
        <f t="shared" si="73"/>
        <v>0.99999996923631229</v>
      </c>
      <c r="AA344" s="19">
        <f t="shared" si="74"/>
        <v>0.99999996923631229</v>
      </c>
      <c r="AB344" t="str">
        <f t="shared" si="75"/>
        <v>Rusak Berat Dominan</v>
      </c>
      <c r="AC344" s="19">
        <f>IF(Dashboard!$B$7="Mantap (%)",X344,IF(Dashboard!$B$7="Tidak Mantap (%)",Z344,IF(Dashboard!$B$7="Baik (%)",P344,IF(Dashboard!$B$7="Sedang (%)",R344,IF(Dashboard!$B$7="Rusak Ringan (%)",T344,IF(Dashboard!$B$7="Rusak Berat (%)",V344,AA344))))))</f>
        <v>0.99999996923631229</v>
      </c>
      <c r="AD344" s="20">
        <f>IF(AND(AF344=1,E344&gt;=Dashboard!$B$10,IF(Dashboard!$B$9="≤ Maksimum",AC344&lt;=Dashboard!$B$8,AC344&gt;=Dashboard!$B$8)),1,0)</f>
        <v>1</v>
      </c>
      <c r="AE344" s="20">
        <f>IF(AD344=1,COUNTIFS($AD$2:$AD$351,1,$AC$2:$AC$351,"&gt;"&amp;AC344)+COUNTIFS($AD$2:AD344,1,$AC$2:AC344,AC344),"")</f>
        <v>44</v>
      </c>
      <c r="AF344" s="20">
        <f>IF(OR(Dashboard!$B$6="Semua",ISNUMBER(SEARCH(Dashboard!$B$6,D344))),1,0)</f>
        <v>1</v>
      </c>
      <c r="AG344" s="18">
        <f t="shared" si="76"/>
        <v>3.1</v>
      </c>
      <c r="AH344" s="18">
        <f t="shared" si="77"/>
        <v>0</v>
      </c>
      <c r="AI344" s="18">
        <f t="shared" si="78"/>
        <v>3.0999999046325684</v>
      </c>
      <c r="AJ344" s="18">
        <f t="shared" si="79"/>
        <v>3.0999999046325684</v>
      </c>
      <c r="AK344" s="20">
        <f>IF(OR(Ruas_Per_Kecamatan!$B$4="Semua",ISNUMBER(SEARCH(Ruas_Per_Kecamatan!$B$4,D344))),1,0)</f>
        <v>1</v>
      </c>
      <c r="AL344" s="20">
        <f>IF(AK344=1,COUNTIF($AK$2:AK344,1),"")</f>
        <v>343</v>
      </c>
      <c r="AM344" s="18">
        <f t="shared" si="80"/>
        <v>3.1</v>
      </c>
      <c r="AN344" s="18">
        <f t="shared" si="81"/>
        <v>0</v>
      </c>
      <c r="AO344" s="18">
        <f t="shared" si="82"/>
        <v>3.0999999046325684</v>
      </c>
      <c r="AP344" s="18">
        <f t="shared" si="83"/>
        <v>3.0999999046325684</v>
      </c>
    </row>
    <row r="345" spans="1:42" x14ac:dyDescent="0.25">
      <c r="A345" s="17">
        <v>344</v>
      </c>
      <c r="B345" s="17" t="s">
        <v>795</v>
      </c>
      <c r="C345" s="21" t="s">
        <v>399</v>
      </c>
      <c r="D345" s="17" t="s">
        <v>29</v>
      </c>
      <c r="E345" s="18">
        <v>0.7</v>
      </c>
      <c r="F345" s="18">
        <v>3.5</v>
      </c>
      <c r="G345" s="18">
        <v>0</v>
      </c>
      <c r="H345" s="18"/>
      <c r="I345" s="18">
        <v>2025</v>
      </c>
      <c r="J345" s="18">
        <v>0.69999998807907104</v>
      </c>
      <c r="K345" s="18">
        <v>0</v>
      </c>
      <c r="L345" s="18">
        <v>0</v>
      </c>
      <c r="M345" s="18">
        <v>0</v>
      </c>
      <c r="N345" s="18">
        <v>0</v>
      </c>
      <c r="O345" s="18">
        <v>0.69999998807907104</v>
      </c>
      <c r="P345" s="19">
        <v>0.99999998297010151</v>
      </c>
      <c r="Q345" s="18">
        <v>0</v>
      </c>
      <c r="R345" s="19">
        <v>0</v>
      </c>
      <c r="S345" s="18">
        <v>0</v>
      </c>
      <c r="T345" s="19">
        <v>0</v>
      </c>
      <c r="U345" s="18">
        <v>0</v>
      </c>
      <c r="V345" s="19">
        <v>0</v>
      </c>
      <c r="W345">
        <f t="shared" si="70"/>
        <v>0.69999998807907104</v>
      </c>
      <c r="X345" s="19">
        <f t="shared" si="71"/>
        <v>0.99999998297010151</v>
      </c>
      <c r="Y345">
        <f t="shared" si="72"/>
        <v>0</v>
      </c>
      <c r="Z345" s="19">
        <f t="shared" si="73"/>
        <v>0</v>
      </c>
      <c r="AA345" s="19">
        <f t="shared" si="74"/>
        <v>0</v>
      </c>
      <c r="AB345" t="str">
        <f t="shared" si="75"/>
        <v>Relatif Mantap</v>
      </c>
      <c r="AC345" s="19">
        <f>IF(Dashboard!$B$7="Mantap (%)",X345,IF(Dashboard!$B$7="Tidak Mantap (%)",Z345,IF(Dashboard!$B$7="Baik (%)",P345,IF(Dashboard!$B$7="Sedang (%)",R345,IF(Dashboard!$B$7="Rusak Ringan (%)",T345,IF(Dashboard!$B$7="Rusak Berat (%)",V345,AA345))))))</f>
        <v>0</v>
      </c>
      <c r="AD345" s="20">
        <f>IF(AND(AF345=1,E345&gt;=Dashboard!$B$10,IF(Dashboard!$B$9="≤ Maksimum",AC345&lt;=Dashboard!$B$8,AC345&gt;=Dashboard!$B$8)),1,0)</f>
        <v>0</v>
      </c>
      <c r="AE345" s="20" t="str">
        <f>IF(AD345=1,COUNTIFS($AD$2:$AD$351,1,$AC$2:$AC$351,"&gt;"&amp;AC345)+COUNTIFS($AD$2:AD345,1,$AC$2:AC345,AC345),"")</f>
        <v/>
      </c>
      <c r="AF345" s="20">
        <f>IF(OR(Dashboard!$B$6="Semua",ISNUMBER(SEARCH(Dashboard!$B$6,D345))),1,0)</f>
        <v>1</v>
      </c>
      <c r="AG345" s="18">
        <f t="shared" si="76"/>
        <v>0.7</v>
      </c>
      <c r="AH345" s="18">
        <f t="shared" si="77"/>
        <v>0.69999998807907104</v>
      </c>
      <c r="AI345" s="18">
        <f t="shared" si="78"/>
        <v>0</v>
      </c>
      <c r="AJ345" s="18">
        <f t="shared" si="79"/>
        <v>0</v>
      </c>
      <c r="AK345" s="20">
        <f>IF(OR(Ruas_Per_Kecamatan!$B$4="Semua",ISNUMBER(SEARCH(Ruas_Per_Kecamatan!$B$4,D345))),1,0)</f>
        <v>1</v>
      </c>
      <c r="AL345" s="20">
        <f>IF(AK345=1,COUNTIF($AK$2:AK345,1),"")</f>
        <v>344</v>
      </c>
      <c r="AM345" s="18">
        <f t="shared" si="80"/>
        <v>0.7</v>
      </c>
      <c r="AN345" s="18">
        <f t="shared" si="81"/>
        <v>0.69999998807907104</v>
      </c>
      <c r="AO345" s="18">
        <f t="shared" si="82"/>
        <v>0</v>
      </c>
      <c r="AP345" s="18">
        <f t="shared" si="83"/>
        <v>0</v>
      </c>
    </row>
    <row r="346" spans="1:42" x14ac:dyDescent="0.25">
      <c r="A346" s="17">
        <v>345</v>
      </c>
      <c r="B346" s="17" t="s">
        <v>796</v>
      </c>
      <c r="C346" s="21" t="s">
        <v>400</v>
      </c>
      <c r="D346" s="17" t="s">
        <v>29</v>
      </c>
      <c r="E346" s="18">
        <v>0.38</v>
      </c>
      <c r="F346" s="18">
        <v>3.5</v>
      </c>
      <c r="G346" s="18">
        <v>0</v>
      </c>
      <c r="H346" s="18"/>
      <c r="I346" s="18">
        <v>2025</v>
      </c>
      <c r="J346" s="18">
        <v>0.37999999523162842</v>
      </c>
      <c r="K346" s="18">
        <v>0</v>
      </c>
      <c r="L346" s="18">
        <v>0</v>
      </c>
      <c r="M346" s="18">
        <v>0</v>
      </c>
      <c r="N346" s="18">
        <v>0</v>
      </c>
      <c r="O346" s="18">
        <v>0.37999999523162842</v>
      </c>
      <c r="P346" s="19">
        <v>0.99999998745165375</v>
      </c>
      <c r="Q346" s="18">
        <v>0</v>
      </c>
      <c r="R346" s="19">
        <v>0</v>
      </c>
      <c r="S346" s="18">
        <v>0</v>
      </c>
      <c r="T346" s="19">
        <v>0</v>
      </c>
      <c r="U346" s="18">
        <v>0</v>
      </c>
      <c r="V346" s="19">
        <v>0</v>
      </c>
      <c r="W346">
        <f t="shared" si="70"/>
        <v>0.37999999523162842</v>
      </c>
      <c r="X346" s="19">
        <f t="shared" si="71"/>
        <v>0.99999998745165375</v>
      </c>
      <c r="Y346">
        <f t="shared" si="72"/>
        <v>0</v>
      </c>
      <c r="Z346" s="19">
        <f t="shared" si="73"/>
        <v>0</v>
      </c>
      <c r="AA346" s="19">
        <f t="shared" si="74"/>
        <v>0</v>
      </c>
      <c r="AB346" t="str">
        <f t="shared" si="75"/>
        <v>Relatif Mantap</v>
      </c>
      <c r="AC346" s="19">
        <f>IF(Dashboard!$B$7="Mantap (%)",X346,IF(Dashboard!$B$7="Tidak Mantap (%)",Z346,IF(Dashboard!$B$7="Baik (%)",P346,IF(Dashboard!$B$7="Sedang (%)",R346,IF(Dashboard!$B$7="Rusak Ringan (%)",T346,IF(Dashboard!$B$7="Rusak Berat (%)",V346,AA346))))))</f>
        <v>0</v>
      </c>
      <c r="AD346" s="20">
        <f>IF(AND(AF346=1,E346&gt;=Dashboard!$B$10,IF(Dashboard!$B$9="≤ Maksimum",AC346&lt;=Dashboard!$B$8,AC346&gt;=Dashboard!$B$8)),1,0)</f>
        <v>0</v>
      </c>
      <c r="AE346" s="20" t="str">
        <f>IF(AD346=1,COUNTIFS($AD$2:$AD$351,1,$AC$2:$AC$351,"&gt;"&amp;AC346)+COUNTIFS($AD$2:AD346,1,$AC$2:AC346,AC346),"")</f>
        <v/>
      </c>
      <c r="AF346" s="20">
        <f>IF(OR(Dashboard!$B$6="Semua",ISNUMBER(SEARCH(Dashboard!$B$6,D346))),1,0)</f>
        <v>1</v>
      </c>
      <c r="AG346" s="18">
        <f t="shared" si="76"/>
        <v>0.38</v>
      </c>
      <c r="AH346" s="18">
        <f t="shared" si="77"/>
        <v>0.37999999523162842</v>
      </c>
      <c r="AI346" s="18">
        <f t="shared" si="78"/>
        <v>0</v>
      </c>
      <c r="AJ346" s="18">
        <f t="shared" si="79"/>
        <v>0</v>
      </c>
      <c r="AK346" s="20">
        <f>IF(OR(Ruas_Per_Kecamatan!$B$4="Semua",ISNUMBER(SEARCH(Ruas_Per_Kecamatan!$B$4,D346))),1,0)</f>
        <v>1</v>
      </c>
      <c r="AL346" s="20">
        <f>IF(AK346=1,COUNTIF($AK$2:AK346,1),"")</f>
        <v>345</v>
      </c>
      <c r="AM346" s="18">
        <f t="shared" si="80"/>
        <v>0.38</v>
      </c>
      <c r="AN346" s="18">
        <f t="shared" si="81"/>
        <v>0.37999999523162842</v>
      </c>
      <c r="AO346" s="18">
        <f t="shared" si="82"/>
        <v>0</v>
      </c>
      <c r="AP346" s="18">
        <f t="shared" si="83"/>
        <v>0</v>
      </c>
    </row>
    <row r="347" spans="1:42" x14ac:dyDescent="0.25">
      <c r="A347" s="17">
        <v>346</v>
      </c>
      <c r="B347" s="17" t="s">
        <v>797</v>
      </c>
      <c r="C347" s="21" t="s">
        <v>401</v>
      </c>
      <c r="D347" s="17" t="s">
        <v>29</v>
      </c>
      <c r="E347" s="18">
        <v>0.4</v>
      </c>
      <c r="F347" s="18">
        <v>3.5</v>
      </c>
      <c r="G347" s="18">
        <v>0</v>
      </c>
      <c r="H347" s="18"/>
      <c r="I347" s="18">
        <v>2025</v>
      </c>
      <c r="J347" s="18">
        <v>0.40000000596046448</v>
      </c>
      <c r="K347" s="18">
        <v>0</v>
      </c>
      <c r="L347" s="18">
        <v>0</v>
      </c>
      <c r="M347" s="18">
        <v>0</v>
      </c>
      <c r="N347" s="18">
        <v>0</v>
      </c>
      <c r="O347" s="18">
        <v>0.40000000596046448</v>
      </c>
      <c r="P347" s="19">
        <v>1.0000000149011612</v>
      </c>
      <c r="Q347" s="18">
        <v>0</v>
      </c>
      <c r="R347" s="19">
        <v>0</v>
      </c>
      <c r="S347" s="18">
        <v>0</v>
      </c>
      <c r="T347" s="19">
        <v>0</v>
      </c>
      <c r="U347" s="18">
        <v>0</v>
      </c>
      <c r="V347" s="19">
        <v>0</v>
      </c>
      <c r="W347">
        <f t="shared" si="70"/>
        <v>0.40000000596046448</v>
      </c>
      <c r="X347" s="19">
        <f t="shared" si="71"/>
        <v>1.0000000149011612</v>
      </c>
      <c r="Y347">
        <f t="shared" si="72"/>
        <v>0</v>
      </c>
      <c r="Z347" s="19">
        <f t="shared" si="73"/>
        <v>0</v>
      </c>
      <c r="AA347" s="19">
        <f t="shared" si="74"/>
        <v>0</v>
      </c>
      <c r="AB347" t="str">
        <f t="shared" si="75"/>
        <v>Relatif Mantap</v>
      </c>
      <c r="AC347" s="19">
        <f>IF(Dashboard!$B$7="Mantap (%)",X347,IF(Dashboard!$B$7="Tidak Mantap (%)",Z347,IF(Dashboard!$B$7="Baik (%)",P347,IF(Dashboard!$B$7="Sedang (%)",R347,IF(Dashboard!$B$7="Rusak Ringan (%)",T347,IF(Dashboard!$B$7="Rusak Berat (%)",V347,AA347))))))</f>
        <v>0</v>
      </c>
      <c r="AD347" s="20">
        <f>IF(AND(AF347=1,E347&gt;=Dashboard!$B$10,IF(Dashboard!$B$9="≤ Maksimum",AC347&lt;=Dashboard!$B$8,AC347&gt;=Dashboard!$B$8)),1,0)</f>
        <v>0</v>
      </c>
      <c r="AE347" s="20" t="str">
        <f>IF(AD347=1,COUNTIFS($AD$2:$AD$351,1,$AC$2:$AC$351,"&gt;"&amp;AC347)+COUNTIFS($AD$2:AD347,1,$AC$2:AC347,AC347),"")</f>
        <v/>
      </c>
      <c r="AF347" s="20">
        <f>IF(OR(Dashboard!$B$6="Semua",ISNUMBER(SEARCH(Dashboard!$B$6,D347))),1,0)</f>
        <v>1</v>
      </c>
      <c r="AG347" s="18">
        <f t="shared" si="76"/>
        <v>0.4</v>
      </c>
      <c r="AH347" s="18">
        <f t="shared" si="77"/>
        <v>0.40000000596046448</v>
      </c>
      <c r="AI347" s="18">
        <f t="shared" si="78"/>
        <v>0</v>
      </c>
      <c r="AJ347" s="18">
        <f t="shared" si="79"/>
        <v>0</v>
      </c>
      <c r="AK347" s="20">
        <f>IF(OR(Ruas_Per_Kecamatan!$B$4="Semua",ISNUMBER(SEARCH(Ruas_Per_Kecamatan!$B$4,D347))),1,0)</f>
        <v>1</v>
      </c>
      <c r="AL347" s="20">
        <f>IF(AK347=1,COUNTIF($AK$2:AK347,1),"")</f>
        <v>346</v>
      </c>
      <c r="AM347" s="18">
        <f t="shared" si="80"/>
        <v>0.4</v>
      </c>
      <c r="AN347" s="18">
        <f t="shared" si="81"/>
        <v>0.40000000596046448</v>
      </c>
      <c r="AO347" s="18">
        <f t="shared" si="82"/>
        <v>0</v>
      </c>
      <c r="AP347" s="18">
        <f t="shared" si="83"/>
        <v>0</v>
      </c>
    </row>
    <row r="348" spans="1:42" ht="30" x14ac:dyDescent="0.25">
      <c r="A348" s="17">
        <v>347</v>
      </c>
      <c r="B348" s="17" t="s">
        <v>798</v>
      </c>
      <c r="C348" s="21" t="s">
        <v>402</v>
      </c>
      <c r="D348" s="17" t="s">
        <v>209</v>
      </c>
      <c r="E348" s="18">
        <v>1.21</v>
      </c>
      <c r="F348" s="18">
        <v>3.5</v>
      </c>
      <c r="G348" s="18">
        <v>0</v>
      </c>
      <c r="H348" s="18"/>
      <c r="I348" s="18">
        <v>2025</v>
      </c>
      <c r="J348" s="18">
        <v>0.70999997854232788</v>
      </c>
      <c r="K348" s="18">
        <v>0</v>
      </c>
      <c r="L348" s="18">
        <v>0</v>
      </c>
      <c r="M348" s="18">
        <v>0.5</v>
      </c>
      <c r="N348" s="18">
        <v>0</v>
      </c>
      <c r="O348" s="18">
        <v>0</v>
      </c>
      <c r="P348" s="19">
        <v>0</v>
      </c>
      <c r="Q348" s="18">
        <v>0</v>
      </c>
      <c r="R348" s="19">
        <v>0</v>
      </c>
      <c r="S348" s="18">
        <v>0</v>
      </c>
      <c r="T348" s="19">
        <v>0</v>
      </c>
      <c r="U348" s="18">
        <v>1.2099999785423279</v>
      </c>
      <c r="V348" s="19">
        <v>0.99999998226638676</v>
      </c>
      <c r="W348">
        <f t="shared" si="70"/>
        <v>0</v>
      </c>
      <c r="X348" s="19">
        <f t="shared" si="71"/>
        <v>0</v>
      </c>
      <c r="Y348">
        <f t="shared" si="72"/>
        <v>1.2099999785423279</v>
      </c>
      <c r="Z348" s="19">
        <f t="shared" si="73"/>
        <v>0.99999998226638676</v>
      </c>
      <c r="AA348" s="19">
        <f t="shared" si="74"/>
        <v>0.99999998226638676</v>
      </c>
      <c r="AB348" t="str">
        <f t="shared" si="75"/>
        <v>Rusak Berat Dominan</v>
      </c>
      <c r="AC348" s="19">
        <f>IF(Dashboard!$B$7="Mantap (%)",X348,IF(Dashboard!$B$7="Tidak Mantap (%)",Z348,IF(Dashboard!$B$7="Baik (%)",P348,IF(Dashboard!$B$7="Sedang (%)",R348,IF(Dashboard!$B$7="Rusak Ringan (%)",T348,IF(Dashboard!$B$7="Rusak Berat (%)",V348,AA348))))))</f>
        <v>0.99999998226638676</v>
      </c>
      <c r="AD348" s="20">
        <f>IF(AND(AF348=1,E348&gt;=Dashboard!$B$10,IF(Dashboard!$B$9="≤ Maksimum",AC348&lt;=Dashboard!$B$8,AC348&gt;=Dashboard!$B$8)),1,0)</f>
        <v>1</v>
      </c>
      <c r="AE348" s="20">
        <f>IF(AD348=1,COUNTIFS($AD$2:$AD$351,1,$AC$2:$AC$351,"&gt;"&amp;AC348)+COUNTIFS($AD$2:AD348,1,$AC$2:AC348,AC348),"")</f>
        <v>37</v>
      </c>
      <c r="AF348" s="20">
        <f>IF(OR(Dashboard!$B$6="Semua",ISNUMBER(SEARCH(Dashboard!$B$6,D348))),1,0)</f>
        <v>1</v>
      </c>
      <c r="AG348" s="18">
        <f t="shared" si="76"/>
        <v>1.21</v>
      </c>
      <c r="AH348" s="18">
        <f t="shared" si="77"/>
        <v>0</v>
      </c>
      <c r="AI348" s="18">
        <f t="shared" si="78"/>
        <v>1.2099999785423279</v>
      </c>
      <c r="AJ348" s="18">
        <f t="shared" si="79"/>
        <v>1.2099999785423279</v>
      </c>
      <c r="AK348" s="20">
        <f>IF(OR(Ruas_Per_Kecamatan!$B$4="Semua",ISNUMBER(SEARCH(Ruas_Per_Kecamatan!$B$4,D348))),1,0)</f>
        <v>1</v>
      </c>
      <c r="AL348" s="20">
        <f>IF(AK348=1,COUNTIF($AK$2:AK348,1),"")</f>
        <v>347</v>
      </c>
      <c r="AM348" s="18">
        <f t="shared" si="80"/>
        <v>1.21</v>
      </c>
      <c r="AN348" s="18">
        <f t="shared" si="81"/>
        <v>0</v>
      </c>
      <c r="AO348" s="18">
        <f t="shared" si="82"/>
        <v>1.2099999785423279</v>
      </c>
      <c r="AP348" s="18">
        <f t="shared" si="83"/>
        <v>1.2099999785423279</v>
      </c>
    </row>
    <row r="349" spans="1:42" x14ac:dyDescent="0.25">
      <c r="A349" s="17">
        <v>348</v>
      </c>
      <c r="B349" s="17" t="s">
        <v>799</v>
      </c>
      <c r="C349" s="21" t="s">
        <v>403</v>
      </c>
      <c r="D349" s="17" t="s">
        <v>249</v>
      </c>
      <c r="E349" s="18">
        <v>1.1100000000000001</v>
      </c>
      <c r="F349" s="18">
        <v>3.5</v>
      </c>
      <c r="G349" s="18">
        <v>0</v>
      </c>
      <c r="H349" s="18"/>
      <c r="I349" s="18">
        <v>2025</v>
      </c>
      <c r="J349" s="18">
        <v>0</v>
      </c>
      <c r="K349" s="18">
        <v>0</v>
      </c>
      <c r="L349" s="18">
        <v>0</v>
      </c>
      <c r="M349" s="18">
        <v>1.1100000143051147</v>
      </c>
      <c r="N349" s="18">
        <v>0</v>
      </c>
      <c r="O349" s="18">
        <v>0</v>
      </c>
      <c r="P349" s="19">
        <v>0</v>
      </c>
      <c r="Q349" s="18">
        <v>0</v>
      </c>
      <c r="R349" s="19">
        <v>0</v>
      </c>
      <c r="S349" s="18">
        <v>0</v>
      </c>
      <c r="T349" s="19">
        <v>0</v>
      </c>
      <c r="U349" s="18">
        <v>1.1100000143051147</v>
      </c>
      <c r="V349" s="19">
        <v>1.0000000128874906</v>
      </c>
      <c r="W349">
        <f t="shared" si="70"/>
        <v>0</v>
      </c>
      <c r="X349" s="19">
        <f t="shared" si="71"/>
        <v>0</v>
      </c>
      <c r="Y349">
        <f t="shared" si="72"/>
        <v>1.1100000143051147</v>
      </c>
      <c r="Z349" s="19">
        <f t="shared" si="73"/>
        <v>1.0000000128874906</v>
      </c>
      <c r="AA349" s="19">
        <f t="shared" si="74"/>
        <v>1.0000000128874906</v>
      </c>
      <c r="AB349" t="str">
        <f t="shared" si="75"/>
        <v>Rusak Berat Dominan</v>
      </c>
      <c r="AC349" s="19">
        <f>IF(Dashboard!$B$7="Mantap (%)",X349,IF(Dashboard!$B$7="Tidak Mantap (%)",Z349,IF(Dashboard!$B$7="Baik (%)",P349,IF(Dashboard!$B$7="Sedang (%)",R349,IF(Dashboard!$B$7="Rusak Ringan (%)",T349,IF(Dashboard!$B$7="Rusak Berat (%)",V349,AA349))))))</f>
        <v>1.0000000128874906</v>
      </c>
      <c r="AD349" s="20">
        <f>IF(AND(AF349=1,E349&gt;=Dashboard!$B$10,IF(Dashboard!$B$9="≤ Maksimum",AC349&lt;=Dashboard!$B$8,AC349&gt;=Dashboard!$B$8)),1,0)</f>
        <v>1</v>
      </c>
      <c r="AE349" s="20">
        <f>IF(AD349=1,COUNTIFS($AD$2:$AD$351,1,$AC$2:$AC$351,"&gt;"&amp;AC349)+COUNTIFS($AD$2:AD349,1,$AC$2:AC349,AC349),"")</f>
        <v>19</v>
      </c>
      <c r="AF349" s="20">
        <f>IF(OR(Dashboard!$B$6="Semua",ISNUMBER(SEARCH(Dashboard!$B$6,D349))),1,0)</f>
        <v>1</v>
      </c>
      <c r="AG349" s="18">
        <f t="shared" si="76"/>
        <v>1.1100000000000001</v>
      </c>
      <c r="AH349" s="18">
        <f t="shared" si="77"/>
        <v>0</v>
      </c>
      <c r="AI349" s="18">
        <f t="shared" si="78"/>
        <v>1.1100000143051147</v>
      </c>
      <c r="AJ349" s="18">
        <f t="shared" si="79"/>
        <v>1.1100000143051147</v>
      </c>
      <c r="AK349" s="20">
        <f>IF(OR(Ruas_Per_Kecamatan!$B$4="Semua",ISNUMBER(SEARCH(Ruas_Per_Kecamatan!$B$4,D349))),1,0)</f>
        <v>1</v>
      </c>
      <c r="AL349" s="20">
        <f>IF(AK349=1,COUNTIF($AK$2:AK349,1),"")</f>
        <v>348</v>
      </c>
      <c r="AM349" s="18">
        <f t="shared" si="80"/>
        <v>1.1100000000000001</v>
      </c>
      <c r="AN349" s="18">
        <f t="shared" si="81"/>
        <v>0</v>
      </c>
      <c r="AO349" s="18">
        <f t="shared" si="82"/>
        <v>1.1100000143051147</v>
      </c>
      <c r="AP349" s="18">
        <f t="shared" si="83"/>
        <v>1.1100000143051147</v>
      </c>
    </row>
    <row r="350" spans="1:42" x14ac:dyDescent="0.25">
      <c r="A350" s="17">
        <v>349</v>
      </c>
      <c r="B350" s="17" t="s">
        <v>800</v>
      </c>
      <c r="C350" s="21" t="s">
        <v>404</v>
      </c>
      <c r="D350" s="17" t="s">
        <v>249</v>
      </c>
      <c r="E350" s="18">
        <v>0.36</v>
      </c>
      <c r="F350" s="18">
        <v>3</v>
      </c>
      <c r="G350" s="18">
        <v>0</v>
      </c>
      <c r="H350" s="18"/>
      <c r="I350" s="18">
        <v>2025</v>
      </c>
      <c r="J350" s="18">
        <v>0.36000001430511475</v>
      </c>
      <c r="K350" s="18">
        <v>0</v>
      </c>
      <c r="L350" s="18">
        <v>0</v>
      </c>
      <c r="M350" s="18">
        <v>0</v>
      </c>
      <c r="N350" s="18">
        <v>0</v>
      </c>
      <c r="O350" s="18">
        <v>0.10000000149011612</v>
      </c>
      <c r="P350" s="19">
        <v>0.27777778191698921</v>
      </c>
      <c r="Q350" s="18">
        <v>0.25999999046325684</v>
      </c>
      <c r="R350" s="19">
        <v>0.722222195731269</v>
      </c>
      <c r="S350" s="18">
        <v>0</v>
      </c>
      <c r="T350" s="19">
        <v>0</v>
      </c>
      <c r="U350" s="18">
        <v>0</v>
      </c>
      <c r="V350" s="19">
        <v>0</v>
      </c>
      <c r="W350">
        <f t="shared" si="70"/>
        <v>0.35999999195337296</v>
      </c>
      <c r="X350" s="19">
        <f t="shared" si="71"/>
        <v>0.99999997764825821</v>
      </c>
      <c r="Y350">
        <f t="shared" si="72"/>
        <v>0</v>
      </c>
      <c r="Z350" s="19">
        <f t="shared" si="73"/>
        <v>0</v>
      </c>
      <c r="AA350" s="19">
        <f t="shared" si="74"/>
        <v>0.18055554893281725</v>
      </c>
      <c r="AB350" t="str">
        <f t="shared" si="75"/>
        <v>Relatif Mantap</v>
      </c>
      <c r="AC350" s="19">
        <f>IF(Dashboard!$B$7="Mantap (%)",X350,IF(Dashboard!$B$7="Tidak Mantap (%)",Z350,IF(Dashboard!$B$7="Baik (%)",P350,IF(Dashboard!$B$7="Sedang (%)",R350,IF(Dashboard!$B$7="Rusak Ringan (%)",T350,IF(Dashboard!$B$7="Rusak Berat (%)",V350,AA350))))))</f>
        <v>0</v>
      </c>
      <c r="AD350" s="20">
        <f>IF(AND(AF350=1,E350&gt;=Dashboard!$B$10,IF(Dashboard!$B$9="≤ Maksimum",AC350&lt;=Dashboard!$B$8,AC350&gt;=Dashboard!$B$8)),1,0)</f>
        <v>0</v>
      </c>
      <c r="AE350" s="20" t="str">
        <f>IF(AD350=1,COUNTIFS($AD$2:$AD$351,1,$AC$2:$AC$351,"&gt;"&amp;AC350)+COUNTIFS($AD$2:AD350,1,$AC$2:AC350,AC350),"")</f>
        <v/>
      </c>
      <c r="AF350" s="20">
        <f>IF(OR(Dashboard!$B$6="Semua",ISNUMBER(SEARCH(Dashboard!$B$6,D350))),1,0)</f>
        <v>1</v>
      </c>
      <c r="AG350" s="18">
        <f t="shared" si="76"/>
        <v>0.36</v>
      </c>
      <c r="AH350" s="18">
        <f t="shared" si="77"/>
        <v>0.35999999195337296</v>
      </c>
      <c r="AI350" s="18">
        <f t="shared" si="78"/>
        <v>0</v>
      </c>
      <c r="AJ350" s="18">
        <f t="shared" si="79"/>
        <v>0</v>
      </c>
      <c r="AK350" s="20">
        <f>IF(OR(Ruas_Per_Kecamatan!$B$4="Semua",ISNUMBER(SEARCH(Ruas_Per_Kecamatan!$B$4,D350))),1,0)</f>
        <v>1</v>
      </c>
      <c r="AL350" s="20">
        <f>IF(AK350=1,COUNTIF($AK$2:AK350,1),"")</f>
        <v>349</v>
      </c>
      <c r="AM350" s="18">
        <f t="shared" si="80"/>
        <v>0.36</v>
      </c>
      <c r="AN350" s="18">
        <f t="shared" si="81"/>
        <v>0.35999999195337296</v>
      </c>
      <c r="AO350" s="18">
        <f t="shared" si="82"/>
        <v>0</v>
      </c>
      <c r="AP350" s="18">
        <f t="shared" si="83"/>
        <v>0</v>
      </c>
    </row>
    <row r="351" spans="1:42" x14ac:dyDescent="0.25">
      <c r="A351" s="17">
        <v>350</v>
      </c>
      <c r="B351" s="17" t="s">
        <v>801</v>
      </c>
      <c r="C351" s="21" t="s">
        <v>405</v>
      </c>
      <c r="D351" s="17" t="s">
        <v>249</v>
      </c>
      <c r="E351" s="18">
        <v>0.69</v>
      </c>
      <c r="F351" s="18">
        <v>3</v>
      </c>
      <c r="G351" s="18">
        <v>0</v>
      </c>
      <c r="H351" s="18"/>
      <c r="I351" s="18">
        <v>2025</v>
      </c>
      <c r="J351" s="18">
        <v>0.60000002384185791</v>
      </c>
      <c r="K351" s="18">
        <v>0</v>
      </c>
      <c r="L351" s="18">
        <v>0</v>
      </c>
      <c r="M351" s="18">
        <v>0</v>
      </c>
      <c r="N351" s="18">
        <v>9.0000003576278687E-2</v>
      </c>
      <c r="O351" s="18">
        <v>0.20000000298023224</v>
      </c>
      <c r="P351" s="19">
        <v>0.28985507678294531</v>
      </c>
      <c r="Q351" s="18">
        <v>0.40000000596046448</v>
      </c>
      <c r="R351" s="19">
        <v>0.57971015356589062</v>
      </c>
      <c r="S351" s="18">
        <v>0</v>
      </c>
      <c r="T351" s="19">
        <v>0</v>
      </c>
      <c r="U351" s="18">
        <v>9.0000003576278687E-2</v>
      </c>
      <c r="V351" s="19">
        <v>0.13043478779170825</v>
      </c>
      <c r="W351">
        <f t="shared" si="70"/>
        <v>0.60000000894069672</v>
      </c>
      <c r="X351" s="19">
        <f t="shared" si="71"/>
        <v>0.86956523034883593</v>
      </c>
      <c r="Y351">
        <f t="shared" si="72"/>
        <v>9.0000003576278687E-2</v>
      </c>
      <c r="Z351" s="19">
        <f t="shared" si="73"/>
        <v>0.13043478779170825</v>
      </c>
      <c r="AA351" s="19">
        <f t="shared" si="74"/>
        <v>0.27536232618318091</v>
      </c>
      <c r="AB351" t="str">
        <f t="shared" si="75"/>
        <v>Relatif Mantap</v>
      </c>
      <c r="AC351" s="19">
        <f>IF(Dashboard!$B$7="Mantap (%)",X351,IF(Dashboard!$B$7="Tidak Mantap (%)",Z351,IF(Dashboard!$B$7="Baik (%)",P351,IF(Dashboard!$B$7="Sedang (%)",R351,IF(Dashboard!$B$7="Rusak Ringan (%)",T351,IF(Dashboard!$B$7="Rusak Berat (%)",V351,AA351))))))</f>
        <v>0.13043478779170825</v>
      </c>
      <c r="AD351" s="20">
        <f>IF(AND(AF351=1,E351&gt;=Dashboard!$B$10,IF(Dashboard!$B$9="≤ Maksimum",AC351&lt;=Dashboard!$B$8,AC351&gt;=Dashboard!$B$8)),1,0)</f>
        <v>0</v>
      </c>
      <c r="AE351" s="20" t="str">
        <f>IF(AD351=1,COUNTIFS($AD$2:$AD$351,1,$AC$2:$AC$351,"&gt;"&amp;AC351)+COUNTIFS($AD$2:AD351,1,$AC$2:AC351,AC351),"")</f>
        <v/>
      </c>
      <c r="AF351" s="20">
        <f>IF(OR(Dashboard!$B$6="Semua",ISNUMBER(SEARCH(Dashboard!$B$6,D351))),1,0)</f>
        <v>1</v>
      </c>
      <c r="AG351" s="18">
        <f t="shared" si="76"/>
        <v>0.69</v>
      </c>
      <c r="AH351" s="18">
        <f t="shared" si="77"/>
        <v>0.60000000894069672</v>
      </c>
      <c r="AI351" s="18">
        <f t="shared" si="78"/>
        <v>9.0000003576278687E-2</v>
      </c>
      <c r="AJ351" s="18">
        <f t="shared" si="79"/>
        <v>9.0000003576278687E-2</v>
      </c>
      <c r="AK351" s="20">
        <f>IF(OR(Ruas_Per_Kecamatan!$B$4="Semua",ISNUMBER(SEARCH(Ruas_Per_Kecamatan!$B$4,D351))),1,0)</f>
        <v>1</v>
      </c>
      <c r="AL351" s="20">
        <f>IF(AK351=1,COUNTIF($AK$2:AK351,1),"")</f>
        <v>350</v>
      </c>
      <c r="AM351" s="18">
        <f t="shared" si="80"/>
        <v>0.69</v>
      </c>
      <c r="AN351" s="18">
        <f t="shared" si="81"/>
        <v>0.60000000894069672</v>
      </c>
      <c r="AO351" s="18">
        <f t="shared" si="82"/>
        <v>9.0000003576278687E-2</v>
      </c>
      <c r="AP351" s="18">
        <f t="shared" si="83"/>
        <v>9.0000003576278687E-2</v>
      </c>
    </row>
  </sheetData>
  <conditionalFormatting sqref="Z2:Z35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AA2:AA351">
    <cfRule type="dataBar" priority="2">
      <dataBar>
        <cfvo type="min"/>
        <cfvo type="max"/>
        <color rgb="FF0E7490"/>
      </dataBar>
    </cfRule>
  </conditionalFormatting>
  <conditionalFormatting sqref="AD2:AD351">
    <cfRule type="expression" dxfId="0" priority="3">
      <formula>AD2=1</formula>
    </cfRule>
  </conditionalFormatting>
  <conditionalFormatting sqref="AA2:AA351">
    <cfRule type="dataBar" priority="4">
      <dataBar>
        <cfvo type="min"/>
        <cfvo type="max"/>
        <color rgb="FF0E7490"/>
      </dataBar>
      <extLst>
        <ext xmlns:x14="http://schemas.microsoft.com/office/spreadsheetml/2009/9/main" uri="{B025F937-C7B1-47D3-B67F-A62EFF666E3E}">
          <x14:id>{789148FD-DA6E-C8DF-75C2-2FA6EF7E5626}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9148FD-DA6E-C8DF-75C2-2FA6EF7E5626}">
            <x14:dataBar>
              <x14:cfvo type="min"/>
              <x14:cfvo type="max"/>
              <x14:negativeFillColor auto="1"/>
              <x14:axisColor auto="1"/>
            </x14:dataBar>
          </x14:cfRule>
          <xm:sqref>AA2:AA351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3"/>
  <sheetViews>
    <sheetView tabSelected="1" zoomScale="40" zoomScaleNormal="40" workbookViewId="0">
      <selection activeCell="B11" sqref="B11"/>
    </sheetView>
  </sheetViews>
  <sheetFormatPr defaultRowHeight="15" x14ac:dyDescent="0.25"/>
  <cols>
    <col min="1" max="1" width="10" customWidth="1"/>
    <col min="2" max="2" width="17" customWidth="1"/>
    <col min="3" max="3" width="36" customWidth="1"/>
    <col min="4" max="4" width="21" customWidth="1"/>
    <col min="5" max="8" width="15" customWidth="1"/>
    <col min="9" max="9" width="22" customWidth="1"/>
    <col min="10" max="10" width="12" customWidth="1"/>
    <col min="11" max="19" width="14" customWidth="1"/>
  </cols>
  <sheetData>
    <row r="1" spans="1:19" x14ac:dyDescent="0.25">
      <c r="A1" s="164" t="s">
        <v>802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5"/>
    </row>
    <row r="2" spans="1:19" x14ac:dyDescent="0.25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5"/>
    </row>
    <row r="3" spans="1:19" x14ac:dyDescent="0.25">
      <c r="A3" s="166" t="s">
        <v>803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5"/>
    </row>
    <row r="4" spans="1:19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9" x14ac:dyDescent="0.25">
      <c r="A5" s="129" t="s">
        <v>804</v>
      </c>
      <c r="B5" s="129"/>
      <c r="C5" s="47"/>
      <c r="D5" s="130" t="s">
        <v>805</v>
      </c>
      <c r="E5" s="130"/>
      <c r="F5" s="130"/>
      <c r="G5" s="130" t="s">
        <v>806</v>
      </c>
      <c r="H5" s="130"/>
      <c r="I5" s="130"/>
      <c r="J5" s="130" t="s">
        <v>807</v>
      </c>
      <c r="K5" s="130"/>
      <c r="L5" s="130"/>
      <c r="M5" s="47"/>
      <c r="N5" s="47"/>
      <c r="O5" s="47"/>
      <c r="P5" s="47"/>
      <c r="Q5" s="47"/>
      <c r="R5" s="47"/>
    </row>
    <row r="6" spans="1:19" x14ac:dyDescent="0.25">
      <c r="A6" s="79" t="s">
        <v>808</v>
      </c>
      <c r="B6" s="48" t="s">
        <v>809</v>
      </c>
      <c r="C6" s="47"/>
      <c r="D6" s="131">
        <f>SUM(Data_Analitik!$AF$2:$AF$351)</f>
        <v>350</v>
      </c>
      <c r="E6" s="132"/>
      <c r="F6" s="133"/>
      <c r="G6" s="137">
        <f>SUM(Data_Analitik!$AG$2:$AG$351)</f>
        <v>732.46</v>
      </c>
      <c r="H6" s="138"/>
      <c r="I6" s="139"/>
      <c r="J6" s="143">
        <f>IFERROR(SUM(Data_Analitik!$AH$2:$AH$351)/SUM(Data_Analitik!$AG$2:$AG$351),0)</f>
        <v>0.53639788962765345</v>
      </c>
      <c r="K6" s="144"/>
      <c r="L6" s="145"/>
      <c r="M6" s="47"/>
      <c r="N6" s="47"/>
      <c r="O6" s="47"/>
      <c r="P6" s="47"/>
      <c r="Q6" s="47"/>
      <c r="R6" s="47"/>
    </row>
    <row r="7" spans="1:19" x14ac:dyDescent="0.25">
      <c r="A7" s="80" t="s">
        <v>810</v>
      </c>
      <c r="B7" s="49" t="s">
        <v>811</v>
      </c>
      <c r="C7" s="47"/>
      <c r="D7" s="134"/>
      <c r="E7" s="135"/>
      <c r="F7" s="136"/>
      <c r="G7" s="140"/>
      <c r="H7" s="141"/>
      <c r="I7" s="142"/>
      <c r="J7" s="146"/>
      <c r="K7" s="147"/>
      <c r="L7" s="148"/>
      <c r="M7" s="47"/>
      <c r="N7" s="47"/>
      <c r="O7" s="47"/>
      <c r="P7" s="47"/>
      <c r="Q7" s="47"/>
      <c r="R7" s="47"/>
    </row>
    <row r="8" spans="1:19" x14ac:dyDescent="0.25">
      <c r="A8" s="80" t="s">
        <v>812</v>
      </c>
      <c r="B8" s="50">
        <v>0.2</v>
      </c>
      <c r="C8" s="47"/>
      <c r="D8" s="130" t="s">
        <v>813</v>
      </c>
      <c r="E8" s="130"/>
      <c r="F8" s="130"/>
      <c r="G8" s="130" t="s">
        <v>25</v>
      </c>
      <c r="H8" s="130"/>
      <c r="I8" s="130"/>
      <c r="J8" s="130" t="s">
        <v>814</v>
      </c>
      <c r="K8" s="130"/>
      <c r="L8" s="130"/>
      <c r="M8" s="47"/>
      <c r="N8" s="47"/>
      <c r="O8" s="47"/>
      <c r="P8" s="47"/>
      <c r="Q8" s="47"/>
      <c r="R8" s="47"/>
    </row>
    <row r="9" spans="1:19" x14ac:dyDescent="0.25">
      <c r="A9" s="80" t="s">
        <v>815</v>
      </c>
      <c r="B9" s="51" t="s">
        <v>816</v>
      </c>
      <c r="C9" s="47"/>
      <c r="D9" s="137">
        <f>SUM(Data_Analitik!$AI$2:$AI$351)</f>
        <v>339.57000176608562</v>
      </c>
      <c r="E9" s="138"/>
      <c r="F9" s="139"/>
      <c r="G9" s="137">
        <f>SUM(Data_Analitik!$AJ$2:$AJ$351)</f>
        <v>228.1600018851459</v>
      </c>
      <c r="H9" s="138"/>
      <c r="I9" s="139"/>
      <c r="J9" s="131">
        <f>SUM(Data_Analitik!$AD$2:$AD$351)</f>
        <v>191</v>
      </c>
      <c r="K9" s="132"/>
      <c r="L9" s="133"/>
      <c r="M9" s="47"/>
      <c r="N9" s="47"/>
      <c r="O9" s="47"/>
      <c r="P9" s="47"/>
      <c r="Q9" s="47"/>
      <c r="R9" s="47"/>
    </row>
    <row r="10" spans="1:19" x14ac:dyDescent="0.25">
      <c r="A10" s="81" t="s">
        <v>817</v>
      </c>
      <c r="B10" s="82">
        <v>0</v>
      </c>
      <c r="C10" s="47"/>
      <c r="D10" s="140"/>
      <c r="E10" s="141"/>
      <c r="F10" s="142"/>
      <c r="G10" s="140"/>
      <c r="H10" s="141"/>
      <c r="I10" s="142"/>
      <c r="J10" s="134"/>
      <c r="K10" s="135"/>
      <c r="L10" s="136"/>
      <c r="M10" s="47"/>
      <c r="N10" s="47"/>
      <c r="O10" s="47"/>
      <c r="P10" s="47"/>
      <c r="Q10" s="47"/>
      <c r="R10" s="47"/>
    </row>
    <row r="11" spans="1:19" x14ac:dyDescent="0.25">
      <c r="A11" s="81" t="s">
        <v>818</v>
      </c>
      <c r="B11" s="52">
        <v>348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</row>
    <row r="12" spans="1:19" x14ac:dyDescent="0.25">
      <c r="A12" s="129" t="s">
        <v>819</v>
      </c>
      <c r="B12" s="129"/>
      <c r="C12" s="129"/>
      <c r="D12" s="129"/>
      <c r="E12" s="129"/>
      <c r="F12" s="129"/>
      <c r="G12" s="129"/>
      <c r="H12" s="129"/>
      <c r="I12" s="129"/>
      <c r="J12" s="47"/>
      <c r="K12" s="47"/>
      <c r="L12" s="47"/>
      <c r="M12" s="47"/>
      <c r="N12" s="47"/>
      <c r="O12" s="47"/>
      <c r="P12" s="47"/>
      <c r="Q12" s="47"/>
      <c r="R12" s="47"/>
    </row>
    <row r="13" spans="1:19" ht="36" customHeight="1" x14ac:dyDescent="0.25">
      <c r="A13" s="83" t="s">
        <v>820</v>
      </c>
      <c r="B13" s="83" t="s">
        <v>7</v>
      </c>
      <c r="C13" s="83" t="s">
        <v>821</v>
      </c>
      <c r="D13" s="83" t="s">
        <v>406</v>
      </c>
      <c r="E13" s="83" t="s">
        <v>407</v>
      </c>
      <c r="F13" s="83" t="s">
        <v>428</v>
      </c>
      <c r="G13" s="83" t="s">
        <v>429</v>
      </c>
      <c r="H13" s="83" t="s">
        <v>423</v>
      </c>
      <c r="I13" s="83" t="s">
        <v>822</v>
      </c>
      <c r="J13" s="47"/>
      <c r="K13" s="47"/>
      <c r="L13" s="47"/>
      <c r="M13" s="47"/>
      <c r="N13" s="47"/>
      <c r="O13" s="47"/>
      <c r="P13" s="47"/>
      <c r="Q13" s="47"/>
      <c r="R13" s="47"/>
    </row>
    <row r="14" spans="1:19" ht="21.95" customHeight="1" x14ac:dyDescent="0.25">
      <c r="A14" s="53">
        <f t="shared" ref="A14:A45" si="0">IF(ROW()-13&lt;=$B$11,ROW()-13,"")</f>
        <v>1</v>
      </c>
      <c r="B14" s="54" t="str">
        <f>IF(OR($A14="",$A14&gt;SUM(Data_Analitik!$AD$2:$AD$351)),"",IFERROR(INDEX(Data_Analitik!$B$2:$B$351,MATCH($A14,Data_Analitik!$AE$2:$AE$351,0)),""))</f>
        <v>146</v>
      </c>
      <c r="C14" s="55" t="str">
        <f>IF(OR($A14="",$A14&gt;SUM(Data_Analitik!$AD$2:$AD$351)),"",IFERROR(INDEX(Data_Analitik!$C$2:$C$351,MATCH($A14,Data_Analitik!$AE$2:$AE$351,0)),""))</f>
        <v>Simpang Malutu - Pahampangan</v>
      </c>
      <c r="D14" s="54" t="str">
        <f>IF(OR($A14="",$A14&gt;SUM(Data_Analitik!$AD$2:$AD$351)),"",IFERROR(INDEX(Data_Analitik!$D$2:$D$351,MATCH($A14,Data_Analitik!$AE$2:$AE$351,0)),""))</f>
        <v>Padang Batung - Sungai Raya</v>
      </c>
      <c r="E14" s="56">
        <f>IF(OR($A14="",$A14&gt;SUM(Data_Analitik!$AD$2:$AD$351)),"",IFERROR(INDEX(Data_Analitik!$E$2:$E$351,MATCH($A14,Data_Analitik!$AE$2:$AE$351,0)),""))</f>
        <v>4.51</v>
      </c>
      <c r="F14" s="57">
        <f>IF(OR($A14="",$A14&gt;SUM(Data_Analitik!$AD$2:$AD$351)),"",IFERROR(INDEX(Data_Analitik!$Z$2:$Z$351,MATCH($A14,Data_Analitik!$AE$2:$AE$351,0)),""))</f>
        <v>1.0000000507498528</v>
      </c>
      <c r="G14" s="57">
        <f>IF(OR($A14="",$A14&gt;SUM(Data_Analitik!$AD$2:$AD$351)),"",IFERROR(INDEX(Data_Analitik!$AA$2:$AA$351,MATCH($A14,Data_Analitik!$AE$2:$AE$351,0)),""))</f>
        <v>1.0000000507498528</v>
      </c>
      <c r="H14" s="56">
        <f>IF(OR($A14="",$A14&gt;SUM(Data_Analitik!$AD$2:$AD$351)),"",IFERROR(INDEX(Data_Analitik!$U$2:$U$351,MATCH($A14,Data_Analitik!$AE$2:$AE$351,0)),""))</f>
        <v>4.5100002288818359</v>
      </c>
      <c r="I14" s="58" t="str">
        <f>IF(OR($A14="",$A14&gt;SUM(Data_Analitik!$AD$2:$AD$351)),"",IFERROR(INDEX(Data_Analitik!$AB$2:$AB$351,MATCH($A14,Data_Analitik!$AE$2:$AE$351,0)),""))</f>
        <v>Rusak Berat Dominan</v>
      </c>
      <c r="J14" s="47"/>
      <c r="K14" s="47"/>
      <c r="L14" s="47"/>
      <c r="M14" s="47"/>
      <c r="N14" s="47"/>
      <c r="O14" s="47"/>
      <c r="P14" s="47"/>
      <c r="Q14" s="47"/>
      <c r="R14" s="47"/>
    </row>
    <row r="15" spans="1:19" ht="21.95" customHeight="1" x14ac:dyDescent="0.25">
      <c r="A15" s="59">
        <f t="shared" si="0"/>
        <v>2</v>
      </c>
      <c r="B15" s="87" t="str">
        <f>IF(OR($A15="",$A15&gt;SUM(Data_Analitik!$AD$2:$AD$351)),"",IFERROR(INDEX(Data_Analitik!$B$2:$B$351,MATCH($A15,Data_Analitik!$AE$2:$AE$351,0)),""))</f>
        <v>301</v>
      </c>
      <c r="C15" s="88" t="str">
        <f>IF(OR($A15="",$A15&gt;SUM(Data_Analitik!$AD$2:$AD$351)),"",IFERROR(INDEX(Data_Analitik!$C$2:$C$351,MATCH($A15,Data_Analitik!$AE$2:$AE$351,0)),""))</f>
        <v>Muning Tengah - Batang Alai (Pihanin Raya)</v>
      </c>
      <c r="D15" s="87" t="str">
        <f>IF(OR($A15="",$A15&gt;SUM(Data_Analitik!$AD$2:$AD$351)),"",IFERROR(INDEX(Data_Analitik!$D$2:$D$351,MATCH($A15,Data_Analitik!$AE$2:$AE$351,0)),""))</f>
        <v>Daha Selatan</v>
      </c>
      <c r="E15" s="89">
        <f>IF(OR($A15="",$A15&gt;SUM(Data_Analitik!$AD$2:$AD$351)),"",IFERROR(INDEX(Data_Analitik!$E$2:$E$351,MATCH($A15,Data_Analitik!$AE$2:$AE$351,0)),""))</f>
        <v>5.26</v>
      </c>
      <c r="F15" s="90">
        <f>IF(OR($A15="",$A15&gt;SUM(Data_Analitik!$AD$2:$AD$351)),"",IFERROR(INDEX(Data_Analitik!$Z$2:$Z$351,MATCH($A15,Data_Analitik!$AE$2:$AE$351,0)),""))</f>
        <v>1.0000000435136571</v>
      </c>
      <c r="G15" s="90">
        <f>IF(OR($A15="",$A15&gt;SUM(Data_Analitik!$AD$2:$AD$351)),"",IFERROR(INDEX(Data_Analitik!$AA$2:$AA$351,MATCH($A15,Data_Analitik!$AE$2:$AE$351,0)),""))</f>
        <v>1.0000000435136571</v>
      </c>
      <c r="H15" s="89">
        <f>IF(OR($A15="",$A15&gt;SUM(Data_Analitik!$AD$2:$AD$351)),"",IFERROR(INDEX(Data_Analitik!$U$2:$U$351,MATCH($A15,Data_Analitik!$AE$2:$AE$351,0)),""))</f>
        <v>5.2600002288818359</v>
      </c>
      <c r="I15" s="60" t="str">
        <f>IF(OR($A15="",$A15&gt;SUM(Data_Analitik!$AD$2:$AD$351)),"",IFERROR(INDEX(Data_Analitik!$AB$2:$AB$351,MATCH($A15,Data_Analitik!$AE$2:$AE$351,0)),""))</f>
        <v>Rusak Berat Dominan</v>
      </c>
      <c r="J15" s="47"/>
      <c r="K15" s="47"/>
      <c r="L15" s="47"/>
      <c r="M15" s="47"/>
      <c r="N15" s="47"/>
      <c r="O15" s="47"/>
      <c r="P15" s="47"/>
      <c r="Q15" s="47"/>
      <c r="R15" s="47"/>
    </row>
    <row r="16" spans="1:19" ht="21.95" customHeight="1" x14ac:dyDescent="0.25">
      <c r="A16" s="59">
        <f t="shared" si="0"/>
        <v>3</v>
      </c>
      <c r="B16" s="87" t="str">
        <f>IF(OR($A16="",$A16&gt;SUM(Data_Analitik!$AD$2:$AD$351)),"",IFERROR(INDEX(Data_Analitik!$B$2:$B$351,MATCH($A16,Data_Analitik!$AE$2:$AE$351,0)),""))</f>
        <v>295</v>
      </c>
      <c r="C16" s="88" t="str">
        <f>IF(OR($A16="",$A16&gt;SUM(Data_Analitik!$AD$2:$AD$351)),"",IFERROR(INDEX(Data_Analitik!$C$2:$C$351,MATCH($A16,Data_Analitik!$AE$2:$AE$351,0)),""))</f>
        <v>Jl. Mawar</v>
      </c>
      <c r="D16" s="87" t="str">
        <f>IF(OR($A16="",$A16&gt;SUM(Data_Analitik!$AD$2:$AD$351)),"",IFERROR(INDEX(Data_Analitik!$D$2:$D$351,MATCH($A16,Data_Analitik!$AE$2:$AE$351,0)),""))</f>
        <v>Daha Selatan</v>
      </c>
      <c r="E16" s="89">
        <f>IF(OR($A16="",$A16&gt;SUM(Data_Analitik!$AD$2:$AD$351)),"",IFERROR(INDEX(Data_Analitik!$E$2:$E$351,MATCH($A16,Data_Analitik!$AE$2:$AE$351,0)),""))</f>
        <v>0.27</v>
      </c>
      <c r="F16" s="90">
        <f>IF(OR($A16="",$A16&gt;SUM(Data_Analitik!$AD$2:$AD$351)),"",IFERROR(INDEX(Data_Analitik!$Z$2:$Z$351,MATCH($A16,Data_Analitik!$AE$2:$AE$351,0)),""))</f>
        <v>1.0000000397364297</v>
      </c>
      <c r="G16" s="90">
        <f>IF(OR($A16="",$A16&gt;SUM(Data_Analitik!$AD$2:$AD$351)),"",IFERROR(INDEX(Data_Analitik!$AA$2:$AA$351,MATCH($A16,Data_Analitik!$AE$2:$AE$351,0)),""))</f>
        <v>0.6000000238418578</v>
      </c>
      <c r="H16" s="89">
        <f>IF(OR($A16="",$A16&gt;SUM(Data_Analitik!$AD$2:$AD$351)),"",IFERROR(INDEX(Data_Analitik!$U$2:$U$351,MATCH($A16,Data_Analitik!$AE$2:$AE$351,0)),""))</f>
        <v>0</v>
      </c>
      <c r="I16" s="60" t="str">
        <f>IF(OR($A16="",$A16&gt;SUM(Data_Analitik!$AD$2:$AD$351)),"",IFERROR(INDEX(Data_Analitik!$AB$2:$AB$351,MATCH($A16,Data_Analitik!$AE$2:$AE$351,0)),""))</f>
        <v>Tidak Mantap Tinggi</v>
      </c>
      <c r="J16" s="47"/>
      <c r="K16" s="47"/>
      <c r="L16" s="47"/>
      <c r="M16" s="47"/>
      <c r="N16" s="47"/>
      <c r="O16" s="47"/>
      <c r="P16" s="47"/>
      <c r="Q16" s="47"/>
      <c r="R16" s="47"/>
    </row>
    <row r="17" spans="1:18" ht="21.95" customHeight="1" x14ac:dyDescent="0.25">
      <c r="A17" s="59">
        <f t="shared" si="0"/>
        <v>4</v>
      </c>
      <c r="B17" s="87" t="str">
        <f>IF(OR($A17="",$A17&gt;SUM(Data_Analitik!$AD$2:$AD$351)),"",IFERROR(INDEX(Data_Analitik!$B$2:$B$351,MATCH($A17,Data_Analitik!$AE$2:$AE$351,0)),""))</f>
        <v>312</v>
      </c>
      <c r="C17" s="88" t="str">
        <f>IF(OR($A17="",$A17&gt;SUM(Data_Analitik!$AD$2:$AD$351)),"",IFERROR(INDEX(Data_Analitik!$C$2:$C$351,MATCH($A17,Data_Analitik!$AE$2:$AE$351,0)),""))</f>
        <v>Jl. Teluk Haur I</v>
      </c>
      <c r="D17" s="87" t="str">
        <f>IF(OR($A17="",$A17&gt;SUM(Data_Analitik!$AD$2:$AD$351)),"",IFERROR(INDEX(Data_Analitik!$D$2:$D$351,MATCH($A17,Data_Analitik!$AE$2:$AE$351,0)),""))</f>
        <v>Daha Utara</v>
      </c>
      <c r="E17" s="89">
        <f>IF(OR($A17="",$A17&gt;SUM(Data_Analitik!$AD$2:$AD$351)),"",IFERROR(INDEX(Data_Analitik!$E$2:$E$351,MATCH($A17,Data_Analitik!$AE$2:$AE$351,0)),""))</f>
        <v>0.18</v>
      </c>
      <c r="F17" s="90">
        <f>IF(OR($A17="",$A17&gt;SUM(Data_Analitik!$AD$2:$AD$351)),"",IFERROR(INDEX(Data_Analitik!$Z$2:$Z$351,MATCH($A17,Data_Analitik!$AE$2:$AE$351,0)),""))</f>
        <v>1.0000000397364299</v>
      </c>
      <c r="G17" s="90">
        <f>IF(OR($A17="",$A17&gt;SUM(Data_Analitik!$AD$2:$AD$351)),"",IFERROR(INDEX(Data_Analitik!$AA$2:$AA$351,MATCH($A17,Data_Analitik!$AE$2:$AE$351,0)),""))</f>
        <v>1.0000000397364299</v>
      </c>
      <c r="H17" s="89">
        <f>IF(OR($A17="",$A17&gt;SUM(Data_Analitik!$AD$2:$AD$351)),"",IFERROR(INDEX(Data_Analitik!$U$2:$U$351,MATCH($A17,Data_Analitik!$AE$2:$AE$351,0)),""))</f>
        <v>0.18000000715255737</v>
      </c>
      <c r="I17" s="60" t="str">
        <f>IF(OR($A17="",$A17&gt;SUM(Data_Analitik!$AD$2:$AD$351)),"",IFERROR(INDEX(Data_Analitik!$AB$2:$AB$351,MATCH($A17,Data_Analitik!$AE$2:$AE$351,0)),""))</f>
        <v>Rusak Berat Dominan</v>
      </c>
      <c r="J17" s="47"/>
      <c r="K17" s="47"/>
      <c r="L17" s="47"/>
      <c r="M17" s="47"/>
      <c r="N17" s="47"/>
      <c r="O17" s="47"/>
      <c r="P17" s="47"/>
      <c r="Q17" s="47"/>
      <c r="R17" s="47"/>
    </row>
    <row r="18" spans="1:18" ht="21.95" customHeight="1" x14ac:dyDescent="0.25">
      <c r="A18" s="59">
        <f t="shared" si="0"/>
        <v>5</v>
      </c>
      <c r="B18" s="87" t="str">
        <f>IF(OR($A18="",$A18&gt;SUM(Data_Analitik!$AD$2:$AD$351)),"",IFERROR(INDEX(Data_Analitik!$B$2:$B$351,MATCH($A18,Data_Analitik!$AE$2:$AE$351,0)),""))</f>
        <v>332</v>
      </c>
      <c r="C18" s="88" t="str">
        <f>IF(OR($A18="",$A18&gt;SUM(Data_Analitik!$AD$2:$AD$351)),"",IFERROR(INDEX(Data_Analitik!$C$2:$C$351,MATCH($A18,Data_Analitik!$AE$2:$AE$351,0)),""))</f>
        <v>Jl. Kampung Kawat</v>
      </c>
      <c r="D18" s="87" t="str">
        <f>IF(OR($A18="",$A18&gt;SUM(Data_Analitik!$AD$2:$AD$351)),"",IFERROR(INDEX(Data_Analitik!$D$2:$D$351,MATCH($A18,Data_Analitik!$AE$2:$AE$351,0)),""))</f>
        <v>Daha Utara</v>
      </c>
      <c r="E18" s="89">
        <f>IF(OR($A18="",$A18&gt;SUM(Data_Analitik!$AD$2:$AD$351)),"",IFERROR(INDEX(Data_Analitik!$E$2:$E$351,MATCH($A18,Data_Analitik!$AE$2:$AE$351,0)),""))</f>
        <v>0.33</v>
      </c>
      <c r="F18" s="90">
        <f>IF(OR($A18="",$A18&gt;SUM(Data_Analitik!$AD$2:$AD$351)),"",IFERROR(INDEX(Data_Analitik!$Z$2:$Z$351,MATCH($A18,Data_Analitik!$AE$2:$AE$351,0)),""))</f>
        <v>1.0000000397364297</v>
      </c>
      <c r="G18" s="90">
        <f>IF(OR($A18="",$A18&gt;SUM(Data_Analitik!$AD$2:$AD$351)),"",IFERROR(INDEX(Data_Analitik!$AA$2:$AA$351,MATCH($A18,Data_Analitik!$AE$2:$AE$351,0)),""))</f>
        <v>1.0000000397364297</v>
      </c>
      <c r="H18" s="89">
        <f>IF(OR($A18="",$A18&gt;SUM(Data_Analitik!$AD$2:$AD$351)),"",IFERROR(INDEX(Data_Analitik!$U$2:$U$351,MATCH($A18,Data_Analitik!$AE$2:$AE$351,0)),""))</f>
        <v>0.33000001311302185</v>
      </c>
      <c r="I18" s="60" t="str">
        <f>IF(OR($A18="",$A18&gt;SUM(Data_Analitik!$AD$2:$AD$351)),"",IFERROR(INDEX(Data_Analitik!$AB$2:$AB$351,MATCH($A18,Data_Analitik!$AE$2:$AE$351,0)),""))</f>
        <v>Rusak Berat Dominan</v>
      </c>
      <c r="J18" s="47"/>
      <c r="K18" s="47"/>
      <c r="L18" s="47"/>
      <c r="M18" s="47"/>
      <c r="N18" s="47"/>
      <c r="O18" s="47"/>
      <c r="P18" s="47"/>
      <c r="Q18" s="47"/>
      <c r="R18" s="47"/>
    </row>
    <row r="19" spans="1:18" ht="21.95" customHeight="1" x14ac:dyDescent="0.25">
      <c r="A19" s="59">
        <f t="shared" si="0"/>
        <v>6</v>
      </c>
      <c r="B19" s="87" t="str">
        <f>IF(OR($A19="",$A19&gt;SUM(Data_Analitik!$AD$2:$AD$351)),"",IFERROR(INDEX(Data_Analitik!$B$2:$B$351,MATCH($A19,Data_Analitik!$AE$2:$AE$351,0)),""))</f>
        <v>157</v>
      </c>
      <c r="C19" s="88" t="str">
        <f>IF(OR($A19="",$A19&gt;SUM(Data_Analitik!$AD$2:$AD$351)),"",IFERROR(INDEX(Data_Analitik!$C$2:$C$351,MATCH($A19,Data_Analitik!$AE$2:$AE$351,0)),""))</f>
        <v>Malilingin - Muara Hariang</v>
      </c>
      <c r="D19" s="87" t="str">
        <f>IF(OR($A19="",$A19&gt;SUM(Data_Analitik!$AD$2:$AD$351)),"",IFERROR(INDEX(Data_Analitik!$D$2:$D$351,MATCH($A19,Data_Analitik!$AE$2:$AE$351,0)),""))</f>
        <v>Padang Batung</v>
      </c>
      <c r="E19" s="89">
        <f>IF(OR($A19="",$A19&gt;SUM(Data_Analitik!$AD$2:$AD$351)),"",IFERROR(INDEX(Data_Analitik!$E$2:$E$351,MATCH($A19,Data_Analitik!$AE$2:$AE$351,0)),""))</f>
        <v>4.57</v>
      </c>
      <c r="F19" s="90">
        <f>IF(OR($A19="",$A19&gt;SUM(Data_Analitik!$AD$2:$AD$351)),"",IFERROR(INDEX(Data_Analitik!$Z$2:$Z$351,MATCH($A19,Data_Analitik!$AE$2:$AE$351,0)),""))</f>
        <v>1.0000000375626645</v>
      </c>
      <c r="G19" s="90">
        <f>IF(OR($A19="",$A19&gt;SUM(Data_Analitik!$AD$2:$AD$351)),"",IFERROR(INDEX(Data_Analitik!$AA$2:$AA$351,MATCH($A19,Data_Analitik!$AE$2:$AE$351,0)),""))</f>
        <v>1.0000000375626645</v>
      </c>
      <c r="H19" s="89">
        <f>IF(OR($A19="",$A19&gt;SUM(Data_Analitik!$AD$2:$AD$351)),"",IFERROR(INDEX(Data_Analitik!$U$2:$U$351,MATCH($A19,Data_Analitik!$AE$2:$AE$351,0)),""))</f>
        <v>4.570000171661377</v>
      </c>
      <c r="I19" s="60" t="str">
        <f>IF(OR($A19="",$A19&gt;SUM(Data_Analitik!$AD$2:$AD$351)),"",IFERROR(INDEX(Data_Analitik!$AB$2:$AB$351,MATCH($A19,Data_Analitik!$AE$2:$AE$351,0)),""))</f>
        <v>Rusak Berat Dominan</v>
      </c>
      <c r="J19" s="47"/>
      <c r="K19" s="47"/>
      <c r="L19" s="47"/>
      <c r="M19" s="47"/>
      <c r="N19" s="47"/>
      <c r="O19" s="47"/>
      <c r="P19" s="47"/>
      <c r="Q19" s="47"/>
      <c r="R19" s="47"/>
    </row>
    <row r="20" spans="1:18" ht="21.95" customHeight="1" x14ac:dyDescent="0.25">
      <c r="A20" s="59">
        <f t="shared" si="0"/>
        <v>7</v>
      </c>
      <c r="B20" s="87" t="str">
        <f>IF(OR($A20="",$A20&gt;SUM(Data_Analitik!$AD$2:$AD$351)),"",IFERROR(INDEX(Data_Analitik!$B$2:$B$351,MATCH($A20,Data_Analitik!$AE$2:$AE$351,0)),""))</f>
        <v>302</v>
      </c>
      <c r="C20" s="88" t="str">
        <f>IF(OR($A20="",$A20&gt;SUM(Data_Analitik!$AD$2:$AD$351)),"",IFERROR(INDEX(Data_Analitik!$C$2:$C$351,MATCH($A20,Data_Analitik!$AE$2:$AE$351,0)),""))</f>
        <v>Muning Tengah - Ds. Muning Dalam</v>
      </c>
      <c r="D20" s="87" t="str">
        <f>IF(OR($A20="",$A20&gt;SUM(Data_Analitik!$AD$2:$AD$351)),"",IFERROR(INDEX(Data_Analitik!$D$2:$D$351,MATCH($A20,Data_Analitik!$AE$2:$AE$351,0)),""))</f>
        <v>Daha Selatan</v>
      </c>
      <c r="E20" s="89">
        <f>IF(OR($A20="",$A20&gt;SUM(Data_Analitik!$AD$2:$AD$351)),"",IFERROR(INDEX(Data_Analitik!$E$2:$E$351,MATCH($A20,Data_Analitik!$AE$2:$AE$351,0)),""))</f>
        <v>17.11</v>
      </c>
      <c r="F20" s="90">
        <f>IF(OR($A20="",$A20&gt;SUM(Data_Analitik!$AD$2:$AD$351)),"",IFERROR(INDEX(Data_Analitik!$Z$2:$Z$351,MATCH($A20,Data_Analitik!$AE$2:$AE$351,0)),""))</f>
        <v>1.000000035672213</v>
      </c>
      <c r="G20" s="90">
        <f>IF(OR($A20="",$A20&gt;SUM(Data_Analitik!$AD$2:$AD$351)),"",IFERROR(INDEX(Data_Analitik!$AA$2:$AA$351,MATCH($A20,Data_Analitik!$AE$2:$AE$351,0)),""))</f>
        <v>1.000000035672213</v>
      </c>
      <c r="H20" s="89">
        <f>IF(OR($A20="",$A20&gt;SUM(Data_Analitik!$AD$2:$AD$351)),"",IFERROR(INDEX(Data_Analitik!$U$2:$U$351,MATCH($A20,Data_Analitik!$AE$2:$AE$351,0)),""))</f>
        <v>17.110000610351563</v>
      </c>
      <c r="I20" s="60" t="str">
        <f>IF(OR($A20="",$A20&gt;SUM(Data_Analitik!$AD$2:$AD$351)),"",IFERROR(INDEX(Data_Analitik!$AB$2:$AB$351,MATCH($A20,Data_Analitik!$AE$2:$AE$351,0)),""))</f>
        <v>Rusak Berat Dominan</v>
      </c>
      <c r="J20" s="47"/>
      <c r="K20" s="47"/>
      <c r="L20" s="47"/>
      <c r="M20" s="47"/>
      <c r="N20" s="47"/>
      <c r="O20" s="47"/>
      <c r="P20" s="47"/>
      <c r="Q20" s="47"/>
      <c r="R20" s="47"/>
    </row>
    <row r="21" spans="1:18" ht="21.95" customHeight="1" x14ac:dyDescent="0.25">
      <c r="A21" s="59">
        <f t="shared" si="0"/>
        <v>8</v>
      </c>
      <c r="B21" s="87" t="str">
        <f>IF(OR($A21="",$A21&gt;SUM(Data_Analitik!$AD$2:$AD$351)),"",IFERROR(INDEX(Data_Analitik!$B$2:$B$351,MATCH($A21,Data_Analitik!$AE$2:$AE$351,0)),""))</f>
        <v>149</v>
      </c>
      <c r="C21" s="88" t="str">
        <f>IF(OR($A21="",$A21&gt;SUM(Data_Analitik!$AD$2:$AD$351)),"",IFERROR(INDEX(Data_Analitik!$C$2:$C$351,MATCH($A21,Data_Analitik!$AE$2:$AE$351,0)),""))</f>
        <v>Paku (Jambu Hulu) - Ganda</v>
      </c>
      <c r="D21" s="87" t="str">
        <f>IF(OR($A21="",$A21&gt;SUM(Data_Analitik!$AD$2:$AD$351)),"",IFERROR(INDEX(Data_Analitik!$D$2:$D$351,MATCH($A21,Data_Analitik!$AE$2:$AE$351,0)),""))</f>
        <v>Padang Batung - Kandangan</v>
      </c>
      <c r="E21" s="89">
        <f>IF(OR($A21="",$A21&gt;SUM(Data_Analitik!$AD$2:$AD$351)),"",IFERROR(INDEX(Data_Analitik!$E$2:$E$351,MATCH($A21,Data_Analitik!$AE$2:$AE$351,0)),""))</f>
        <v>1.88</v>
      </c>
      <c r="F21" s="90">
        <f>IF(OR($A21="",$A21&gt;SUM(Data_Analitik!$AD$2:$AD$351)),"",IFERROR(INDEX(Data_Analitik!$Z$2:$Z$351,MATCH($A21,Data_Analitik!$AE$2:$AE$351,0)),""))</f>
        <v>1.0000000291682305</v>
      </c>
      <c r="G21" s="90">
        <f>IF(OR($A21="",$A21&gt;SUM(Data_Analitik!$AD$2:$AD$351)),"",IFERROR(INDEX(Data_Analitik!$AA$2:$AA$351,MATCH($A21,Data_Analitik!$AE$2:$AE$351,0)),""))</f>
        <v>0.66382980727134866</v>
      </c>
      <c r="H21" s="89">
        <f>IF(OR($A21="",$A21&gt;SUM(Data_Analitik!$AD$2:$AD$351)),"",IFERROR(INDEX(Data_Analitik!$U$2:$U$351,MATCH($A21,Data_Analitik!$AE$2:$AE$351,0)),""))</f>
        <v>0.30000001192092896</v>
      </c>
      <c r="I21" s="60" t="str">
        <f>IF(OR($A21="",$A21&gt;SUM(Data_Analitik!$AD$2:$AD$351)),"",IFERROR(INDEX(Data_Analitik!$AB$2:$AB$351,MATCH($A21,Data_Analitik!$AE$2:$AE$351,0)),""))</f>
        <v>Tidak Mantap Tinggi</v>
      </c>
      <c r="J21" s="47"/>
      <c r="K21" s="47"/>
      <c r="L21" s="47"/>
      <c r="M21" s="47"/>
      <c r="N21" s="47"/>
      <c r="O21" s="47"/>
      <c r="P21" s="47"/>
      <c r="Q21" s="47"/>
      <c r="R21" s="47"/>
    </row>
    <row r="22" spans="1:18" ht="21.95" customHeight="1" x14ac:dyDescent="0.25">
      <c r="A22" s="59">
        <f t="shared" si="0"/>
        <v>9</v>
      </c>
      <c r="B22" s="87" t="str">
        <f>IF(OR($A22="",$A22&gt;SUM(Data_Analitik!$AD$2:$AD$351)),"",IFERROR(INDEX(Data_Analitik!$B$2:$B$351,MATCH($A22,Data_Analitik!$AE$2:$AE$351,0)),""))</f>
        <v>112</v>
      </c>
      <c r="C22" s="88" t="str">
        <f>IF(OR($A22="",$A22&gt;SUM(Data_Analitik!$AD$2:$AD$351)),"",IFERROR(INDEX(Data_Analitik!$C$2:$C$351,MATCH($A22,Data_Analitik!$AE$2:$AE$351,0)),""))</f>
        <v>Jl. Bangga TMMD</v>
      </c>
      <c r="D22" s="87" t="str">
        <f>IF(OR($A22="",$A22&gt;SUM(Data_Analitik!$AD$2:$AD$351)),"",IFERROR(INDEX(Data_Analitik!$D$2:$D$351,MATCH($A22,Data_Analitik!$AE$2:$AE$351,0)),""))</f>
        <v>Sungai Raya</v>
      </c>
      <c r="E22" s="89">
        <f>IF(OR($A22="",$A22&gt;SUM(Data_Analitik!$AD$2:$AD$351)),"",IFERROR(INDEX(Data_Analitik!$E$2:$E$351,MATCH($A22,Data_Analitik!$AE$2:$AE$351,0)),""))</f>
        <v>0.79</v>
      </c>
      <c r="F22" s="90">
        <f>IF(OR($A22="",$A22&gt;SUM(Data_Analitik!$AD$2:$AD$351)),"",IFERROR(INDEX(Data_Analitik!$Z$2:$Z$351,MATCH($A22,Data_Analitik!$AE$2:$AE$351,0)),""))</f>
        <v>1.0000000271616103</v>
      </c>
      <c r="G22" s="90">
        <f>IF(OR($A22="",$A22&gt;SUM(Data_Analitik!$AD$2:$AD$351)),"",IFERROR(INDEX(Data_Analitik!$AA$2:$AA$351,MATCH($A22,Data_Analitik!$AE$2:$AE$351,0)),""))</f>
        <v>0.6000000162969662</v>
      </c>
      <c r="H22" s="89">
        <f>IF(OR($A22="",$A22&gt;SUM(Data_Analitik!$AD$2:$AD$351)),"",IFERROR(INDEX(Data_Analitik!$U$2:$U$351,MATCH($A22,Data_Analitik!$AE$2:$AE$351,0)),""))</f>
        <v>0</v>
      </c>
      <c r="I22" s="60" t="str">
        <f>IF(OR($A22="",$A22&gt;SUM(Data_Analitik!$AD$2:$AD$351)),"",IFERROR(INDEX(Data_Analitik!$AB$2:$AB$351,MATCH($A22,Data_Analitik!$AE$2:$AE$351,0)),""))</f>
        <v>Tidak Mantap Tinggi</v>
      </c>
      <c r="J22" s="47"/>
      <c r="K22" s="47"/>
      <c r="L22" s="47"/>
      <c r="M22" s="47"/>
      <c r="N22" s="47"/>
      <c r="O22" s="47"/>
      <c r="P22" s="47"/>
      <c r="Q22" s="47"/>
      <c r="R22" s="47"/>
    </row>
    <row r="23" spans="1:18" ht="21.95" customHeight="1" x14ac:dyDescent="0.25">
      <c r="A23" s="59">
        <f t="shared" si="0"/>
        <v>10</v>
      </c>
      <c r="B23" s="87" t="str">
        <f>IF(OR($A23="",$A23&gt;SUM(Data_Analitik!$AD$2:$AD$351)),"",IFERROR(INDEX(Data_Analitik!$B$2:$B$351,MATCH($A23,Data_Analitik!$AE$2:$AE$351,0)),""))</f>
        <v>155</v>
      </c>
      <c r="C23" s="88" t="str">
        <f>IF(OR($A23="",$A23&gt;SUM(Data_Analitik!$AD$2:$AD$351)),"",IFERROR(INDEX(Data_Analitik!$C$2:$C$351,MATCH($A23,Data_Analitik!$AE$2:$AE$351,0)),""))</f>
        <v>Muara Pipii - Tambak Pipii</v>
      </c>
      <c r="D23" s="87" t="str">
        <f>IF(OR($A23="",$A23&gt;SUM(Data_Analitik!$AD$2:$AD$351)),"",IFERROR(INDEX(Data_Analitik!$D$2:$D$351,MATCH($A23,Data_Analitik!$AE$2:$AE$351,0)),""))</f>
        <v>Padang Batung</v>
      </c>
      <c r="E23" s="89">
        <f>IF(OR($A23="",$A23&gt;SUM(Data_Analitik!$AD$2:$AD$351)),"",IFERROR(INDEX(Data_Analitik!$E$2:$E$351,MATCH($A23,Data_Analitik!$AE$2:$AE$351,0)),""))</f>
        <v>4.6500000000000004</v>
      </c>
      <c r="F23" s="90">
        <f>IF(OR($A23="",$A23&gt;SUM(Data_Analitik!$AD$2:$AD$351)),"",IFERROR(INDEX(Data_Analitik!$Z$2:$Z$351,MATCH($A23,Data_Analitik!$AE$2:$AE$351,0)),""))</f>
        <v>1.0000000269182265</v>
      </c>
      <c r="G23" s="90">
        <f>IF(OR($A23="",$A23&gt;SUM(Data_Analitik!$AD$2:$AD$351)),"",IFERROR(INDEX(Data_Analitik!$AA$2:$AA$351,MATCH($A23,Data_Analitik!$AE$2:$AE$351,0)),""))</f>
        <v>0.96559142425496081</v>
      </c>
      <c r="H23" s="89">
        <f>IF(OR($A23="",$A23&gt;SUM(Data_Analitik!$AD$2:$AD$351)),"",IFERROR(INDEX(Data_Analitik!$U$2:$U$351,MATCH($A23,Data_Analitik!$AE$2:$AE$351,0)),""))</f>
        <v>4.2500001192092896</v>
      </c>
      <c r="I23" s="60" t="str">
        <f>IF(OR($A23="",$A23&gt;SUM(Data_Analitik!$AD$2:$AD$351)),"",IFERROR(INDEX(Data_Analitik!$AB$2:$AB$351,MATCH($A23,Data_Analitik!$AE$2:$AE$351,0)),""))</f>
        <v>Rusak Berat Dominan</v>
      </c>
      <c r="J23" s="47"/>
      <c r="K23" s="47"/>
      <c r="L23" s="47"/>
      <c r="M23" s="47"/>
      <c r="N23" s="47"/>
      <c r="O23" s="47"/>
      <c r="P23" s="47"/>
      <c r="Q23" s="47"/>
      <c r="R23" s="47"/>
    </row>
    <row r="24" spans="1:18" ht="21.95" customHeight="1" x14ac:dyDescent="0.25">
      <c r="A24" s="59">
        <f t="shared" si="0"/>
        <v>11</v>
      </c>
      <c r="B24" s="87" t="str">
        <f>IF(OR($A24="",$A24&gt;SUM(Data_Analitik!$AD$2:$AD$351)),"",IFERROR(INDEX(Data_Analitik!$B$2:$B$351,MATCH($A24,Data_Analitik!$AE$2:$AE$351,0)),""))</f>
        <v>126</v>
      </c>
      <c r="C24" s="88" t="str">
        <f>IF(OR($A24="",$A24&gt;SUM(Data_Analitik!$AD$2:$AD$351)),"",IFERROR(INDEX(Data_Analitik!$C$2:$C$351,MATCH($A24,Data_Analitik!$AE$2:$AE$351,0)),""))</f>
        <v>Jl. Sungai Namang - Ds. Tanah Bangkang</v>
      </c>
      <c r="D24" s="87" t="str">
        <f>IF(OR($A24="",$A24&gt;SUM(Data_Analitik!$AD$2:$AD$351)),"",IFERROR(INDEX(Data_Analitik!$D$2:$D$351,MATCH($A24,Data_Analitik!$AE$2:$AE$351,0)),""))</f>
        <v>Sungai Raya</v>
      </c>
      <c r="E24" s="89">
        <f>IF(OR($A24="",$A24&gt;SUM(Data_Analitik!$AD$2:$AD$351)),"",IFERROR(INDEX(Data_Analitik!$E$2:$E$351,MATCH($A24,Data_Analitik!$AE$2:$AE$351,0)),""))</f>
        <v>0.73</v>
      </c>
      <c r="F24" s="90">
        <f>IF(OR($A24="",$A24&gt;SUM(Data_Analitik!$AD$2:$AD$351)),"",IFERROR(INDEX(Data_Analitik!$Z$2:$Z$351,MATCH($A24,Data_Analitik!$AE$2:$AE$351,0)),""))</f>
        <v>1.0000000261280635</v>
      </c>
      <c r="G24" s="90">
        <f>IF(OR($A24="",$A24&gt;SUM(Data_Analitik!$AD$2:$AD$351)),"",IFERROR(INDEX(Data_Analitik!$AA$2:$AA$351,MATCH($A24,Data_Analitik!$AE$2:$AE$351,0)),""))</f>
        <v>1.0000000261280635</v>
      </c>
      <c r="H24" s="89">
        <f>IF(OR($A24="",$A24&gt;SUM(Data_Analitik!$AD$2:$AD$351)),"",IFERROR(INDEX(Data_Analitik!$U$2:$U$351,MATCH($A24,Data_Analitik!$AE$2:$AE$351,0)),""))</f>
        <v>0.73000001907348633</v>
      </c>
      <c r="I24" s="60" t="str">
        <f>IF(OR($A24="",$A24&gt;SUM(Data_Analitik!$AD$2:$AD$351)),"",IFERROR(INDEX(Data_Analitik!$AB$2:$AB$351,MATCH($A24,Data_Analitik!$AE$2:$AE$351,0)),""))</f>
        <v>Rusak Berat Dominan</v>
      </c>
      <c r="J24" s="47"/>
      <c r="K24" s="47"/>
      <c r="L24" s="47"/>
      <c r="M24" s="47"/>
      <c r="N24" s="47"/>
      <c r="O24" s="47"/>
      <c r="P24" s="47"/>
      <c r="Q24" s="47"/>
      <c r="R24" s="47"/>
    </row>
    <row r="25" spans="1:18" ht="21.95" customHeight="1" x14ac:dyDescent="0.25">
      <c r="A25" s="59">
        <f t="shared" si="0"/>
        <v>12</v>
      </c>
      <c r="B25" s="87" t="str">
        <f>IF(OR($A25="",$A25&gt;SUM(Data_Analitik!$AD$2:$AD$351)),"",IFERROR(INDEX(Data_Analitik!$B$2:$B$351,MATCH($A25,Data_Analitik!$AE$2:$AE$351,0)),""))</f>
        <v>256</v>
      </c>
      <c r="C25" s="88" t="str">
        <f>IF(OR($A25="",$A25&gt;SUM(Data_Analitik!$AD$2:$AD$351)),"",IFERROR(INDEX(Data_Analitik!$C$2:$C$351,MATCH($A25,Data_Analitik!$AE$2:$AE$351,0)),""))</f>
        <v>Balimau - Murung Dalam</v>
      </c>
      <c r="D25" s="87" t="str">
        <f>IF(OR($A25="",$A25&gt;SUM(Data_Analitik!$AD$2:$AD$351)),"",IFERROR(INDEX(Data_Analitik!$D$2:$D$351,MATCH($A25,Data_Analitik!$AE$2:$AE$351,0)),""))</f>
        <v>Kalumpang</v>
      </c>
      <c r="E25" s="89">
        <f>IF(OR($A25="",$A25&gt;SUM(Data_Analitik!$AD$2:$AD$351)),"",IFERROR(INDEX(Data_Analitik!$E$2:$E$351,MATCH($A25,Data_Analitik!$AE$2:$AE$351,0)),""))</f>
        <v>1.46</v>
      </c>
      <c r="F25" s="90">
        <f>IF(OR($A25="",$A25&gt;SUM(Data_Analitik!$AD$2:$AD$351)),"",IFERROR(INDEX(Data_Analitik!$Z$2:$Z$351,MATCH($A25,Data_Analitik!$AE$2:$AE$351,0)),""))</f>
        <v>1.0000000261280635</v>
      </c>
      <c r="G25" s="90">
        <f>IF(OR($A25="",$A25&gt;SUM(Data_Analitik!$AD$2:$AD$351)),"",IFERROR(INDEX(Data_Analitik!$AA$2:$AA$351,MATCH($A25,Data_Analitik!$AE$2:$AE$351,0)),""))</f>
        <v>1.0000000261280635</v>
      </c>
      <c r="H25" s="89">
        <f>IF(OR($A25="",$A25&gt;SUM(Data_Analitik!$AD$2:$AD$351)),"",IFERROR(INDEX(Data_Analitik!$U$2:$U$351,MATCH($A25,Data_Analitik!$AE$2:$AE$351,0)),""))</f>
        <v>1.4600000381469727</v>
      </c>
      <c r="I25" s="60" t="str">
        <f>IF(OR($A25="",$A25&gt;SUM(Data_Analitik!$AD$2:$AD$351)),"",IFERROR(INDEX(Data_Analitik!$AB$2:$AB$351,MATCH($A25,Data_Analitik!$AE$2:$AE$351,0)),""))</f>
        <v>Rusak Berat Dominan</v>
      </c>
      <c r="J25" s="47"/>
      <c r="K25" s="47"/>
      <c r="L25" s="47"/>
      <c r="M25" s="47"/>
      <c r="N25" s="47"/>
      <c r="O25" s="47"/>
      <c r="P25" s="47"/>
      <c r="Q25" s="47"/>
      <c r="R25" s="47"/>
    </row>
    <row r="26" spans="1:18" ht="21.95" customHeight="1" x14ac:dyDescent="0.25">
      <c r="A26" s="59">
        <f t="shared" si="0"/>
        <v>13</v>
      </c>
      <c r="B26" s="87" t="str">
        <f>IF(OR($A26="",$A26&gt;SUM(Data_Analitik!$AD$2:$AD$351)),"",IFERROR(INDEX(Data_Analitik!$B$2:$B$351,MATCH($A26,Data_Analitik!$AE$2:$AE$351,0)),""))</f>
        <v>274</v>
      </c>
      <c r="C26" s="88" t="str">
        <f>IF(OR($A26="",$A26&gt;SUM(Data_Analitik!$AD$2:$AD$351)),"",IFERROR(INDEX(Data_Analitik!$C$2:$C$351,MATCH($A26,Data_Analitik!$AE$2:$AE$351,0)),""))</f>
        <v>Lambuk - Ds. Tumingki</v>
      </c>
      <c r="D26" s="87" t="str">
        <f>IF(OR($A26="",$A26&gt;SUM(Data_Analitik!$AD$2:$AD$351)),"",IFERROR(INDEX(Data_Analitik!$D$2:$D$351,MATCH($A26,Data_Analitik!$AE$2:$AE$351,0)),""))</f>
        <v>Loksado</v>
      </c>
      <c r="E26" s="89">
        <f>IF(OR($A26="",$A26&gt;SUM(Data_Analitik!$AD$2:$AD$351)),"",IFERROR(INDEX(Data_Analitik!$E$2:$E$351,MATCH($A26,Data_Analitik!$AE$2:$AE$351,0)),""))</f>
        <v>0.67</v>
      </c>
      <c r="F26" s="90">
        <f>IF(OR($A26="",$A26&gt;SUM(Data_Analitik!$AD$2:$AD$351)),"",IFERROR(INDEX(Data_Analitik!$Z$2:$Z$351,MATCH($A26,Data_Analitik!$AE$2:$AE$351,0)),""))</f>
        <v>1.0000000249094037</v>
      </c>
      <c r="G26" s="90">
        <f>IF(OR($A26="",$A26&gt;SUM(Data_Analitik!$AD$2:$AD$351)),"",IFERROR(INDEX(Data_Analitik!$AA$2:$AA$351,MATCH($A26,Data_Analitik!$AE$2:$AE$351,0)),""))</f>
        <v>0.60000001494564215</v>
      </c>
      <c r="H26" s="89">
        <f>IF(OR($A26="",$A26&gt;SUM(Data_Analitik!$AD$2:$AD$351)),"",IFERROR(INDEX(Data_Analitik!$U$2:$U$351,MATCH($A26,Data_Analitik!$AE$2:$AE$351,0)),""))</f>
        <v>0</v>
      </c>
      <c r="I26" s="60" t="str">
        <f>IF(OR($A26="",$A26&gt;SUM(Data_Analitik!$AD$2:$AD$351)),"",IFERROR(INDEX(Data_Analitik!$AB$2:$AB$351,MATCH($A26,Data_Analitik!$AE$2:$AE$351,0)),""))</f>
        <v>Tidak Mantap Tinggi</v>
      </c>
      <c r="J26" s="47"/>
      <c r="K26" s="47"/>
      <c r="L26" s="47"/>
      <c r="M26" s="47"/>
      <c r="N26" s="47"/>
      <c r="O26" s="47"/>
      <c r="P26" s="47"/>
      <c r="Q26" s="47"/>
      <c r="R26" s="47"/>
    </row>
    <row r="27" spans="1:18" ht="21.95" customHeight="1" x14ac:dyDescent="0.25">
      <c r="A27" s="59">
        <f t="shared" si="0"/>
        <v>14</v>
      </c>
      <c r="B27" s="87" t="str">
        <f>IF(OR($A27="",$A27&gt;SUM(Data_Analitik!$AD$2:$AD$351)),"",IFERROR(INDEX(Data_Analitik!$B$2:$B$351,MATCH($A27,Data_Analitik!$AE$2:$AE$351,0)),""))</f>
        <v>341</v>
      </c>
      <c r="C27" s="88" t="str">
        <f>IF(OR($A27="",$A27&gt;SUM(Data_Analitik!$AD$2:$AD$351)),"",IFERROR(INDEX(Data_Analitik!$C$2:$C$351,MATCH($A27,Data_Analitik!$AE$2:$AE$351,0)),""))</f>
        <v>Jl. Banua Hanyar - Ds. Tanjung Selor</v>
      </c>
      <c r="D27" s="87" t="str">
        <f>IF(OR($A27="",$A27&gt;SUM(Data_Analitik!$AD$2:$AD$351)),"",IFERROR(INDEX(Data_Analitik!$D$2:$D$351,MATCH($A27,Data_Analitik!$AE$2:$AE$351,0)),""))</f>
        <v>Daha Barat</v>
      </c>
      <c r="E27" s="89">
        <f>IF(OR($A27="",$A27&gt;SUM(Data_Analitik!$AD$2:$AD$351)),"",IFERROR(INDEX(Data_Analitik!$E$2:$E$351,MATCH($A27,Data_Analitik!$AE$2:$AE$351,0)),""))</f>
        <v>5.61</v>
      </c>
      <c r="F27" s="90">
        <f>IF(OR($A27="",$A27&gt;SUM(Data_Analitik!$AD$2:$AD$351)),"",IFERROR(INDEX(Data_Analitik!$Z$2:$Z$351,MATCH($A27,Data_Analitik!$AE$2:$AE$351,0)),""))</f>
        <v>1.0000000237993589</v>
      </c>
      <c r="G27" s="90">
        <f>IF(OR($A27="",$A27&gt;SUM(Data_Analitik!$AD$2:$AD$351)),"",IFERROR(INDEX(Data_Analitik!$AA$2:$AA$351,MATCH($A27,Data_Analitik!$AE$2:$AE$351,0)),""))</f>
        <v>1.0000000237993589</v>
      </c>
      <c r="H27" s="89">
        <f>IF(OR($A27="",$A27&gt;SUM(Data_Analitik!$AD$2:$AD$351)),"",IFERROR(INDEX(Data_Analitik!$U$2:$U$351,MATCH($A27,Data_Analitik!$AE$2:$AE$351,0)),""))</f>
        <v>5.6100001335144043</v>
      </c>
      <c r="I27" s="60" t="str">
        <f>IF(OR($A27="",$A27&gt;SUM(Data_Analitik!$AD$2:$AD$351)),"",IFERROR(INDEX(Data_Analitik!$AB$2:$AB$351,MATCH($A27,Data_Analitik!$AE$2:$AE$351,0)),""))</f>
        <v>Rusak Berat Dominan</v>
      </c>
      <c r="J27" s="47"/>
      <c r="K27" s="47"/>
      <c r="L27" s="47"/>
      <c r="M27" s="47"/>
      <c r="N27" s="47"/>
      <c r="O27" s="47"/>
      <c r="P27" s="47"/>
      <c r="Q27" s="47"/>
      <c r="R27" s="47"/>
    </row>
    <row r="28" spans="1:18" ht="21.95" customHeight="1" x14ac:dyDescent="0.25">
      <c r="A28" s="59">
        <f t="shared" si="0"/>
        <v>15</v>
      </c>
      <c r="B28" s="87" t="str">
        <f>IF(OR($A28="",$A28&gt;SUM(Data_Analitik!$AD$2:$AD$351)),"",IFERROR(INDEX(Data_Analitik!$B$2:$B$351,MATCH($A28,Data_Analitik!$AE$2:$AE$351,0)),""))</f>
        <v>183</v>
      </c>
      <c r="C28" s="88" t="str">
        <f>IF(OR($A28="",$A28&gt;SUM(Data_Analitik!$AD$2:$AD$351)),"",IFERROR(INDEX(Data_Analitik!$C$2:$C$351,MATCH($A28,Data_Analitik!$AE$2:$AE$351,0)),""))</f>
        <v>Panggang Hijau - Ds. Tawar</v>
      </c>
      <c r="D28" s="87" t="str">
        <f>IF(OR($A28="",$A28&gt;SUM(Data_Analitik!$AD$2:$AD$351)),"",IFERROR(INDEX(Data_Analitik!$D$2:$D$351,MATCH($A28,Data_Analitik!$AE$2:$AE$351,0)),""))</f>
        <v>Angkinang - Kandangan</v>
      </c>
      <c r="E28" s="89">
        <f>IF(OR($A28="",$A28&gt;SUM(Data_Analitik!$AD$2:$AD$351)),"",IFERROR(INDEX(Data_Analitik!$E$2:$E$351,MATCH($A28,Data_Analitik!$AE$2:$AE$351,0)),""))</f>
        <v>3.67</v>
      </c>
      <c r="F28" s="90">
        <f>IF(OR($A28="",$A28&gt;SUM(Data_Analitik!$AD$2:$AD$351)),"",IFERROR(INDEX(Data_Analitik!$Z$2:$Z$351,MATCH($A28,Data_Analitik!$AE$2:$AE$351,0)),""))</f>
        <v>1.0000000207885409</v>
      </c>
      <c r="G28" s="90">
        <f>IF(OR($A28="",$A28&gt;SUM(Data_Analitik!$AD$2:$AD$351)),"",IFERROR(INDEX(Data_Analitik!$AA$2:$AA$351,MATCH($A28,Data_Analitik!$AE$2:$AE$351,0)),""))</f>
        <v>1.0000000207885409</v>
      </c>
      <c r="H28" s="89">
        <f>IF(OR($A28="",$A28&gt;SUM(Data_Analitik!$AD$2:$AD$351)),"",IFERROR(INDEX(Data_Analitik!$U$2:$U$351,MATCH($A28,Data_Analitik!$AE$2:$AE$351,0)),""))</f>
        <v>3.6700000762939453</v>
      </c>
      <c r="I28" s="60" t="str">
        <f>IF(OR($A28="",$A28&gt;SUM(Data_Analitik!$AD$2:$AD$351)),"",IFERROR(INDEX(Data_Analitik!$AB$2:$AB$351,MATCH($A28,Data_Analitik!$AE$2:$AE$351,0)),""))</f>
        <v>Rusak Berat Dominan</v>
      </c>
      <c r="J28" s="47"/>
      <c r="K28" s="47"/>
      <c r="L28" s="47"/>
      <c r="M28" s="47"/>
      <c r="N28" s="47"/>
      <c r="O28" s="47"/>
      <c r="P28" s="47"/>
      <c r="Q28" s="47"/>
      <c r="R28" s="47"/>
    </row>
    <row r="29" spans="1:18" ht="21.95" customHeight="1" x14ac:dyDescent="0.25">
      <c r="A29" s="59">
        <f t="shared" si="0"/>
        <v>16</v>
      </c>
      <c r="B29" s="87" t="str">
        <f>IF(OR($A29="",$A29&gt;SUM(Data_Analitik!$AD$2:$AD$351)),"",IFERROR(INDEX(Data_Analitik!$B$2:$B$351,MATCH($A29,Data_Analitik!$AE$2:$AE$351,0)),""))</f>
        <v>134</v>
      </c>
      <c r="C29" s="88" t="str">
        <f>IF(OR($A29="",$A29&gt;SUM(Data_Analitik!$AD$2:$AD$351)),"",IFERROR(INDEX(Data_Analitik!$C$2:$C$351,MATCH($A29,Data_Analitik!$AE$2:$AE$351,0)),""))</f>
        <v>Jl. Kalaka Dayuh - Ds. Sungai Raya Utara</v>
      </c>
      <c r="D29" s="87" t="str">
        <f>IF(OR($A29="",$A29&gt;SUM(Data_Analitik!$AD$2:$AD$351)),"",IFERROR(INDEX(Data_Analitik!$D$2:$D$351,MATCH($A29,Data_Analitik!$AE$2:$AE$351,0)),""))</f>
        <v>Sungai Raya</v>
      </c>
      <c r="E29" s="89">
        <f>IF(OR($A29="",$A29&gt;SUM(Data_Analitik!$AD$2:$AD$351)),"",IFERROR(INDEX(Data_Analitik!$E$2:$E$351,MATCH($A29,Data_Analitik!$AE$2:$AE$351,0)),""))</f>
        <v>0.43</v>
      </c>
      <c r="F29" s="90">
        <f>IF(OR($A29="",$A29&gt;SUM(Data_Analitik!$AD$2:$AD$351)),"",IFERROR(INDEX(Data_Analitik!$Z$2:$Z$351,MATCH($A29,Data_Analitik!$AE$2:$AE$351,0)),""))</f>
        <v>1.0000000166338543</v>
      </c>
      <c r="G29" s="90">
        <f>IF(OR($A29="",$A29&gt;SUM(Data_Analitik!$AD$2:$AD$351)),"",IFERROR(INDEX(Data_Analitik!$AA$2:$AA$351,MATCH($A29,Data_Analitik!$AE$2:$AE$351,0)),""))</f>
        <v>1.0000000166338543</v>
      </c>
      <c r="H29" s="89">
        <f>IF(OR($A29="",$A29&gt;SUM(Data_Analitik!$AD$2:$AD$351)),"",IFERROR(INDEX(Data_Analitik!$U$2:$U$351,MATCH($A29,Data_Analitik!$AE$2:$AE$351,0)),""))</f>
        <v>0.43000000715255737</v>
      </c>
      <c r="I29" s="60" t="str">
        <f>IF(OR($A29="",$A29&gt;SUM(Data_Analitik!$AD$2:$AD$351)),"",IFERROR(INDEX(Data_Analitik!$AB$2:$AB$351,MATCH($A29,Data_Analitik!$AE$2:$AE$351,0)),""))</f>
        <v>Rusak Berat Dominan</v>
      </c>
      <c r="J29" s="47"/>
      <c r="K29" s="47"/>
      <c r="L29" s="47"/>
      <c r="M29" s="47"/>
      <c r="N29" s="47"/>
      <c r="O29" s="47"/>
      <c r="P29" s="47"/>
      <c r="Q29" s="47"/>
      <c r="R29" s="47"/>
    </row>
    <row r="30" spans="1:18" ht="21.95" customHeight="1" x14ac:dyDescent="0.25">
      <c r="A30" s="59">
        <f t="shared" si="0"/>
        <v>17</v>
      </c>
      <c r="B30" s="87" t="str">
        <f>IF(OR($A30="",$A30&gt;SUM(Data_Analitik!$AD$2:$AD$351)),"",IFERROR(INDEX(Data_Analitik!$B$2:$B$351,MATCH($A30,Data_Analitik!$AE$2:$AE$351,0)),""))</f>
        <v>199</v>
      </c>
      <c r="C30" s="88" t="str">
        <f>IF(OR($A30="",$A30&gt;SUM(Data_Analitik!$AD$2:$AD$351)),"",IFERROR(INDEX(Data_Analitik!$C$2:$C$351,MATCH($A30,Data_Analitik!$AE$2:$AE$351,0)),""))</f>
        <v>Hamak Utara - Samaragi</v>
      </c>
      <c r="D30" s="87" t="str">
        <f>IF(OR($A30="",$A30&gt;SUM(Data_Analitik!$AD$2:$AD$351)),"",IFERROR(INDEX(Data_Analitik!$D$2:$D$351,MATCH($A30,Data_Analitik!$AE$2:$AE$351,0)),""))</f>
        <v>Telaga Langsat</v>
      </c>
      <c r="E30" s="89">
        <f>IF(OR($A30="",$A30&gt;SUM(Data_Analitik!$AD$2:$AD$351)),"",IFERROR(INDEX(Data_Analitik!$E$2:$E$351,MATCH($A30,Data_Analitik!$AE$2:$AE$351,0)),""))</f>
        <v>0.3</v>
      </c>
      <c r="F30" s="90">
        <f>IF(OR($A30="",$A30&gt;SUM(Data_Analitik!$AD$2:$AD$351)),"",IFERROR(INDEX(Data_Analitik!$Z$2:$Z$351,MATCH($A30,Data_Analitik!$AE$2:$AE$351,0)),""))</f>
        <v>1.0000000149011612</v>
      </c>
      <c r="G30" s="90">
        <f>IF(OR($A30="",$A30&gt;SUM(Data_Analitik!$AD$2:$AD$351)),"",IFERROR(INDEX(Data_Analitik!$AA$2:$AA$351,MATCH($A30,Data_Analitik!$AE$2:$AE$351,0)),""))</f>
        <v>0.73333334426085162</v>
      </c>
      <c r="H30" s="89">
        <f>IF(OR($A30="",$A30&gt;SUM(Data_Analitik!$AD$2:$AD$351)),"",IFERROR(INDEX(Data_Analitik!$U$2:$U$351,MATCH($A30,Data_Analitik!$AE$2:$AE$351,0)),""))</f>
        <v>0.10000000149011612</v>
      </c>
      <c r="I30" s="60" t="str">
        <f>IF(OR($A30="",$A30&gt;SUM(Data_Analitik!$AD$2:$AD$351)),"",IFERROR(INDEX(Data_Analitik!$AB$2:$AB$351,MATCH($A30,Data_Analitik!$AE$2:$AE$351,0)),""))</f>
        <v>Rusak Berat Dominan</v>
      </c>
      <c r="J30" s="47"/>
      <c r="K30" s="47"/>
      <c r="L30" s="47"/>
      <c r="M30" s="47"/>
      <c r="N30" s="47"/>
      <c r="O30" s="47"/>
      <c r="P30" s="47"/>
      <c r="Q30" s="47"/>
      <c r="R30" s="47"/>
    </row>
    <row r="31" spans="1:18" ht="21.95" customHeight="1" x14ac:dyDescent="0.25">
      <c r="A31" s="59">
        <f t="shared" si="0"/>
        <v>18</v>
      </c>
      <c r="B31" s="87" t="str">
        <f>IF(OR($A31="",$A31&gt;SUM(Data_Analitik!$AD$2:$AD$351)),"",IFERROR(INDEX(Data_Analitik!$B$2:$B$351,MATCH($A31,Data_Analitik!$AE$2:$AE$351,0)),""))</f>
        <v>324</v>
      </c>
      <c r="C31" s="88" t="str">
        <f>IF(OR($A31="",$A31&gt;SUM(Data_Analitik!$AD$2:$AD$351)),"",IFERROR(INDEX(Data_Analitik!$C$2:$C$351,MATCH($A31,Data_Analitik!$AE$2:$AE$351,0)),""))</f>
        <v>Jl. Paramaian</v>
      </c>
      <c r="D31" s="87" t="str">
        <f>IF(OR($A31="",$A31&gt;SUM(Data_Analitik!$AD$2:$AD$351)),"",IFERROR(INDEX(Data_Analitik!$D$2:$D$351,MATCH($A31,Data_Analitik!$AE$2:$AE$351,0)),""))</f>
        <v>Daha Utara</v>
      </c>
      <c r="E31" s="89">
        <f>IF(OR($A31="",$A31&gt;SUM(Data_Analitik!$AD$2:$AD$351)),"",IFERROR(INDEX(Data_Analitik!$E$2:$E$351,MATCH($A31,Data_Analitik!$AE$2:$AE$351,0)),""))</f>
        <v>0.3</v>
      </c>
      <c r="F31" s="90">
        <f>IF(OR($A31="",$A31&gt;SUM(Data_Analitik!$AD$2:$AD$351)),"",IFERROR(INDEX(Data_Analitik!$Z$2:$Z$351,MATCH($A31,Data_Analitik!$AE$2:$AE$351,0)),""))</f>
        <v>1.0000000149011612</v>
      </c>
      <c r="G31" s="90">
        <f>IF(OR($A31="",$A31&gt;SUM(Data_Analitik!$AD$2:$AD$351)),"",IFERROR(INDEX(Data_Analitik!$AA$2:$AA$351,MATCH($A31,Data_Analitik!$AE$2:$AE$351,0)),""))</f>
        <v>1.0000000149011612</v>
      </c>
      <c r="H31" s="89">
        <f>IF(OR($A31="",$A31&gt;SUM(Data_Analitik!$AD$2:$AD$351)),"",IFERROR(INDEX(Data_Analitik!$U$2:$U$351,MATCH($A31,Data_Analitik!$AE$2:$AE$351,0)),""))</f>
        <v>0.30000000447034836</v>
      </c>
      <c r="I31" s="60" t="str">
        <f>IF(OR($A31="",$A31&gt;SUM(Data_Analitik!$AD$2:$AD$351)),"",IFERROR(INDEX(Data_Analitik!$AB$2:$AB$351,MATCH($A31,Data_Analitik!$AE$2:$AE$351,0)),""))</f>
        <v>Rusak Berat Dominan</v>
      </c>
      <c r="J31" s="47"/>
      <c r="K31" s="47"/>
      <c r="L31" s="47"/>
      <c r="M31" s="47"/>
      <c r="N31" s="47"/>
      <c r="O31" s="47"/>
      <c r="P31" s="47"/>
      <c r="Q31" s="47"/>
      <c r="R31" s="47"/>
    </row>
    <row r="32" spans="1:18" ht="21.95" customHeight="1" x14ac:dyDescent="0.25">
      <c r="A32" s="59">
        <f t="shared" si="0"/>
        <v>19</v>
      </c>
      <c r="B32" s="87" t="str">
        <f>IF(OR($A32="",$A32&gt;SUM(Data_Analitik!$AD$2:$AD$351)),"",IFERROR(INDEX(Data_Analitik!$B$2:$B$351,MATCH($A32,Data_Analitik!$AE$2:$AE$351,0)),""))</f>
        <v>348</v>
      </c>
      <c r="C32" s="88" t="str">
        <f>IF(OR($A32="",$A32&gt;SUM(Data_Analitik!$AD$2:$AD$351)),"",IFERROR(INDEX(Data_Analitik!$C$2:$C$351,MATCH($A32,Data_Analitik!$AE$2:$AE$351,0)),""))</f>
        <v>Jl. Asam Duhat - Ds. Pantai Ulin</v>
      </c>
      <c r="D32" s="87" t="str">
        <f>IF(OR($A32="",$A32&gt;SUM(Data_Analitik!$AD$2:$AD$351)),"",IFERROR(INDEX(Data_Analitik!$D$2:$D$351,MATCH($A32,Data_Analitik!$AE$2:$AE$351,0)),""))</f>
        <v>Simpur</v>
      </c>
      <c r="E32" s="89">
        <f>IF(OR($A32="",$A32&gt;SUM(Data_Analitik!$AD$2:$AD$351)),"",IFERROR(INDEX(Data_Analitik!$E$2:$E$351,MATCH($A32,Data_Analitik!$AE$2:$AE$351,0)),""))</f>
        <v>1.1100000000000001</v>
      </c>
      <c r="F32" s="90">
        <f>IF(OR($A32="",$A32&gt;SUM(Data_Analitik!$AD$2:$AD$351)),"",IFERROR(INDEX(Data_Analitik!$Z$2:$Z$351,MATCH($A32,Data_Analitik!$AE$2:$AE$351,0)),""))</f>
        <v>1.0000000128874906</v>
      </c>
      <c r="G32" s="90">
        <f>IF(OR($A32="",$A32&gt;SUM(Data_Analitik!$AD$2:$AD$351)),"",IFERROR(INDEX(Data_Analitik!$AA$2:$AA$351,MATCH($A32,Data_Analitik!$AE$2:$AE$351,0)),""))</f>
        <v>1.0000000128874906</v>
      </c>
      <c r="H32" s="89">
        <f>IF(OR($A32="",$A32&gt;SUM(Data_Analitik!$AD$2:$AD$351)),"",IFERROR(INDEX(Data_Analitik!$U$2:$U$351,MATCH($A32,Data_Analitik!$AE$2:$AE$351,0)),""))</f>
        <v>1.1100000143051147</v>
      </c>
      <c r="I32" s="60" t="str">
        <f>IF(OR($A32="",$A32&gt;SUM(Data_Analitik!$AD$2:$AD$351)),"",IFERROR(INDEX(Data_Analitik!$AB$2:$AB$351,MATCH($A32,Data_Analitik!$AE$2:$AE$351,0)),""))</f>
        <v>Rusak Berat Dominan</v>
      </c>
      <c r="J32" s="47"/>
      <c r="K32" s="47"/>
      <c r="L32" s="47"/>
      <c r="M32" s="47"/>
      <c r="N32" s="47"/>
      <c r="O32" s="47"/>
      <c r="P32" s="47"/>
      <c r="Q32" s="47"/>
      <c r="R32" s="47"/>
    </row>
    <row r="33" spans="1:19" ht="21.95" customHeight="1" x14ac:dyDescent="0.25">
      <c r="A33" s="59">
        <f t="shared" si="0"/>
        <v>20</v>
      </c>
      <c r="B33" s="87" t="str">
        <f>IF(OR($A33="",$A33&gt;SUM(Data_Analitik!$AD$2:$AD$351)),"",IFERROR(INDEX(Data_Analitik!$B$2:$B$351,MATCH($A33,Data_Analitik!$AE$2:$AE$351,0)),""))</f>
        <v>248</v>
      </c>
      <c r="C33" s="88" t="str">
        <f>IF(OR($A33="",$A33&gt;SUM(Data_Analitik!$AD$2:$AD$351)),"",IFERROR(INDEX(Data_Analitik!$C$2:$C$351,MATCH($A33,Data_Analitik!$AE$2:$AE$351,0)),""))</f>
        <v>Kalumpang (Ds. Balanti) - Teratai</v>
      </c>
      <c r="D33" s="87" t="str">
        <f>IF(OR($A33="",$A33&gt;SUM(Data_Analitik!$AD$2:$AD$351)),"",IFERROR(INDEX(Data_Analitik!$D$2:$D$351,MATCH($A33,Data_Analitik!$AE$2:$AE$351,0)),""))</f>
        <v>Kalumpang</v>
      </c>
      <c r="E33" s="89">
        <f>IF(OR($A33="",$A33&gt;SUM(Data_Analitik!$AD$2:$AD$351)),"",IFERROR(INDEX(Data_Analitik!$E$2:$E$351,MATCH($A33,Data_Analitik!$AE$2:$AE$351,0)),""))</f>
        <v>5.69</v>
      </c>
      <c r="F33" s="90">
        <f>IF(OR($A33="",$A33&gt;SUM(Data_Analitik!$AD$2:$AD$351)),"",IFERROR(INDEX(Data_Analitik!$Z$2:$Z$351,MATCH($A33,Data_Analitik!$AE$2:$AE$351,0)),""))</f>
        <v>1.0000000100563196</v>
      </c>
      <c r="G33" s="90">
        <f>IF(OR($A33="",$A33&gt;SUM(Data_Analitik!$AD$2:$AD$351)),"",IFERROR(INDEX(Data_Analitik!$AA$2:$AA$351,MATCH($A33,Data_Analitik!$AE$2:$AE$351,0)),""))</f>
        <v>1.0000000100563196</v>
      </c>
      <c r="H33" s="89">
        <f>IF(OR($A33="",$A33&gt;SUM(Data_Analitik!$AD$2:$AD$351)),"",IFERROR(INDEX(Data_Analitik!$U$2:$U$351,MATCH($A33,Data_Analitik!$AE$2:$AE$351,0)),""))</f>
        <v>5.690000057220459</v>
      </c>
      <c r="I33" s="60" t="str">
        <f>IF(OR($A33="",$A33&gt;SUM(Data_Analitik!$AD$2:$AD$351)),"",IFERROR(INDEX(Data_Analitik!$AB$2:$AB$351,MATCH($A33,Data_Analitik!$AE$2:$AE$351,0)),""))</f>
        <v>Rusak Berat Dominan</v>
      </c>
      <c r="J33" s="47"/>
      <c r="K33" s="155" t="s">
        <v>823</v>
      </c>
      <c r="L33" s="156"/>
      <c r="M33" s="156"/>
      <c r="N33" s="156"/>
      <c r="O33" s="156"/>
      <c r="P33" s="156"/>
      <c r="Q33" s="156"/>
      <c r="R33" s="157"/>
      <c r="S33" s="102"/>
    </row>
    <row r="34" spans="1:19" ht="21.95" customHeight="1" x14ac:dyDescent="0.25">
      <c r="A34" s="59">
        <f t="shared" si="0"/>
        <v>21</v>
      </c>
      <c r="B34" s="87" t="str">
        <f>IF(OR($A34="",$A34&gt;SUM(Data_Analitik!$AD$2:$AD$351)),"",IFERROR(INDEX(Data_Analitik!$B$2:$B$351,MATCH($A34,Data_Analitik!$AE$2:$AE$351,0)),""))</f>
        <v>166</v>
      </c>
      <c r="C34" s="88" t="str">
        <f>IF(OR($A34="",$A34&gt;SUM(Data_Analitik!$AD$2:$AD$351)),"",IFERROR(INDEX(Data_Analitik!$C$2:$C$351,MATCH($A34,Data_Analitik!$AE$2:$AE$351,0)),""))</f>
        <v>Tambak Pipii - Batu Ampar</v>
      </c>
      <c r="D34" s="87" t="str">
        <f>IF(OR($A34="",$A34&gt;SUM(Data_Analitik!$AD$2:$AD$351)),"",IFERROR(INDEX(Data_Analitik!$D$2:$D$351,MATCH($A34,Data_Analitik!$AE$2:$AE$351,0)),""))</f>
        <v>Padang Batung</v>
      </c>
      <c r="E34" s="89">
        <f>IF(OR($A34="",$A34&gt;SUM(Data_Analitik!$AD$2:$AD$351)),"",IFERROR(INDEX(Data_Analitik!$E$2:$E$351,MATCH($A34,Data_Analitik!$AE$2:$AE$351,0)),""))</f>
        <v>1.98</v>
      </c>
      <c r="F34" s="90">
        <f>IF(OR($A34="",$A34&gt;SUM(Data_Analitik!$AD$2:$AD$351)),"",IFERROR(INDEX(Data_Analitik!$Z$2:$Z$351,MATCH($A34,Data_Analitik!$AE$2:$AE$351,0)),""))</f>
        <v>1.0000000096330739</v>
      </c>
      <c r="G34" s="90">
        <f>IF(OR($A34="",$A34&gt;SUM(Data_Analitik!$AD$2:$AD$351)),"",IFERROR(INDEX(Data_Analitik!$AA$2:$AA$351,MATCH($A34,Data_Analitik!$AE$2:$AE$351,0)),""))</f>
        <v>1.0000000096330739</v>
      </c>
      <c r="H34" s="89">
        <f>IF(OR($A34="",$A34&gt;SUM(Data_Analitik!$AD$2:$AD$351)),"",IFERROR(INDEX(Data_Analitik!$U$2:$U$351,MATCH($A34,Data_Analitik!$AE$2:$AE$351,0)),""))</f>
        <v>1.9800000190734863</v>
      </c>
      <c r="I34" s="60" t="str">
        <f>IF(OR($A34="",$A34&gt;SUM(Data_Analitik!$AD$2:$AD$351)),"",IFERROR(INDEX(Data_Analitik!$AB$2:$AB$351,MATCH($A34,Data_Analitik!$AE$2:$AE$351,0)),""))</f>
        <v>Rusak Berat Dominan</v>
      </c>
      <c r="J34" s="47"/>
      <c r="K34" s="158"/>
      <c r="L34" s="159"/>
      <c r="M34" s="159"/>
      <c r="N34" s="159"/>
      <c r="O34" s="159"/>
      <c r="P34" s="159"/>
      <c r="Q34" s="159"/>
      <c r="R34" s="160"/>
      <c r="S34" s="103"/>
    </row>
    <row r="35" spans="1:19" ht="21.95" customHeight="1" x14ac:dyDescent="0.25">
      <c r="A35" s="59">
        <f t="shared" si="0"/>
        <v>22</v>
      </c>
      <c r="B35" s="87" t="str">
        <f>IF(OR($A35="",$A35&gt;SUM(Data_Analitik!$AD$2:$AD$351)),"",IFERROR(INDEX(Data_Analitik!$B$2:$B$351,MATCH($A35,Data_Analitik!$AE$2:$AE$351,0)),""))</f>
        <v>129</v>
      </c>
      <c r="C35" s="88" t="str">
        <f>IF(OR($A35="",$A35&gt;SUM(Data_Analitik!$AD$2:$AD$351)),"",IFERROR(INDEX(Data_Analitik!$C$2:$C$351,MATCH($A35,Data_Analitik!$AE$2:$AE$351,0)),""))</f>
        <v>Batang Kulur Kanan - Bumi Berkat (Jl. Kisung)</v>
      </c>
      <c r="D35" s="87" t="str">
        <f>IF(OR($A35="",$A35&gt;SUM(Data_Analitik!$AD$2:$AD$351)),"",IFERROR(INDEX(Data_Analitik!$D$2:$D$351,MATCH($A35,Data_Analitik!$AE$2:$AE$351,0)),""))</f>
        <v>Sungai Raya</v>
      </c>
      <c r="E35" s="89">
        <f>IF(OR($A35="",$A35&gt;SUM(Data_Analitik!$AD$2:$AD$351)),"",IFERROR(INDEX(Data_Analitik!$E$2:$E$351,MATCH($A35,Data_Analitik!$AE$2:$AE$351,0)),""))</f>
        <v>1.61</v>
      </c>
      <c r="F35" s="90">
        <f>IF(OR($A35="",$A35&gt;SUM(Data_Analitik!$AD$2:$AD$351)),"",IFERROR(INDEX(Data_Analitik!$Z$2:$Z$351,MATCH($A35,Data_Analitik!$AE$2:$AE$351,0)),""))</f>
        <v>1.0000000088851644</v>
      </c>
      <c r="G35" s="90">
        <f>IF(OR($A35="",$A35&gt;SUM(Data_Analitik!$AD$2:$AD$351)),"",IFERROR(INDEX(Data_Analitik!$AA$2:$AA$351,MATCH($A35,Data_Analitik!$AE$2:$AE$351,0)),""))</f>
        <v>1.0000000088851644</v>
      </c>
      <c r="H35" s="89">
        <f>IF(OR($A35="",$A35&gt;SUM(Data_Analitik!$AD$2:$AD$351)),"",IFERROR(INDEX(Data_Analitik!$U$2:$U$351,MATCH($A35,Data_Analitik!$AE$2:$AE$351,0)),""))</f>
        <v>1.6100000143051147</v>
      </c>
      <c r="I35" s="60" t="str">
        <f>IF(OR($A35="",$A35&gt;SUM(Data_Analitik!$AD$2:$AD$351)),"",IFERROR(INDEX(Data_Analitik!$AB$2:$AB$351,MATCH($A35,Data_Analitik!$AE$2:$AE$351,0)),""))</f>
        <v>Rusak Berat Dominan</v>
      </c>
      <c r="J35" s="47"/>
      <c r="K35" s="158"/>
      <c r="L35" s="159"/>
      <c r="M35" s="159"/>
      <c r="N35" s="159"/>
      <c r="O35" s="159"/>
      <c r="P35" s="159"/>
      <c r="Q35" s="159"/>
      <c r="R35" s="160"/>
      <c r="S35" s="103"/>
    </row>
    <row r="36" spans="1:19" ht="21.95" customHeight="1" x14ac:dyDescent="0.25">
      <c r="A36" s="59">
        <f t="shared" si="0"/>
        <v>23</v>
      </c>
      <c r="B36" s="87" t="str">
        <f>IF(OR($A36="",$A36&gt;SUM(Data_Analitik!$AD$2:$AD$351)),"",IFERROR(INDEX(Data_Analitik!$B$2:$B$351,MATCH($A36,Data_Analitik!$AE$2:$AE$351,0)),""))</f>
        <v>300</v>
      </c>
      <c r="C36" s="88" t="str">
        <f>IF(OR($A36="",$A36&gt;SUM(Data_Analitik!$AD$2:$AD$351)),"",IFERROR(INDEX(Data_Analitik!$C$2:$C$351,MATCH($A36,Data_Analitik!$AE$2:$AE$351,0)),""))</f>
        <v>Jl. Tambangan - Ds. Baruh Jaya</v>
      </c>
      <c r="D36" s="87" t="str">
        <f>IF(OR($A36="",$A36&gt;SUM(Data_Analitik!$AD$2:$AD$351)),"",IFERROR(INDEX(Data_Analitik!$D$2:$D$351,MATCH($A36,Data_Analitik!$AE$2:$AE$351,0)),""))</f>
        <v>Daha Selatan - Daha Utara</v>
      </c>
      <c r="E36" s="89">
        <f>IF(OR($A36="",$A36&gt;SUM(Data_Analitik!$AD$2:$AD$351)),"",IFERROR(INDEX(Data_Analitik!$E$2:$E$351,MATCH($A36,Data_Analitik!$AE$2:$AE$351,0)),""))</f>
        <v>2.23</v>
      </c>
      <c r="F36" s="90">
        <f>IF(OR($A36="",$A36&gt;SUM(Data_Analitik!$AD$2:$AD$351)),"",IFERROR(INDEX(Data_Analitik!$Z$2:$Z$351,MATCH($A36,Data_Analitik!$AE$2:$AE$351,0)),""))</f>
        <v>1.0000000085531329</v>
      </c>
      <c r="G36" s="90">
        <f>IF(OR($A36="",$A36&gt;SUM(Data_Analitik!$AD$2:$AD$351)),"",IFERROR(INDEX(Data_Analitik!$AA$2:$AA$351,MATCH($A36,Data_Analitik!$AE$2:$AE$351,0)),""))</f>
        <v>0.88699552510351354</v>
      </c>
      <c r="H36" s="89">
        <f>IF(OR($A36="",$A36&gt;SUM(Data_Analitik!$AD$2:$AD$351)),"",IFERROR(INDEX(Data_Analitik!$U$2:$U$351,MATCH($A36,Data_Analitik!$AE$2:$AE$351,0)),""))</f>
        <v>1.6000000238418579</v>
      </c>
      <c r="I36" s="60" t="str">
        <f>IF(OR($A36="",$A36&gt;SUM(Data_Analitik!$AD$2:$AD$351)),"",IFERROR(INDEX(Data_Analitik!$AB$2:$AB$351,MATCH($A36,Data_Analitik!$AE$2:$AE$351,0)),""))</f>
        <v>Rusak Berat Dominan</v>
      </c>
      <c r="J36" s="47"/>
      <c r="K36" s="158"/>
      <c r="L36" s="159"/>
      <c r="M36" s="159"/>
      <c r="N36" s="159"/>
      <c r="O36" s="159"/>
      <c r="P36" s="159"/>
      <c r="Q36" s="159"/>
      <c r="R36" s="160"/>
      <c r="S36" s="103"/>
    </row>
    <row r="37" spans="1:19" ht="21.95" customHeight="1" x14ac:dyDescent="0.25">
      <c r="A37" s="59">
        <f t="shared" si="0"/>
        <v>24</v>
      </c>
      <c r="B37" s="87" t="str">
        <f>IF(OR($A37="",$A37&gt;SUM(Data_Analitik!$AD$2:$AD$351)),"",IFERROR(INDEX(Data_Analitik!$B$2:$B$351,MATCH($A37,Data_Analitik!$AE$2:$AE$351,0)),""))</f>
        <v>226</v>
      </c>
      <c r="C37" s="88" t="str">
        <f>IF(OR($A37="",$A37&gt;SUM(Data_Analitik!$AD$2:$AD$351)),"",IFERROR(INDEX(Data_Analitik!$C$2:$C$351,MATCH($A37,Data_Analitik!$AE$2:$AE$351,0)),""))</f>
        <v>Jl. Guru H. Izim - Ds. Pantai Ulin</v>
      </c>
      <c r="D37" s="87" t="str">
        <f>IF(OR($A37="",$A37&gt;SUM(Data_Analitik!$AD$2:$AD$351)),"",IFERROR(INDEX(Data_Analitik!$D$2:$D$351,MATCH($A37,Data_Analitik!$AE$2:$AE$351,0)),""))</f>
        <v>Simpur</v>
      </c>
      <c r="E37" s="89">
        <f>IF(OR($A37="",$A37&gt;SUM(Data_Analitik!$AD$2:$AD$351)),"",IFERROR(INDEX(Data_Analitik!$E$2:$E$351,MATCH($A37,Data_Analitik!$AE$2:$AE$351,0)),""))</f>
        <v>0.62</v>
      </c>
      <c r="F37" s="90">
        <f>IF(OR($A37="",$A37&gt;SUM(Data_Analitik!$AD$2:$AD$351)),"",IFERROR(INDEX(Data_Analitik!$Z$2:$Z$351,MATCH($A37,Data_Analitik!$AE$2:$AE$351,0)),""))</f>
        <v>1.0000000076909219</v>
      </c>
      <c r="G37" s="90">
        <f>IF(OR($A37="",$A37&gt;SUM(Data_Analitik!$AD$2:$AD$351)),"",IFERROR(INDEX(Data_Analitik!$AA$2:$AA$351,MATCH($A37,Data_Analitik!$AE$2:$AE$351,0)),""))</f>
        <v>1.0000000076909219</v>
      </c>
      <c r="H37" s="89">
        <f>IF(OR($A37="",$A37&gt;SUM(Data_Analitik!$AD$2:$AD$351)),"",IFERROR(INDEX(Data_Analitik!$U$2:$U$351,MATCH($A37,Data_Analitik!$AE$2:$AE$351,0)),""))</f>
        <v>0.62000000476837158</v>
      </c>
      <c r="I37" s="60" t="str">
        <f>IF(OR($A37="",$A37&gt;SUM(Data_Analitik!$AD$2:$AD$351)),"",IFERROR(INDEX(Data_Analitik!$AB$2:$AB$351,MATCH($A37,Data_Analitik!$AE$2:$AE$351,0)),""))</f>
        <v>Rusak Berat Dominan</v>
      </c>
      <c r="J37" s="47"/>
      <c r="K37" s="158"/>
      <c r="L37" s="159"/>
      <c r="M37" s="159"/>
      <c r="N37" s="159"/>
      <c r="O37" s="159"/>
      <c r="P37" s="159"/>
      <c r="Q37" s="159"/>
      <c r="R37" s="160"/>
      <c r="S37" s="103"/>
    </row>
    <row r="38" spans="1:19" ht="21.95" customHeight="1" x14ac:dyDescent="0.25">
      <c r="A38" s="59">
        <f t="shared" si="0"/>
        <v>25</v>
      </c>
      <c r="B38" s="87" t="str">
        <f>IF(OR($A38="",$A38&gt;SUM(Data_Analitik!$AD$2:$AD$351)),"",IFERROR(INDEX(Data_Analitik!$B$2:$B$351,MATCH($A38,Data_Analitik!$AE$2:$AE$351,0)),""))</f>
        <v>308</v>
      </c>
      <c r="C38" s="88" t="str">
        <f>IF(OR($A38="",$A38&gt;SUM(Data_Analitik!$AD$2:$AD$351)),"",IFERROR(INDEX(Data_Analitik!$C$2:$C$351,MATCH($A38,Data_Analitik!$AE$2:$AE$351,0)),""))</f>
        <v>Jl. Sungai Bugundi</v>
      </c>
      <c r="D38" s="87" t="str">
        <f>IF(OR($A38="",$A38&gt;SUM(Data_Analitik!$AD$2:$AD$351)),"",IFERROR(INDEX(Data_Analitik!$D$2:$D$351,MATCH($A38,Data_Analitik!$AE$2:$AE$351,0)),""))</f>
        <v>Daha Selatan</v>
      </c>
      <c r="E38" s="89">
        <f>IF(OR($A38="",$A38&gt;SUM(Data_Analitik!$AD$2:$AD$351)),"",IFERROR(INDEX(Data_Analitik!$E$2:$E$351,MATCH($A38,Data_Analitik!$AE$2:$AE$351,0)),""))</f>
        <v>0.31</v>
      </c>
      <c r="F38" s="90">
        <f>IF(OR($A38="",$A38&gt;SUM(Data_Analitik!$AD$2:$AD$351)),"",IFERROR(INDEX(Data_Analitik!$Z$2:$Z$351,MATCH($A38,Data_Analitik!$AE$2:$AE$351,0)),""))</f>
        <v>1.0000000076909219</v>
      </c>
      <c r="G38" s="90">
        <f>IF(OR($A38="",$A38&gt;SUM(Data_Analitik!$AD$2:$AD$351)),"",IFERROR(INDEX(Data_Analitik!$AA$2:$AA$351,MATCH($A38,Data_Analitik!$AE$2:$AE$351,0)),""))</f>
        <v>0.60000000461455316</v>
      </c>
      <c r="H38" s="89">
        <f>IF(OR($A38="",$A38&gt;SUM(Data_Analitik!$AD$2:$AD$351)),"",IFERROR(INDEX(Data_Analitik!$U$2:$U$351,MATCH($A38,Data_Analitik!$AE$2:$AE$351,0)),""))</f>
        <v>0</v>
      </c>
      <c r="I38" s="60" t="str">
        <f>IF(OR($A38="",$A38&gt;SUM(Data_Analitik!$AD$2:$AD$351)),"",IFERROR(INDEX(Data_Analitik!$AB$2:$AB$351,MATCH($A38,Data_Analitik!$AE$2:$AE$351,0)),""))</f>
        <v>Tidak Mantap Tinggi</v>
      </c>
      <c r="J38" s="47"/>
      <c r="K38" s="158"/>
      <c r="L38" s="159"/>
      <c r="M38" s="159"/>
      <c r="N38" s="159"/>
      <c r="O38" s="159"/>
      <c r="P38" s="159"/>
      <c r="Q38" s="159"/>
      <c r="R38" s="160"/>
      <c r="S38" s="103"/>
    </row>
    <row r="39" spans="1:19" ht="21.95" customHeight="1" x14ac:dyDescent="0.25">
      <c r="A39" s="59">
        <f t="shared" si="0"/>
        <v>26</v>
      </c>
      <c r="B39" s="87" t="str">
        <f>IF(OR($A39="",$A39&gt;SUM(Data_Analitik!$AD$2:$AD$351)),"",IFERROR(INDEX(Data_Analitik!$B$2:$B$351,MATCH($A39,Data_Analitik!$AE$2:$AE$351,0)),""))</f>
        <v>191</v>
      </c>
      <c r="C39" s="88" t="str">
        <f>IF(OR($A39="",$A39&gt;SUM(Data_Analitik!$AD$2:$AD$351)),"",IFERROR(INDEX(Data_Analitik!$C$2:$C$351,MATCH($A39,Data_Analitik!$AE$2:$AE$351,0)),""))</f>
        <v>Bamban (Tibung) - Martajiwa</v>
      </c>
      <c r="D39" s="87" t="str">
        <f>IF(OR($A39="",$A39&gt;SUM(Data_Analitik!$AD$2:$AD$351)),"",IFERROR(INDEX(Data_Analitik!$D$2:$D$351,MATCH($A39,Data_Analitik!$AE$2:$AE$351,0)),""))</f>
        <v>Angkinang</v>
      </c>
      <c r="E39" s="89">
        <f>IF(OR($A39="",$A39&gt;SUM(Data_Analitik!$AD$2:$AD$351)),"",IFERROR(INDEX(Data_Analitik!$E$2:$E$351,MATCH($A39,Data_Analitik!$AE$2:$AE$351,0)),""))</f>
        <v>0.66</v>
      </c>
      <c r="F39" s="90">
        <f>IF(OR($A39="",$A39&gt;SUM(Data_Analitik!$AD$2:$AD$351)),"",IFERROR(INDEX(Data_Analitik!$Z$2:$Z$351,MATCH($A39,Data_Analitik!$AE$2:$AE$351,0)),""))</f>
        <v>1.0000000058701544</v>
      </c>
      <c r="G39" s="90">
        <f>IF(OR($A39="",$A39&gt;SUM(Data_Analitik!$AD$2:$AD$351)),"",IFERROR(INDEX(Data_Analitik!$AA$2:$AA$351,MATCH($A39,Data_Analitik!$AE$2:$AE$351,0)),""))</f>
        <v>0.93939394436099299</v>
      </c>
      <c r="H39" s="89">
        <f>IF(OR($A39="",$A39&gt;SUM(Data_Analitik!$AD$2:$AD$351)),"",IFERROR(INDEX(Data_Analitik!$U$2:$U$351,MATCH($A39,Data_Analitik!$AE$2:$AE$351,0)),""))</f>
        <v>0.56000000238418579</v>
      </c>
      <c r="I39" s="60" t="str">
        <f>IF(OR($A39="",$A39&gt;SUM(Data_Analitik!$AD$2:$AD$351)),"",IFERROR(INDEX(Data_Analitik!$AB$2:$AB$351,MATCH($A39,Data_Analitik!$AE$2:$AE$351,0)),""))</f>
        <v>Rusak Berat Dominan</v>
      </c>
      <c r="J39" s="47"/>
      <c r="K39" s="158"/>
      <c r="L39" s="159"/>
      <c r="M39" s="159"/>
      <c r="N39" s="159"/>
      <c r="O39" s="159"/>
      <c r="P39" s="159"/>
      <c r="Q39" s="159"/>
      <c r="R39" s="160"/>
      <c r="S39" s="103"/>
    </row>
    <row r="40" spans="1:19" ht="21.95" customHeight="1" x14ac:dyDescent="0.25">
      <c r="A40" s="59">
        <f t="shared" si="0"/>
        <v>27</v>
      </c>
      <c r="B40" s="87" t="str">
        <f>IF(OR($A40="",$A40&gt;SUM(Data_Analitik!$AD$2:$AD$351)),"",IFERROR(INDEX(Data_Analitik!$B$2:$B$351,MATCH($A40,Data_Analitik!$AE$2:$AE$351,0)),""))</f>
        <v>187</v>
      </c>
      <c r="C40" s="88" t="str">
        <f>IF(OR($A40="",$A40&gt;SUM(Data_Analitik!$AD$2:$AD$351)),"",IFERROR(INDEX(Data_Analitik!$C$2:$C$351,MATCH($A40,Data_Analitik!$AE$2:$AE$351,0)),""))</f>
        <v>Jl. AMD - Ds. Lok Binuang</v>
      </c>
      <c r="D40" s="87" t="str">
        <f>IF(OR($A40="",$A40&gt;SUM(Data_Analitik!$AD$2:$AD$351)),"",IFERROR(INDEX(Data_Analitik!$D$2:$D$351,MATCH($A40,Data_Analitik!$AE$2:$AE$351,0)),""))</f>
        <v>Angkinang</v>
      </c>
      <c r="E40" s="89">
        <f>IF(OR($A40="",$A40&gt;SUM(Data_Analitik!$AD$2:$AD$351)),"",IFERROR(INDEX(Data_Analitik!$E$2:$E$351,MATCH($A40,Data_Analitik!$AE$2:$AE$351,0)),""))</f>
        <v>1.57</v>
      </c>
      <c r="F40" s="90">
        <f>IF(OR($A40="",$A40&gt;SUM(Data_Analitik!$AD$2:$AD$351)),"",IFERROR(INDEX(Data_Analitik!$Z$2:$Z$351,MATCH($A40,Data_Analitik!$AE$2:$AE$351,0)),""))</f>
        <v>1.0000000049354163</v>
      </c>
      <c r="G40" s="90">
        <f>IF(OR($A40="",$A40&gt;SUM(Data_Analitik!$AD$2:$AD$351)),"",IFERROR(INDEX(Data_Analitik!$AA$2:$AA$351,MATCH($A40,Data_Analitik!$AE$2:$AE$351,0)),""))</f>
        <v>1.0000000049354163</v>
      </c>
      <c r="H40" s="89">
        <f>IF(OR($A40="",$A40&gt;SUM(Data_Analitik!$AD$2:$AD$351)),"",IFERROR(INDEX(Data_Analitik!$U$2:$U$351,MATCH($A40,Data_Analitik!$AE$2:$AE$351,0)),""))</f>
        <v>1.5700000077486038</v>
      </c>
      <c r="I40" s="60" t="str">
        <f>IF(OR($A40="",$A40&gt;SUM(Data_Analitik!$AD$2:$AD$351)),"",IFERROR(INDEX(Data_Analitik!$AB$2:$AB$351,MATCH($A40,Data_Analitik!$AE$2:$AE$351,0)),""))</f>
        <v>Rusak Berat Dominan</v>
      </c>
      <c r="J40" s="47"/>
      <c r="K40" s="158"/>
      <c r="L40" s="159"/>
      <c r="M40" s="159"/>
      <c r="N40" s="159"/>
      <c r="O40" s="159"/>
      <c r="P40" s="159"/>
      <c r="Q40" s="159"/>
      <c r="R40" s="160"/>
      <c r="S40" s="103"/>
    </row>
    <row r="41" spans="1:19" ht="21.95" customHeight="1" x14ac:dyDescent="0.25">
      <c r="A41" s="59">
        <f t="shared" si="0"/>
        <v>28</v>
      </c>
      <c r="B41" s="87" t="str">
        <f>IF(OR($A41="",$A41&gt;SUM(Data_Analitik!$AD$2:$AD$351)),"",IFERROR(INDEX(Data_Analitik!$B$2:$B$351,MATCH($A41,Data_Analitik!$AE$2:$AE$351,0)),""))</f>
        <v>127</v>
      </c>
      <c r="C41" s="88" t="str">
        <f>IF(OR($A41="",$A41&gt;SUM(Data_Analitik!$AD$2:$AD$351)),"",IFERROR(INDEX(Data_Analitik!$C$2:$C$351,MATCH($A41,Data_Analitik!$AE$2:$AE$351,0)),""))</f>
        <v>Jarau - Parandakan</v>
      </c>
      <c r="D41" s="87" t="str">
        <f>IF(OR($A41="",$A41&gt;SUM(Data_Analitik!$AD$2:$AD$351)),"",IFERROR(INDEX(Data_Analitik!$D$2:$D$351,MATCH($A41,Data_Analitik!$AE$2:$AE$351,0)),""))</f>
        <v>Sungai Raya</v>
      </c>
      <c r="E41" s="89">
        <f>IF(OR($A41="",$A41&gt;SUM(Data_Analitik!$AD$2:$AD$351)),"",IFERROR(INDEX(Data_Analitik!$E$2:$E$351,MATCH($A41,Data_Analitik!$AE$2:$AE$351,0)),""))</f>
        <v>0.7</v>
      </c>
      <c r="F41" s="90">
        <f>IF(OR($A41="",$A41&gt;SUM(Data_Analitik!$AD$2:$AD$351)),"",IFERROR(INDEX(Data_Analitik!$Z$2:$Z$351,MATCH($A41,Data_Analitik!$AE$2:$AE$351,0)),""))</f>
        <v>1.0000000042574746</v>
      </c>
      <c r="G41" s="90">
        <f>IF(OR($A41="",$A41&gt;SUM(Data_Analitik!$AD$2:$AD$351)),"",IFERROR(INDEX(Data_Analitik!$AA$2:$AA$351,MATCH($A41,Data_Analitik!$AE$2:$AE$351,0)),""))</f>
        <v>0.88571428826877052</v>
      </c>
      <c r="H41" s="89">
        <f>IF(OR($A41="",$A41&gt;SUM(Data_Analitik!$AD$2:$AD$351)),"",IFERROR(INDEX(Data_Analitik!$U$2:$U$351,MATCH($A41,Data_Analitik!$AE$2:$AE$351,0)),""))</f>
        <v>0.5</v>
      </c>
      <c r="I41" s="60" t="str">
        <f>IF(OR($A41="",$A41&gt;SUM(Data_Analitik!$AD$2:$AD$351)),"",IFERROR(INDEX(Data_Analitik!$AB$2:$AB$351,MATCH($A41,Data_Analitik!$AE$2:$AE$351,0)),""))</f>
        <v>Rusak Berat Dominan</v>
      </c>
      <c r="J41" s="47"/>
      <c r="K41" s="158"/>
      <c r="L41" s="159"/>
      <c r="M41" s="159"/>
      <c r="N41" s="159"/>
      <c r="O41" s="159"/>
      <c r="P41" s="159"/>
      <c r="Q41" s="159"/>
      <c r="R41" s="160"/>
      <c r="S41" s="103"/>
    </row>
    <row r="42" spans="1:19" ht="21.95" customHeight="1" x14ac:dyDescent="0.25">
      <c r="A42" s="59">
        <f t="shared" si="0"/>
        <v>29</v>
      </c>
      <c r="B42" s="87" t="str">
        <f>IF(OR($A42="",$A42&gt;SUM(Data_Analitik!$AD$2:$AD$351)),"",IFERROR(INDEX(Data_Analitik!$B$2:$B$351,MATCH($A42,Data_Analitik!$AE$2:$AE$351,0)),""))</f>
        <v>313</v>
      </c>
      <c r="C42" s="88" t="str">
        <f>IF(OR($A42="",$A42&gt;SUM(Data_Analitik!$AD$2:$AD$351)),"",IFERROR(INDEX(Data_Analitik!$C$2:$C$351,MATCH($A42,Data_Analitik!$AE$2:$AE$351,0)),""))</f>
        <v>Jl. Teluk Haur II</v>
      </c>
      <c r="D42" s="87" t="str">
        <f>IF(OR($A42="",$A42&gt;SUM(Data_Analitik!$AD$2:$AD$351)),"",IFERROR(INDEX(Data_Analitik!$D$2:$D$351,MATCH($A42,Data_Analitik!$AE$2:$AE$351,0)),""))</f>
        <v>Daha Utara</v>
      </c>
      <c r="E42" s="89">
        <f>IF(OR($A42="",$A42&gt;SUM(Data_Analitik!$AD$2:$AD$351)),"",IFERROR(INDEX(Data_Analitik!$E$2:$E$351,MATCH($A42,Data_Analitik!$AE$2:$AE$351,0)),""))</f>
        <v>0.21</v>
      </c>
      <c r="F42" s="90">
        <f>IF(OR($A42="",$A42&gt;SUM(Data_Analitik!$AD$2:$AD$351)),"",IFERROR(INDEX(Data_Analitik!$Z$2:$Z$351,MATCH($A42,Data_Analitik!$AE$2:$AE$351,0)),""))</f>
        <v>1.0000000042574746</v>
      </c>
      <c r="G42" s="90">
        <f>IF(OR($A42="",$A42&gt;SUM(Data_Analitik!$AD$2:$AD$351)),"",IFERROR(INDEX(Data_Analitik!$AA$2:$AA$351,MATCH($A42,Data_Analitik!$AE$2:$AE$351,0)),""))</f>
        <v>1.0000000042574746</v>
      </c>
      <c r="H42" s="89">
        <f>IF(OR($A42="",$A42&gt;SUM(Data_Analitik!$AD$2:$AD$351)),"",IFERROR(INDEX(Data_Analitik!$U$2:$U$351,MATCH($A42,Data_Analitik!$AE$2:$AE$351,0)),""))</f>
        <v>0.21000000089406967</v>
      </c>
      <c r="I42" s="60" t="str">
        <f>IF(OR($A42="",$A42&gt;SUM(Data_Analitik!$AD$2:$AD$351)),"",IFERROR(INDEX(Data_Analitik!$AB$2:$AB$351,MATCH($A42,Data_Analitik!$AE$2:$AE$351,0)),""))</f>
        <v>Rusak Berat Dominan</v>
      </c>
      <c r="J42" s="47"/>
      <c r="K42" s="158"/>
      <c r="L42" s="159"/>
      <c r="M42" s="159"/>
      <c r="N42" s="159"/>
      <c r="O42" s="159"/>
      <c r="P42" s="159"/>
      <c r="Q42" s="159"/>
      <c r="R42" s="160"/>
      <c r="S42" s="103"/>
    </row>
    <row r="43" spans="1:19" ht="21.95" customHeight="1" x14ac:dyDescent="0.25">
      <c r="A43" s="61">
        <f t="shared" si="0"/>
        <v>30</v>
      </c>
      <c r="B43" s="62" t="str">
        <f>IF(OR($A43="",$A43&gt;SUM(Data_Analitik!$AD$2:$AD$351)),"",IFERROR(INDEX(Data_Analitik!$B$2:$B$351,MATCH($A43,Data_Analitik!$AE$2:$AE$351,0)),""))</f>
        <v>278</v>
      </c>
      <c r="C43" s="63" t="str">
        <f>IF(OR($A43="",$A43&gt;SUM(Data_Analitik!$AD$2:$AD$351)),"",IFERROR(INDEX(Data_Analitik!$C$2:$C$351,MATCH($A43,Data_Analitik!$AE$2:$AE$351,0)),""))</f>
        <v>Jl. Bubuih (Ds. Halunuk) - Kandihin</v>
      </c>
      <c r="D43" s="62" t="str">
        <f>IF(OR($A43="",$A43&gt;SUM(Data_Analitik!$AD$2:$AD$351)),"",IFERROR(INDEX(Data_Analitik!$D$2:$D$351,MATCH($A43,Data_Analitik!$AE$2:$AE$351,0)),""))</f>
        <v>Loksado</v>
      </c>
      <c r="E43" s="64">
        <f>IF(OR($A43="",$A43&gt;SUM(Data_Analitik!$AD$2:$AD$351)),"",IFERROR(INDEX(Data_Analitik!$E$2:$E$351,MATCH($A43,Data_Analitik!$AE$2:$AE$351,0)),""))</f>
        <v>2.93</v>
      </c>
      <c r="F43" s="65">
        <f>IF(OR($A43="",$A43&gt;SUM(Data_Analitik!$AD$2:$AD$351)),"",IFERROR(INDEX(Data_Analitik!$Z$2:$Z$351,MATCH($A43,Data_Analitik!$AE$2:$AE$351,0)),""))</f>
        <v>1.0000000024411457</v>
      </c>
      <c r="G43" s="65">
        <f>IF(OR($A43="",$A43&gt;SUM(Data_Analitik!$AD$2:$AD$351)),"",IFERROR(INDEX(Data_Analitik!$AA$2:$AA$351,MATCH($A43,Data_Analitik!$AE$2:$AE$351,0)),""))</f>
        <v>0.69556313976899742</v>
      </c>
      <c r="H43" s="64">
        <f>IF(OR($A43="",$A43&gt;SUM(Data_Analitik!$AD$2:$AD$351)),"",IFERROR(INDEX(Data_Analitik!$U$2:$U$351,MATCH($A43,Data_Analitik!$AE$2:$AE$351,0)),""))</f>
        <v>0.69999998807907104</v>
      </c>
      <c r="I43" s="66" t="str">
        <f>IF(OR($A43="",$A43&gt;SUM(Data_Analitik!$AD$2:$AD$351)),"",IFERROR(INDEX(Data_Analitik!$AB$2:$AB$351,MATCH($A43,Data_Analitik!$AE$2:$AE$351,0)),""))</f>
        <v>Rusak Berat Dominan</v>
      </c>
      <c r="J43" s="47"/>
      <c r="K43" s="161"/>
      <c r="L43" s="162"/>
      <c r="M43" s="162"/>
      <c r="N43" s="162"/>
      <c r="O43" s="162"/>
      <c r="P43" s="162"/>
      <c r="Q43" s="162"/>
      <c r="R43" s="163"/>
      <c r="S43" s="104"/>
    </row>
    <row r="44" spans="1:19" ht="21.95" customHeight="1" x14ac:dyDescent="0.25">
      <c r="A44" s="59">
        <f t="shared" si="0"/>
        <v>31</v>
      </c>
      <c r="B44" s="87" t="str">
        <f>IF(OR($A44="",$A44&gt;SUM(Data_Analitik!$AD$2:$AD$351)),"",IFERROR(INDEX(Data_Analitik!$B$2:$B$351,MATCH($A44,Data_Analitik!$AE$2:$AE$351,0)),""))</f>
        <v>015</v>
      </c>
      <c r="C44" s="88" t="str">
        <f>IF(OR($A44="",$A44&gt;SUM(Data_Analitik!$AD$2:$AD$351)),"",IFERROR(INDEX(Data_Analitik!$C$2:$C$351,MATCH($A44,Data_Analitik!$AE$2:$AE$351,0)),""))</f>
        <v>Jl. Dahlia</v>
      </c>
      <c r="D44" s="87" t="str">
        <f>IF(OR($A44="",$A44&gt;SUM(Data_Analitik!$AD$2:$AD$351)),"",IFERROR(INDEX(Data_Analitik!$D$2:$D$351,MATCH($A44,Data_Analitik!$AE$2:$AE$351,0)),""))</f>
        <v>Kandangan</v>
      </c>
      <c r="E44" s="89">
        <f>IF(OR($A44="",$A44&gt;SUM(Data_Analitik!$AD$2:$AD$351)),"",IFERROR(INDEX(Data_Analitik!$E$2:$E$351,MATCH($A44,Data_Analitik!$AE$2:$AE$351,0)),""))</f>
        <v>0.18</v>
      </c>
      <c r="F44" s="90">
        <f>IF(OR($A44="",$A44&gt;SUM(Data_Analitik!$AD$2:$AD$351)),"",IFERROR(INDEX(Data_Analitik!$Z$2:$Z$351,MATCH($A44,Data_Analitik!$AE$2:$AE$351,0)),""))</f>
        <v>0.99999999834431541</v>
      </c>
      <c r="G44" s="90">
        <f>IF(OR($A44="",$A44&gt;SUM(Data_Analitik!$AD$2:$AD$351)),"",IFERROR(INDEX(Data_Analitik!$AA$2:$AA$351,MATCH($A44,Data_Analitik!$AE$2:$AE$351,0)),""))</f>
        <v>0.77777777281072402</v>
      </c>
      <c r="H44" s="89">
        <f>IF(OR($A44="",$A44&gt;SUM(Data_Analitik!$AD$2:$AD$351)),"",IFERROR(INDEX(Data_Analitik!$U$2:$U$351,MATCH($A44,Data_Analitik!$AE$2:$AE$351,0)),""))</f>
        <v>7.9999998211860657E-2</v>
      </c>
      <c r="I44" s="60" t="str">
        <f>IF(OR($A44="",$A44&gt;SUM(Data_Analitik!$AD$2:$AD$351)),"",IFERROR(INDEX(Data_Analitik!$AB$2:$AB$351,MATCH($A44,Data_Analitik!$AE$2:$AE$351,0)),""))</f>
        <v>Rusak Berat Dominan</v>
      </c>
      <c r="J44" s="47"/>
      <c r="K44" s="47"/>
      <c r="L44" s="47"/>
      <c r="M44" s="47"/>
      <c r="N44" s="47"/>
      <c r="O44" s="47"/>
      <c r="P44" s="47"/>
      <c r="Q44" s="47"/>
      <c r="R44" s="47"/>
    </row>
    <row r="45" spans="1:19" ht="21.95" customHeight="1" x14ac:dyDescent="0.25">
      <c r="A45" s="59">
        <f t="shared" si="0"/>
        <v>32</v>
      </c>
      <c r="B45" s="87" t="str">
        <f>IF(OR($A45="",$A45&gt;SUM(Data_Analitik!$AD$2:$AD$351)),"",IFERROR(INDEX(Data_Analitik!$B$2:$B$351,MATCH($A45,Data_Analitik!$AE$2:$AE$351,0)),""))</f>
        <v>130</v>
      </c>
      <c r="C45" s="88" t="str">
        <f>IF(OR($A45="",$A45&gt;SUM(Data_Analitik!$AD$2:$AD$351)),"",IFERROR(INDEX(Data_Analitik!$C$2:$C$351,MATCH($A45,Data_Analitik!$AE$2:$AE$351,0)),""))</f>
        <v>Batang Kulur Kanan - Batang Kulur Kiri</v>
      </c>
      <c r="D45" s="87" t="str">
        <f>IF(OR($A45="",$A45&gt;SUM(Data_Analitik!$AD$2:$AD$351)),"",IFERROR(INDEX(Data_Analitik!$D$2:$D$351,MATCH($A45,Data_Analitik!$AE$2:$AE$351,0)),""))</f>
        <v>Sungai Raya</v>
      </c>
      <c r="E45" s="89">
        <f>IF(OR($A45="",$A45&gt;SUM(Data_Analitik!$AD$2:$AD$351)),"",IFERROR(INDEX(Data_Analitik!$E$2:$E$351,MATCH($A45,Data_Analitik!$AE$2:$AE$351,0)),""))</f>
        <v>0.82</v>
      </c>
      <c r="F45" s="90">
        <f>IF(OR($A45="",$A45&gt;SUM(Data_Analitik!$AD$2:$AD$351)),"",IFERROR(INDEX(Data_Analitik!$Z$2:$Z$351,MATCH($A45,Data_Analitik!$AE$2:$AE$351,0)),""))</f>
        <v>0.99999999127736916</v>
      </c>
      <c r="G45" s="90">
        <f>IF(OR($A45="",$A45&gt;SUM(Data_Analitik!$AD$2:$AD$351)),"",IFERROR(INDEX(Data_Analitik!$AA$2:$AA$351,MATCH($A45,Data_Analitik!$AE$2:$AE$351,0)),""))</f>
        <v>0.99999999127736916</v>
      </c>
      <c r="H45" s="89">
        <f>IF(OR($A45="",$A45&gt;SUM(Data_Analitik!$AD$2:$AD$351)),"",IFERROR(INDEX(Data_Analitik!$U$2:$U$351,MATCH($A45,Data_Analitik!$AE$2:$AE$351,0)),""))</f>
        <v>0.81999999284744263</v>
      </c>
      <c r="I45" s="60" t="str">
        <f>IF(OR($A45="",$A45&gt;SUM(Data_Analitik!$AD$2:$AD$351)),"",IFERROR(INDEX(Data_Analitik!$AB$2:$AB$351,MATCH($A45,Data_Analitik!$AE$2:$AE$351,0)),""))</f>
        <v>Rusak Berat Dominan</v>
      </c>
      <c r="J45" s="47"/>
      <c r="K45" s="47"/>
      <c r="L45" s="47"/>
      <c r="M45" s="47"/>
      <c r="N45" s="47"/>
      <c r="O45" s="47"/>
      <c r="P45" s="47"/>
      <c r="Q45" s="47"/>
      <c r="R45" s="47"/>
    </row>
    <row r="46" spans="1:19" ht="21.95" customHeight="1" x14ac:dyDescent="0.25">
      <c r="A46" s="149"/>
      <c r="B46" s="150"/>
      <c r="C46" s="151"/>
      <c r="D46" s="150"/>
      <c r="E46" s="152"/>
      <c r="F46" s="153"/>
      <c r="G46" s="153"/>
      <c r="H46" s="152"/>
      <c r="I46" s="154"/>
      <c r="J46" s="47"/>
      <c r="K46" s="167" t="s">
        <v>824</v>
      </c>
      <c r="L46" s="167"/>
      <c r="M46" s="167"/>
      <c r="N46" s="167"/>
      <c r="O46" s="167"/>
      <c r="P46" s="167"/>
      <c r="Q46" s="167"/>
      <c r="R46" s="167"/>
      <c r="S46" s="168"/>
    </row>
    <row r="47" spans="1:19" ht="21.95" customHeight="1" x14ac:dyDescent="0.25">
      <c r="A47" s="91"/>
      <c r="B47" s="92"/>
      <c r="C47" s="92"/>
      <c r="D47" s="92"/>
      <c r="E47" s="93"/>
      <c r="F47" s="94"/>
      <c r="G47" s="94"/>
      <c r="H47" s="93"/>
      <c r="I47" s="95"/>
      <c r="J47" s="47"/>
      <c r="K47" s="105" t="s">
        <v>406</v>
      </c>
      <c r="L47" s="105" t="s">
        <v>426</v>
      </c>
      <c r="M47" s="105" t="s">
        <v>428</v>
      </c>
      <c r="N47" s="105" t="s">
        <v>825</v>
      </c>
      <c r="O47" s="105" t="s">
        <v>407</v>
      </c>
      <c r="P47" s="105" t="s">
        <v>425</v>
      </c>
      <c r="Q47" s="105" t="s">
        <v>427</v>
      </c>
      <c r="R47" s="105" t="s">
        <v>423</v>
      </c>
      <c r="S47" s="105" t="s">
        <v>826</v>
      </c>
    </row>
    <row r="48" spans="1:19" ht="21.95" customHeight="1" x14ac:dyDescent="0.25">
      <c r="A48" s="53"/>
      <c r="B48" s="57"/>
      <c r="C48" s="84"/>
      <c r="D48" s="54"/>
      <c r="E48" s="56"/>
      <c r="F48" s="57"/>
      <c r="G48" s="57"/>
      <c r="H48" s="56"/>
      <c r="I48" s="67"/>
      <c r="J48" s="47"/>
      <c r="K48" s="53" t="s">
        <v>209</v>
      </c>
      <c r="L48" s="57">
        <v>0.55132719424764098</v>
      </c>
      <c r="M48" s="57">
        <v>0.44867280913054747</v>
      </c>
      <c r="N48" s="54">
        <v>28</v>
      </c>
      <c r="O48" s="56">
        <v>73.84</v>
      </c>
      <c r="P48" s="56">
        <v>40.710000023245811</v>
      </c>
      <c r="Q48" s="56">
        <v>33.130000226199627</v>
      </c>
      <c r="R48" s="56">
        <v>18.430000223219395</v>
      </c>
      <c r="S48" s="40">
        <v>0.46057282059398752</v>
      </c>
    </row>
    <row r="49" spans="1:19" ht="21.95" customHeight="1" x14ac:dyDescent="0.25">
      <c r="A49" s="59"/>
      <c r="B49" s="90"/>
      <c r="C49" s="96"/>
      <c r="D49" s="87"/>
      <c r="E49" s="89"/>
      <c r="F49" s="90"/>
      <c r="G49" s="90"/>
      <c r="H49" s="89"/>
      <c r="I49" s="68"/>
      <c r="J49" s="47"/>
      <c r="K49" s="59" t="s">
        <v>393</v>
      </c>
      <c r="L49" s="90">
        <v>0.24073193550903083</v>
      </c>
      <c r="M49" s="90">
        <v>0.75926804939858594</v>
      </c>
      <c r="N49" s="87">
        <v>7</v>
      </c>
      <c r="O49" s="89">
        <v>42.08</v>
      </c>
      <c r="P49" s="89">
        <v>10.129999846220016</v>
      </c>
      <c r="Q49" s="89">
        <v>31.949999518692493</v>
      </c>
      <c r="R49" s="89">
        <v>30.549999505281448</v>
      </c>
      <c r="S49" s="41">
        <v>0.82166464232404413</v>
      </c>
    </row>
    <row r="50" spans="1:19" ht="21.95" customHeight="1" x14ac:dyDescent="0.25">
      <c r="A50" s="59"/>
      <c r="B50" s="90"/>
      <c r="C50" s="96"/>
      <c r="D50" s="87"/>
      <c r="E50" s="89"/>
      <c r="F50" s="90"/>
      <c r="G50" s="90"/>
      <c r="H50" s="89"/>
      <c r="I50" s="68"/>
      <c r="J50" s="47"/>
      <c r="K50" s="59" t="s">
        <v>342</v>
      </c>
      <c r="L50" s="90">
        <v>0.39968039491213858</v>
      </c>
      <c r="M50" s="90">
        <v>0.60031961461804295</v>
      </c>
      <c r="N50" s="87">
        <v>22</v>
      </c>
      <c r="O50" s="89">
        <v>56.32</v>
      </c>
      <c r="P50" s="89">
        <v>22.509999841451645</v>
      </c>
      <c r="Q50" s="89">
        <v>33.810000695288181</v>
      </c>
      <c r="R50" s="89">
        <v>28.960000693798065</v>
      </c>
      <c r="S50" s="41">
        <v>0.43614440891119588</v>
      </c>
    </row>
    <row r="51" spans="1:19" ht="21.95" customHeight="1" x14ac:dyDescent="0.25">
      <c r="A51" s="59"/>
      <c r="B51" s="90"/>
      <c r="C51" s="96"/>
      <c r="D51" s="87"/>
      <c r="E51" s="89"/>
      <c r="F51" s="90"/>
      <c r="G51" s="90"/>
      <c r="H51" s="89"/>
      <c r="I51" s="68"/>
      <c r="J51" s="47"/>
      <c r="K51" s="59" t="s">
        <v>365</v>
      </c>
      <c r="L51" s="90">
        <v>0.44160454402081634</v>
      </c>
      <c r="M51" s="90">
        <v>0.55839545776182176</v>
      </c>
      <c r="N51" s="87">
        <v>29</v>
      </c>
      <c r="O51" s="89">
        <v>28.169999999999998</v>
      </c>
      <c r="P51" s="89">
        <v>12.440000005066395</v>
      </c>
      <c r="Q51" s="89">
        <v>15.730000045150518</v>
      </c>
      <c r="R51" s="89">
        <v>10.050000075250864</v>
      </c>
      <c r="S51" s="41">
        <v>0.48437567430140371</v>
      </c>
    </row>
    <row r="52" spans="1:19" ht="21.95" customHeight="1" x14ac:dyDescent="0.25">
      <c r="A52" s="59"/>
      <c r="B52" s="90"/>
      <c r="C52" s="96"/>
      <c r="D52" s="87"/>
      <c r="E52" s="89"/>
      <c r="F52" s="90"/>
      <c r="G52" s="90"/>
      <c r="H52" s="89"/>
      <c r="I52" s="68"/>
      <c r="J52" s="47"/>
      <c r="K52" s="59" t="s">
        <v>295</v>
      </c>
      <c r="L52" s="90">
        <v>0.63232022643914065</v>
      </c>
      <c r="M52" s="90">
        <v>0.36767976607529945</v>
      </c>
      <c r="N52" s="87">
        <v>12</v>
      </c>
      <c r="O52" s="89">
        <v>40.47</v>
      </c>
      <c r="P52" s="89">
        <v>25.589999563992023</v>
      </c>
      <c r="Q52" s="89">
        <v>14.880000133067369</v>
      </c>
      <c r="R52" s="89">
        <v>11.68000016734004</v>
      </c>
      <c r="S52" s="41">
        <v>0.46060572691075347</v>
      </c>
    </row>
    <row r="53" spans="1:19" ht="21.95" customHeight="1" x14ac:dyDescent="0.25">
      <c r="A53" s="59"/>
      <c r="B53" s="90"/>
      <c r="C53" s="96"/>
      <c r="D53" s="87"/>
      <c r="E53" s="89"/>
      <c r="F53" s="90"/>
      <c r="G53" s="90"/>
      <c r="H53" s="89"/>
      <c r="I53" s="68"/>
      <c r="J53" s="47"/>
      <c r="K53" s="59" t="s">
        <v>29</v>
      </c>
      <c r="L53" s="90">
        <v>0.6184704440960781</v>
      </c>
      <c r="M53" s="90">
        <v>0.38152956370291091</v>
      </c>
      <c r="N53" s="87">
        <v>92</v>
      </c>
      <c r="O53" s="89">
        <v>127.88</v>
      </c>
      <c r="P53" s="89">
        <v>79.09000039100647</v>
      </c>
      <c r="Q53" s="89">
        <v>48.790000606328249</v>
      </c>
      <c r="R53" s="89">
        <v>29.160000495612621</v>
      </c>
      <c r="S53" s="41">
        <v>0.29444063253682079</v>
      </c>
    </row>
    <row r="54" spans="1:19" ht="21.95" customHeight="1" x14ac:dyDescent="0.25">
      <c r="A54" s="59"/>
      <c r="B54" s="90"/>
      <c r="C54" s="96"/>
      <c r="D54" s="87"/>
      <c r="E54" s="89"/>
      <c r="F54" s="90"/>
      <c r="G54" s="90"/>
      <c r="H54" s="89"/>
      <c r="I54" s="68"/>
      <c r="J54" s="47"/>
      <c r="K54" s="59" t="s">
        <v>309</v>
      </c>
      <c r="L54" s="90">
        <v>0.44379514787319208</v>
      </c>
      <c r="M54" s="90">
        <v>0.55620484817986837</v>
      </c>
      <c r="N54" s="87">
        <v>32</v>
      </c>
      <c r="O54" s="89">
        <v>94.12</v>
      </c>
      <c r="P54" s="89">
        <v>41.769999317824841</v>
      </c>
      <c r="Q54" s="89">
        <v>52.350000310689211</v>
      </c>
      <c r="R54" s="89">
        <v>29.630000289529562</v>
      </c>
      <c r="S54" s="41">
        <v>0.50168408843007772</v>
      </c>
    </row>
    <row r="55" spans="1:19" ht="21.95" customHeight="1" x14ac:dyDescent="0.25">
      <c r="A55" s="59"/>
      <c r="B55" s="90"/>
      <c r="C55" s="96"/>
      <c r="D55" s="87"/>
      <c r="E55" s="89"/>
      <c r="F55" s="90"/>
      <c r="G55" s="90"/>
      <c r="H55" s="89"/>
      <c r="I55" s="68"/>
      <c r="J55" s="47"/>
      <c r="K55" s="59" t="s">
        <v>172</v>
      </c>
      <c r="L55" s="90">
        <v>0.5288651638755264</v>
      </c>
      <c r="M55" s="90">
        <v>0.47113483950163793</v>
      </c>
      <c r="N55" s="87">
        <v>42</v>
      </c>
      <c r="O55" s="89">
        <v>151.74</v>
      </c>
      <c r="P55" s="89">
        <v>80.249999966472387</v>
      </c>
      <c r="Q55" s="89">
        <v>71.490000545978546</v>
      </c>
      <c r="R55" s="89">
        <v>44.980000674724579</v>
      </c>
      <c r="S55" s="41">
        <v>0.45791166386500715</v>
      </c>
    </row>
    <row r="56" spans="1:19" ht="21.95" customHeight="1" x14ac:dyDescent="0.25">
      <c r="A56" s="59"/>
      <c r="B56" s="90"/>
      <c r="C56" s="96"/>
      <c r="D56" s="87"/>
      <c r="E56" s="89"/>
      <c r="F56" s="90"/>
      <c r="G56" s="90"/>
      <c r="H56" s="89"/>
      <c r="I56" s="68"/>
      <c r="J56" s="47"/>
      <c r="K56" s="59" t="s">
        <v>249</v>
      </c>
      <c r="L56" s="90">
        <v>0.61303072715997231</v>
      </c>
      <c r="M56" s="90">
        <v>0.38696926903636508</v>
      </c>
      <c r="N56" s="87">
        <v>50</v>
      </c>
      <c r="O56" s="89">
        <v>78.430000000000007</v>
      </c>
      <c r="P56" s="89">
        <v>48.079999931156635</v>
      </c>
      <c r="Q56" s="89">
        <v>30.349999770522118</v>
      </c>
      <c r="R56" s="89">
        <v>18.179999858140945</v>
      </c>
      <c r="S56" s="41">
        <v>0.3514267267277964</v>
      </c>
    </row>
    <row r="57" spans="1:19" ht="21.95" customHeight="1" x14ac:dyDescent="0.25">
      <c r="A57" s="59"/>
      <c r="B57" s="90"/>
      <c r="C57" s="96"/>
      <c r="D57" s="87"/>
      <c r="E57" s="89"/>
      <c r="F57" s="90"/>
      <c r="G57" s="90"/>
      <c r="H57" s="89"/>
      <c r="I57" s="68"/>
      <c r="J57" s="47"/>
      <c r="K57" s="59" t="s">
        <v>532</v>
      </c>
      <c r="L57" s="90">
        <v>0.60909609095128092</v>
      </c>
      <c r="M57" s="90">
        <v>0.39090390491504057</v>
      </c>
      <c r="N57" s="87">
        <v>58</v>
      </c>
      <c r="O57" s="89">
        <v>122.69</v>
      </c>
      <c r="P57" s="89">
        <v>74.729999398812652</v>
      </c>
      <c r="Q57" s="89">
        <v>47.960000094026327</v>
      </c>
      <c r="R57" s="89">
        <v>29.000000160187483</v>
      </c>
      <c r="S57" s="41">
        <v>0.43803094129105286</v>
      </c>
    </row>
    <row r="58" spans="1:19" ht="21.95" customHeight="1" x14ac:dyDescent="0.25">
      <c r="A58" s="59"/>
      <c r="B58" s="90"/>
      <c r="C58" s="96"/>
      <c r="D58" s="87"/>
      <c r="E58" s="89"/>
      <c r="F58" s="90"/>
      <c r="G58" s="90"/>
      <c r="H58" s="89"/>
      <c r="I58" s="68"/>
      <c r="J58" s="47"/>
      <c r="K58" s="59" t="s">
        <v>238</v>
      </c>
      <c r="L58" s="90">
        <v>0.71359429410343922</v>
      </c>
      <c r="M58" s="90">
        <v>0.28640569343473565</v>
      </c>
      <c r="N58" s="87">
        <v>18</v>
      </c>
      <c r="O58" s="89">
        <v>70.25</v>
      </c>
      <c r="P58" s="89">
        <v>50.129999160766602</v>
      </c>
      <c r="Q58" s="89">
        <v>20.119999963790178</v>
      </c>
      <c r="R58" s="89">
        <v>7.2199999801814556</v>
      </c>
      <c r="S58" s="41">
        <v>0.38739729479679047</v>
      </c>
    </row>
    <row r="59" spans="1:19" ht="21.95" customHeight="1" x14ac:dyDescent="0.25">
      <c r="A59" s="69"/>
      <c r="B59" s="70"/>
      <c r="C59" s="85"/>
      <c r="D59" s="71"/>
      <c r="E59" s="72"/>
      <c r="F59" s="70"/>
      <c r="G59" s="70"/>
      <c r="H59" s="72"/>
      <c r="I59" s="73"/>
      <c r="J59" s="47"/>
      <c r="K59" s="106" t="s">
        <v>827</v>
      </c>
      <c r="L59" s="107">
        <v>0.53639788962765345</v>
      </c>
      <c r="M59" s="107">
        <v>0.4636021103761101</v>
      </c>
      <c r="N59" s="108">
        <v>350</v>
      </c>
      <c r="O59" s="109">
        <v>732.46</v>
      </c>
      <c r="P59" s="109">
        <v>392.88999823667109</v>
      </c>
      <c r="Q59" s="109">
        <v>339.57000176608562</v>
      </c>
      <c r="R59" s="109">
        <v>228.1600018851459</v>
      </c>
      <c r="S59" s="110">
        <v>0.40943765376779484</v>
      </c>
    </row>
    <row r="60" spans="1:19" ht="21.95" customHeight="1" x14ac:dyDescent="0.25">
      <c r="A60" s="59"/>
      <c r="B60" s="90"/>
      <c r="C60" s="96"/>
      <c r="D60" s="87"/>
      <c r="E60" s="89"/>
      <c r="F60" s="90"/>
      <c r="G60" s="90"/>
      <c r="H60" s="89"/>
      <c r="I60" s="68"/>
      <c r="J60" s="47"/>
      <c r="K60" s="47"/>
      <c r="L60" s="47"/>
      <c r="M60" s="47"/>
      <c r="N60" s="47"/>
      <c r="O60" s="47"/>
      <c r="P60" s="47"/>
      <c r="Q60" s="47"/>
      <c r="R60" s="47"/>
    </row>
    <row r="61" spans="1:19" ht="21.95" customHeight="1" x14ac:dyDescent="0.25">
      <c r="A61" s="59"/>
      <c r="B61" s="90"/>
      <c r="C61" s="96"/>
      <c r="D61" s="87"/>
      <c r="E61" s="89"/>
      <c r="F61" s="90"/>
      <c r="G61" s="90"/>
      <c r="H61" s="89"/>
      <c r="I61" s="68"/>
      <c r="J61" s="47"/>
      <c r="K61" s="47"/>
      <c r="L61" s="47"/>
      <c r="M61" s="47"/>
      <c r="N61" s="47"/>
      <c r="O61" s="47"/>
      <c r="P61" s="47"/>
      <c r="Q61" s="47"/>
      <c r="R61" s="47"/>
    </row>
    <row r="62" spans="1:19" ht="21.95" customHeight="1" x14ac:dyDescent="0.25">
      <c r="A62" s="59"/>
      <c r="B62" s="90"/>
      <c r="C62" s="96"/>
      <c r="D62" s="87"/>
      <c r="E62" s="89"/>
      <c r="F62" s="90"/>
      <c r="G62" s="90"/>
      <c r="H62" s="89"/>
      <c r="I62" s="68"/>
      <c r="J62" s="47"/>
      <c r="K62" s="47"/>
      <c r="L62" s="47"/>
      <c r="M62" s="47"/>
      <c r="N62" s="47"/>
      <c r="O62" s="47"/>
      <c r="P62" s="47"/>
      <c r="Q62" s="47"/>
      <c r="R62" s="47"/>
    </row>
    <row r="63" spans="1:19" ht="21.95" customHeight="1" x14ac:dyDescent="0.25">
      <c r="A63" s="59"/>
      <c r="B63" s="90"/>
      <c r="C63" s="96"/>
      <c r="D63" s="87"/>
      <c r="E63" s="89"/>
      <c r="F63" s="90"/>
      <c r="G63" s="90"/>
      <c r="H63" s="89"/>
      <c r="I63" s="68"/>
      <c r="J63" s="47"/>
      <c r="K63" s="47"/>
      <c r="L63" s="47"/>
      <c r="M63" s="47"/>
      <c r="N63" s="47"/>
      <c r="O63" s="47"/>
      <c r="P63" s="47"/>
      <c r="Q63" s="47"/>
      <c r="R63" s="47"/>
    </row>
    <row r="64" spans="1:19" ht="21.95" customHeight="1" x14ac:dyDescent="0.25">
      <c r="A64" s="59"/>
      <c r="B64" s="90"/>
      <c r="C64" s="96"/>
      <c r="D64" s="87"/>
      <c r="E64" s="89"/>
      <c r="F64" s="90"/>
      <c r="G64" s="90"/>
      <c r="H64" s="89"/>
      <c r="I64" s="68"/>
      <c r="J64" s="47"/>
      <c r="K64" s="47"/>
      <c r="L64" s="47"/>
      <c r="M64" s="47"/>
      <c r="N64" s="47"/>
      <c r="O64" s="47"/>
      <c r="P64" s="47"/>
      <c r="Q64" s="47"/>
      <c r="R64" s="47"/>
    </row>
    <row r="65" spans="1:18" ht="21.95" customHeight="1" x14ac:dyDescent="0.25">
      <c r="A65" s="59"/>
      <c r="B65" s="90"/>
      <c r="C65" s="96"/>
      <c r="D65" s="87"/>
      <c r="E65" s="89"/>
      <c r="F65" s="90"/>
      <c r="G65" s="90"/>
      <c r="H65" s="89"/>
      <c r="I65" s="68"/>
      <c r="J65" s="47"/>
      <c r="K65" s="47"/>
      <c r="L65" s="47"/>
      <c r="M65" s="47"/>
      <c r="N65" s="47"/>
      <c r="O65" s="47"/>
      <c r="P65" s="47"/>
      <c r="Q65" s="47"/>
      <c r="R65" s="47"/>
    </row>
    <row r="66" spans="1:18" ht="21.95" customHeight="1" x14ac:dyDescent="0.25">
      <c r="A66" s="32"/>
      <c r="B66" s="97"/>
      <c r="C66" s="98"/>
      <c r="D66" s="99"/>
      <c r="E66" s="100"/>
      <c r="F66" s="97"/>
      <c r="G66" s="97"/>
      <c r="H66" s="100"/>
      <c r="I66" s="41"/>
    </row>
    <row r="67" spans="1:18" ht="21.95" customHeight="1" x14ac:dyDescent="0.25">
      <c r="A67" s="32"/>
      <c r="B67" s="97"/>
      <c r="C67" s="98"/>
      <c r="D67" s="99"/>
      <c r="E67" s="100"/>
      <c r="F67" s="97"/>
      <c r="G67" s="97"/>
      <c r="H67" s="100"/>
      <c r="I67" s="41"/>
    </row>
    <row r="68" spans="1:18" ht="21.95" customHeight="1" x14ac:dyDescent="0.25">
      <c r="A68" s="32"/>
      <c r="B68" s="97"/>
      <c r="C68" s="98"/>
      <c r="D68" s="99"/>
      <c r="E68" s="100"/>
      <c r="F68" s="97"/>
      <c r="G68" s="97"/>
      <c r="H68" s="100"/>
      <c r="I68" s="41"/>
    </row>
    <row r="69" spans="1:18" ht="21.95" customHeight="1" x14ac:dyDescent="0.25">
      <c r="A69" s="32"/>
      <c r="B69" s="97"/>
      <c r="C69" s="98"/>
      <c r="D69" s="99"/>
      <c r="E69" s="100"/>
      <c r="F69" s="97"/>
      <c r="G69" s="97"/>
      <c r="H69" s="100"/>
      <c r="I69" s="41"/>
    </row>
    <row r="70" spans="1:18" ht="21.95" customHeight="1" x14ac:dyDescent="0.25">
      <c r="A70" s="32"/>
      <c r="B70" s="97"/>
      <c r="C70" s="98"/>
      <c r="D70" s="99"/>
      <c r="E70" s="100"/>
      <c r="F70" s="97"/>
      <c r="G70" s="97"/>
      <c r="H70" s="100"/>
      <c r="I70" s="41"/>
    </row>
    <row r="71" spans="1:18" ht="21.95" customHeight="1" x14ac:dyDescent="0.25">
      <c r="A71" s="32"/>
      <c r="B71" s="97"/>
      <c r="C71" s="98"/>
      <c r="D71" s="99"/>
      <c r="E71" s="100"/>
      <c r="F71" s="97"/>
      <c r="G71" s="97"/>
      <c r="H71" s="100"/>
      <c r="I71" s="41"/>
    </row>
    <row r="72" spans="1:18" ht="21.95" customHeight="1" x14ac:dyDescent="0.25">
      <c r="A72" s="32"/>
      <c r="B72" s="97"/>
      <c r="C72" s="98"/>
      <c r="D72" s="99"/>
      <c r="E72" s="100"/>
      <c r="F72" s="97"/>
      <c r="G72" s="97"/>
      <c r="H72" s="100"/>
      <c r="I72" s="41"/>
    </row>
    <row r="73" spans="1:18" ht="21.95" customHeight="1" x14ac:dyDescent="0.25">
      <c r="A73" s="32"/>
      <c r="B73" s="97"/>
      <c r="C73" s="98"/>
      <c r="D73" s="99"/>
      <c r="E73" s="100"/>
      <c r="F73" s="97"/>
      <c r="G73" s="97"/>
      <c r="H73" s="100"/>
      <c r="I73" s="41"/>
    </row>
    <row r="74" spans="1:18" ht="21.95" customHeight="1" x14ac:dyDescent="0.25">
      <c r="A74" s="32"/>
      <c r="B74" s="97"/>
      <c r="C74" s="98"/>
      <c r="D74" s="99"/>
      <c r="E74" s="100"/>
      <c r="F74" s="97"/>
      <c r="G74" s="97"/>
      <c r="H74" s="100"/>
      <c r="I74" s="41"/>
    </row>
    <row r="75" spans="1:18" ht="21.95" customHeight="1" x14ac:dyDescent="0.25">
      <c r="A75" s="32"/>
      <c r="B75" s="97"/>
      <c r="C75" s="98"/>
      <c r="D75" s="99"/>
      <c r="E75" s="100"/>
      <c r="F75" s="97"/>
      <c r="G75" s="97"/>
      <c r="H75" s="100"/>
      <c r="I75" s="41"/>
    </row>
    <row r="76" spans="1:18" ht="21.95" customHeight="1" x14ac:dyDescent="0.25">
      <c r="A76" s="32"/>
      <c r="B76" s="97"/>
      <c r="C76" s="98"/>
      <c r="D76" s="99"/>
      <c r="E76" s="100"/>
      <c r="F76" s="97"/>
      <c r="G76" s="97"/>
      <c r="H76" s="100"/>
      <c r="I76" s="41"/>
    </row>
    <row r="77" spans="1:18" ht="21.95" customHeight="1" x14ac:dyDescent="0.25">
      <c r="A77" s="32"/>
      <c r="B77" s="97"/>
      <c r="C77" s="98"/>
      <c r="D77" s="99"/>
      <c r="E77" s="100"/>
      <c r="F77" s="97"/>
      <c r="G77" s="97"/>
      <c r="H77" s="100"/>
      <c r="I77" s="41"/>
    </row>
    <row r="78" spans="1:18" ht="21.95" customHeight="1" x14ac:dyDescent="0.25">
      <c r="A78" s="32"/>
      <c r="B78" s="97"/>
      <c r="C78" s="98"/>
      <c r="D78" s="99"/>
      <c r="E78" s="100"/>
      <c r="F78" s="97"/>
      <c r="G78" s="97"/>
      <c r="H78" s="100"/>
      <c r="I78" s="41"/>
    </row>
    <row r="79" spans="1:18" ht="21.95" customHeight="1" x14ac:dyDescent="0.25">
      <c r="A79" s="32"/>
      <c r="B79" s="97"/>
      <c r="C79" s="98"/>
      <c r="D79" s="99"/>
      <c r="E79" s="100"/>
      <c r="F79" s="97"/>
      <c r="G79" s="97"/>
      <c r="H79" s="100"/>
      <c r="I79" s="41"/>
    </row>
    <row r="80" spans="1:18" ht="21.95" customHeight="1" x14ac:dyDescent="0.25">
      <c r="A80" s="42"/>
      <c r="B80" s="43"/>
      <c r="C80" s="86"/>
      <c r="D80" s="44"/>
      <c r="E80" s="45"/>
      <c r="F80" s="43"/>
      <c r="G80" s="43"/>
      <c r="H80" s="45"/>
      <c r="I80" s="46"/>
    </row>
    <row r="81" spans="1:9" ht="21.95" customHeight="1" x14ac:dyDescent="0.25">
      <c r="A81" s="32">
        <f t="shared" ref="A81:A144" si="1">IF(ROW()-13&lt;=$B$11,ROW()-13,"")</f>
        <v>68</v>
      </c>
      <c r="B81" s="99" t="str">
        <f>IF(OR($A81="",$A81&gt;SUM(Data_Analitik!$AD$2:$AD$351)),"",IFERROR(INDEX(Data_Analitik!$B$2:$B$351,MATCH($A81,Data_Analitik!$AE$2:$AE$351,0)),""))</f>
        <v>156</v>
      </c>
      <c r="C81" s="101" t="str">
        <f>IF(OR($A81="",$A81&gt;SUM(Data_Analitik!$AD$2:$AD$351)),"",IFERROR(INDEX(Data_Analitik!$C$2:$C$351,MATCH($A81,Data_Analitik!$AE$2:$AE$351,0)),""))</f>
        <v>Tambak Pipii - Malilingin</v>
      </c>
      <c r="D81" s="99" t="str">
        <f>IF(OR($A81="",$A81&gt;SUM(Data_Analitik!$AD$2:$AD$351)),"",IFERROR(INDEX(Data_Analitik!$D$2:$D$351,MATCH($A81,Data_Analitik!$AE$2:$AE$351,0)),""))</f>
        <v>Padang Batung</v>
      </c>
      <c r="E81" s="100">
        <f>IF(OR($A81="",$A81&gt;SUM(Data_Analitik!$AD$2:$AD$351)),"",IFERROR(INDEX(Data_Analitik!$E$2:$E$351,MATCH($A81,Data_Analitik!$AE$2:$AE$351,0)),""))</f>
        <v>4.88</v>
      </c>
      <c r="F81" s="97">
        <f>IF(OR($A81="",$A81&gt;SUM(Data_Analitik!$AD$2:$AD$351)),"",IFERROR(INDEX(Data_Analitik!$Z$2:$Z$351,MATCH($A81,Data_Analitik!$AE$2:$AE$351,0)),""))</f>
        <v>0.79918034741135902</v>
      </c>
      <c r="G81" s="97">
        <f>IF(OR($A81="",$A81&gt;SUM(Data_Analitik!$AD$2:$AD$351)),"",IFERROR(INDEX(Data_Analitik!$AA$2:$AA$351,MATCH($A81,Data_Analitik!$AE$2:$AE$351,0)),""))</f>
        <v>0.84938526642127121</v>
      </c>
      <c r="H81" s="100">
        <f>IF(OR($A81="",$A81&gt;SUM(Data_Analitik!$AD$2:$AD$351)),"",IFERROR(INDEX(Data_Analitik!$U$2:$U$351,MATCH($A81,Data_Analitik!$AE$2:$AE$351,0)),""))</f>
        <v>3.9000000953674316</v>
      </c>
      <c r="I81" s="33" t="str">
        <f>IF(OR($A81="",$A81&gt;SUM(Data_Analitik!$AD$2:$AD$351)),"",IFERROR(INDEX(Data_Analitik!$AB$2:$AB$351,MATCH($A81,Data_Analitik!$AE$2:$AE$351,0)),""))</f>
        <v>Rusak Berat Dominan</v>
      </c>
    </row>
    <row r="82" spans="1:9" ht="21.95" customHeight="1" x14ac:dyDescent="0.25">
      <c r="A82" s="32">
        <f t="shared" si="1"/>
        <v>69</v>
      </c>
      <c r="B82" s="99" t="str">
        <f>IF(OR($A82="",$A82&gt;SUM(Data_Analitik!$AD$2:$AD$351)),"",IFERROR(INDEX(Data_Analitik!$B$2:$B$351,MATCH($A82,Data_Analitik!$AE$2:$AE$351,0)),""))</f>
        <v>245</v>
      </c>
      <c r="C82" s="101" t="str">
        <f>IF(OR($A82="",$A82&gt;SUM(Data_Analitik!$AD$2:$AD$351)),"",IFERROR(INDEX(Data_Analitik!$C$2:$C$351,MATCH($A82,Data_Analitik!$AE$2:$AE$351,0)),""))</f>
        <v>Jl. Talapak Manuk - Ds. Kapuh</v>
      </c>
      <c r="D82" s="99" t="str">
        <f>IF(OR($A82="",$A82&gt;SUM(Data_Analitik!$AD$2:$AD$351)),"",IFERROR(INDEX(Data_Analitik!$D$2:$D$351,MATCH($A82,Data_Analitik!$AE$2:$AE$351,0)),""))</f>
        <v>Simpur</v>
      </c>
      <c r="E82" s="100">
        <f>IF(OR($A82="",$A82&gt;SUM(Data_Analitik!$AD$2:$AD$351)),"",IFERROR(INDEX(Data_Analitik!$E$2:$E$351,MATCH($A82,Data_Analitik!$AE$2:$AE$351,0)),""))</f>
        <v>0.76</v>
      </c>
      <c r="F82" s="97">
        <f>IF(OR($A82="",$A82&gt;SUM(Data_Analitik!$AD$2:$AD$351)),"",IFERROR(INDEX(Data_Analitik!$Z$2:$Z$351,MATCH($A82,Data_Analitik!$AE$2:$AE$351,0)),""))</f>
        <v>0.78947371558139201</v>
      </c>
      <c r="G82" s="97">
        <f>IF(OR($A82="",$A82&gt;SUM(Data_Analitik!$AD$2:$AD$351)),"",IFERROR(INDEX(Data_Analitik!$AA$2:$AA$351,MATCH($A82,Data_Analitik!$AE$2:$AE$351,0)),""))</f>
        <v>0.84210529335235296</v>
      </c>
      <c r="H82" s="100">
        <f>IF(OR($A82="",$A82&gt;SUM(Data_Analitik!$AD$2:$AD$351)),"",IFERROR(INDEX(Data_Analitik!$U$2:$U$351,MATCH($A82,Data_Analitik!$AE$2:$AE$351,0)),""))</f>
        <v>0.60000002384185791</v>
      </c>
      <c r="I82" s="33" t="str">
        <f>IF(OR($A82="",$A82&gt;SUM(Data_Analitik!$AD$2:$AD$351)),"",IFERROR(INDEX(Data_Analitik!$AB$2:$AB$351,MATCH($A82,Data_Analitik!$AE$2:$AE$351,0)),""))</f>
        <v>Rusak Berat Dominan</v>
      </c>
    </row>
    <row r="83" spans="1:9" ht="21.95" customHeight="1" x14ac:dyDescent="0.25">
      <c r="A83" s="32">
        <f t="shared" si="1"/>
        <v>70</v>
      </c>
      <c r="B83" s="99" t="str">
        <f>IF(OR($A83="",$A83&gt;SUM(Data_Analitik!$AD$2:$AD$351)),"",IFERROR(INDEX(Data_Analitik!$B$2:$B$351,MATCH($A83,Data_Analitik!$AE$2:$AE$351,0)),""))</f>
        <v>154</v>
      </c>
      <c r="C83" s="101" t="str">
        <f>IF(OR($A83="",$A83&gt;SUM(Data_Analitik!$AD$2:$AD$351)),"",IFERROR(INDEX(Data_Analitik!$C$2:$C$351,MATCH($A83,Data_Analitik!$AE$2:$AE$351,0)),""))</f>
        <v>Batu Laki - Muara Pipii</v>
      </c>
      <c r="D83" s="99" t="str">
        <f>IF(OR($A83="",$A83&gt;SUM(Data_Analitik!$AD$2:$AD$351)),"",IFERROR(INDEX(Data_Analitik!$D$2:$D$351,MATCH($A83,Data_Analitik!$AE$2:$AE$351,0)),""))</f>
        <v>Padang Batung</v>
      </c>
      <c r="E83" s="100">
        <f>IF(OR($A83="",$A83&gt;SUM(Data_Analitik!$AD$2:$AD$351)),"",IFERROR(INDEX(Data_Analitik!$E$2:$E$351,MATCH($A83,Data_Analitik!$AE$2:$AE$351,0)),""))</f>
        <v>4.2699999999999996</v>
      </c>
      <c r="F83" s="97">
        <f>IF(OR($A83="",$A83&gt;SUM(Data_Analitik!$AD$2:$AD$351)),"",IFERROR(INDEX(Data_Analitik!$Z$2:$Z$351,MATCH($A83,Data_Analitik!$AE$2:$AE$351,0)),""))</f>
        <v>0.78922717437252798</v>
      </c>
      <c r="G83" s="97">
        <f>IF(OR($A83="",$A83&gt;SUM(Data_Analitik!$AD$2:$AD$351)),"",IFERROR(INDEX(Data_Analitik!$AA$2:$AA$351,MATCH($A83,Data_Analitik!$AE$2:$AE$351,0)),""))</f>
        <v>0.76932085132710548</v>
      </c>
      <c r="H83" s="100">
        <f>IF(OR($A83="",$A83&gt;SUM(Data_Analitik!$AD$2:$AD$351)),"",IFERROR(INDEX(Data_Analitik!$U$2:$U$351,MATCH($A83,Data_Analitik!$AE$2:$AE$351,0)),""))</f>
        <v>2.9700000286102295</v>
      </c>
      <c r="I83" s="33" t="str">
        <f>IF(OR($A83="",$A83&gt;SUM(Data_Analitik!$AD$2:$AD$351)),"",IFERROR(INDEX(Data_Analitik!$AB$2:$AB$351,MATCH($A83,Data_Analitik!$AE$2:$AE$351,0)),""))</f>
        <v>Rusak Berat Dominan</v>
      </c>
    </row>
    <row r="84" spans="1:9" ht="21.95" customHeight="1" x14ac:dyDescent="0.25">
      <c r="A84" s="32">
        <f t="shared" si="1"/>
        <v>71</v>
      </c>
      <c r="B84" s="99" t="str">
        <f>IF(OR($A84="",$A84&gt;SUM(Data_Analitik!$AD$2:$AD$351)),"",IFERROR(INDEX(Data_Analitik!$B$2:$B$351,MATCH($A84,Data_Analitik!$AE$2:$AE$351,0)),""))</f>
        <v>069</v>
      </c>
      <c r="C84" s="101" t="str">
        <f>IF(OR($A84="",$A84&gt;SUM(Data_Analitik!$AD$2:$AD$351)),"",IFERROR(INDEX(Data_Analitik!$C$2:$C$351,MATCH($A84,Data_Analitik!$AE$2:$AE$351,0)),""))</f>
        <v>Jl. Baiturrahim Parincahan</v>
      </c>
      <c r="D84" s="99" t="str">
        <f>IF(OR($A84="",$A84&gt;SUM(Data_Analitik!$AD$2:$AD$351)),"",IFERROR(INDEX(Data_Analitik!$D$2:$D$351,MATCH($A84,Data_Analitik!$AE$2:$AE$351,0)),""))</f>
        <v>Kandangan</v>
      </c>
      <c r="E84" s="100">
        <f>IF(OR($A84="",$A84&gt;SUM(Data_Analitik!$AD$2:$AD$351)),"",IFERROR(INDEX(Data_Analitik!$E$2:$E$351,MATCH($A84,Data_Analitik!$AE$2:$AE$351,0)),""))</f>
        <v>1.42</v>
      </c>
      <c r="F84" s="97">
        <f>IF(OR($A84="",$A84&gt;SUM(Data_Analitik!$AD$2:$AD$351)),"",IFERROR(INDEX(Data_Analitik!$Z$2:$Z$351,MATCH($A84,Data_Analitik!$AE$2:$AE$351,0)),""))</f>
        <v>0.78873241871175637</v>
      </c>
      <c r="G84" s="97">
        <f>IF(OR($A84="",$A84&gt;SUM(Data_Analitik!$AD$2:$AD$351)),"",IFERROR(INDEX(Data_Analitik!$AA$2:$AA$351,MATCH($A84,Data_Analitik!$AE$2:$AE$351,0)),""))</f>
        <v>0.75704227660743284</v>
      </c>
      <c r="H84" s="100">
        <f>IF(OR($A84="",$A84&gt;SUM(Data_Analitik!$AD$2:$AD$351)),"",IFERROR(INDEX(Data_Analitik!$U$2:$U$351,MATCH($A84,Data_Analitik!$AE$2:$AE$351,0)),""))</f>
        <v>0.82000002264976501</v>
      </c>
      <c r="I84" s="33" t="str">
        <f>IF(OR($A84="",$A84&gt;SUM(Data_Analitik!$AD$2:$AD$351)),"",IFERROR(INDEX(Data_Analitik!$AB$2:$AB$351,MATCH($A84,Data_Analitik!$AE$2:$AE$351,0)),""))</f>
        <v>Rusak Berat Dominan</v>
      </c>
    </row>
    <row r="85" spans="1:9" ht="21.95" customHeight="1" x14ac:dyDescent="0.25">
      <c r="A85" s="32">
        <f t="shared" si="1"/>
        <v>72</v>
      </c>
      <c r="B85" s="99" t="str">
        <f>IF(OR($A85="",$A85&gt;SUM(Data_Analitik!$AD$2:$AD$351)),"",IFERROR(INDEX(Data_Analitik!$B$2:$B$351,MATCH($A85,Data_Analitik!$AE$2:$AE$351,0)),""))</f>
        <v>122</v>
      </c>
      <c r="C85" s="101" t="str">
        <f>IF(OR($A85="",$A85&gt;SUM(Data_Analitik!$AD$2:$AD$351)),"",IFERROR(INDEX(Data_Analitik!$C$2:$C$351,MATCH($A85,Data_Analitik!$AE$2:$AE$351,0)),""))</f>
        <v>Paharuangan - Asam Dua</v>
      </c>
      <c r="D85" s="99" t="str">
        <f>IF(OR($A85="",$A85&gt;SUM(Data_Analitik!$AD$2:$AD$351)),"",IFERROR(INDEX(Data_Analitik!$D$2:$D$351,MATCH($A85,Data_Analitik!$AE$2:$AE$351,0)),""))</f>
        <v>Sungai Raya</v>
      </c>
      <c r="E85" s="100">
        <f>IF(OR($A85="",$A85&gt;SUM(Data_Analitik!$AD$2:$AD$351)),"",IFERROR(INDEX(Data_Analitik!$E$2:$E$351,MATCH($A85,Data_Analitik!$AE$2:$AE$351,0)),""))</f>
        <v>0.91</v>
      </c>
      <c r="F85" s="97">
        <f>IF(OR($A85="",$A85&gt;SUM(Data_Analitik!$AD$2:$AD$351)),"",IFERROR(INDEX(Data_Analitik!$Z$2:$Z$351,MATCH($A85,Data_Analitik!$AE$2:$AE$351,0)),""))</f>
        <v>0.78021975663992071</v>
      </c>
      <c r="G85" s="97">
        <f>IF(OR($A85="",$A85&gt;SUM(Data_Analitik!$AD$2:$AD$351)),"",IFERROR(INDEX(Data_Analitik!$AA$2:$AA$351,MATCH($A85,Data_Analitik!$AE$2:$AE$351,0)),""))</f>
        <v>0.83516481240372076</v>
      </c>
      <c r="H85" s="100">
        <f>IF(OR($A85="",$A85&gt;SUM(Data_Analitik!$AD$2:$AD$351)),"",IFERROR(INDEX(Data_Analitik!$U$2:$U$351,MATCH($A85,Data_Analitik!$AE$2:$AE$351,0)),""))</f>
        <v>0.70999997854232788</v>
      </c>
      <c r="I85" s="33" t="str">
        <f>IF(OR($A85="",$A85&gt;SUM(Data_Analitik!$AD$2:$AD$351)),"",IFERROR(INDEX(Data_Analitik!$AB$2:$AB$351,MATCH($A85,Data_Analitik!$AE$2:$AE$351,0)),""))</f>
        <v>Rusak Berat Dominan</v>
      </c>
    </row>
    <row r="86" spans="1:9" ht="21.95" customHeight="1" x14ac:dyDescent="0.25">
      <c r="A86" s="32">
        <f t="shared" si="1"/>
        <v>73</v>
      </c>
      <c r="B86" s="99" t="str">
        <f>IF(OR($A86="",$A86&gt;SUM(Data_Analitik!$AD$2:$AD$351)),"",IFERROR(INDEX(Data_Analitik!$B$2:$B$351,MATCH($A86,Data_Analitik!$AE$2:$AE$351,0)),""))</f>
        <v>048</v>
      </c>
      <c r="C86" s="101" t="str">
        <f>IF(OR($A86="",$A86&gt;SUM(Data_Analitik!$AD$2:$AD$351)),"",IFERROR(INDEX(Data_Analitik!$C$2:$C$351,MATCH($A86,Data_Analitik!$AE$2:$AE$351,0)),""))</f>
        <v>Sungai Paring - Sei Hanyar Pantai Ulin</v>
      </c>
      <c r="D86" s="99" t="str">
        <f>IF(OR($A86="",$A86&gt;SUM(Data_Analitik!$AD$2:$AD$351)),"",IFERROR(INDEX(Data_Analitik!$D$2:$D$351,MATCH($A86,Data_Analitik!$AE$2:$AE$351,0)),""))</f>
        <v>Kandangan - Simpur</v>
      </c>
      <c r="E86" s="100">
        <f>IF(OR($A86="",$A86&gt;SUM(Data_Analitik!$AD$2:$AD$351)),"",IFERROR(INDEX(Data_Analitik!$E$2:$E$351,MATCH($A86,Data_Analitik!$AE$2:$AE$351,0)),""))</f>
        <v>5.85</v>
      </c>
      <c r="F86" s="97">
        <f>IF(OR($A86="",$A86&gt;SUM(Data_Analitik!$AD$2:$AD$351)),"",IFERROR(INDEX(Data_Analitik!$Z$2:$Z$351,MATCH($A86,Data_Analitik!$AE$2:$AE$351,0)),""))</f>
        <v>0.76068375864599513</v>
      </c>
      <c r="G86" s="97">
        <f>IF(OR($A86="",$A86&gt;SUM(Data_Analitik!$AD$2:$AD$351)),"",IFERROR(INDEX(Data_Analitik!$AA$2:$AA$351,MATCH($A86,Data_Analitik!$AE$2:$AE$351,0)),""))</f>
        <v>0.66324786345163989</v>
      </c>
      <c r="H86" s="100">
        <f>IF(OR($A86="",$A86&gt;SUM(Data_Analitik!$AD$2:$AD$351)),"",IFERROR(INDEX(Data_Analitik!$U$2:$U$351,MATCH($A86,Data_Analitik!$AE$2:$AE$351,0)),""))</f>
        <v>2.1500000357627869</v>
      </c>
      <c r="I86" s="33" t="str">
        <f>IF(OR($A86="",$A86&gt;SUM(Data_Analitik!$AD$2:$AD$351)),"",IFERROR(INDEX(Data_Analitik!$AB$2:$AB$351,MATCH($A86,Data_Analitik!$AE$2:$AE$351,0)),""))</f>
        <v>Rusak Berat Dominan</v>
      </c>
    </row>
    <row r="87" spans="1:9" ht="21.95" customHeight="1" x14ac:dyDescent="0.25">
      <c r="A87" s="32">
        <f t="shared" si="1"/>
        <v>74</v>
      </c>
      <c r="B87" s="99" t="str">
        <f>IF(OR($A87="",$A87&gt;SUM(Data_Analitik!$AD$2:$AD$351)),"",IFERROR(INDEX(Data_Analitik!$B$2:$B$351,MATCH($A87,Data_Analitik!$AE$2:$AE$351,0)),""))</f>
        <v>089</v>
      </c>
      <c r="C87" s="101" t="str">
        <f>IF(OR($A87="",$A87&gt;SUM(Data_Analitik!$AD$2:$AD$351)),"",IFERROR(INDEX(Data_Analitik!$C$2:$C$351,MATCH($A87,Data_Analitik!$AE$2:$AE$351,0)),""))</f>
        <v>Sp. Batang Kulur Kiri - Tatas</v>
      </c>
      <c r="D87" s="99" t="str">
        <f>IF(OR($A87="",$A87&gt;SUM(Data_Analitik!$AD$2:$AD$351)),"",IFERROR(INDEX(Data_Analitik!$D$2:$D$351,MATCH($A87,Data_Analitik!$AE$2:$AE$351,0)),""))</f>
        <v>Sungai Raya</v>
      </c>
      <c r="E87" s="100">
        <f>IF(OR($A87="",$A87&gt;SUM(Data_Analitik!$AD$2:$AD$351)),"",IFERROR(INDEX(Data_Analitik!$E$2:$E$351,MATCH($A87,Data_Analitik!$AE$2:$AE$351,0)),""))</f>
        <v>2.37</v>
      </c>
      <c r="F87" s="97">
        <f>IF(OR($A87="",$A87&gt;SUM(Data_Analitik!$AD$2:$AD$351)),"",IFERROR(INDEX(Data_Analitik!$Z$2:$Z$351,MATCH($A87,Data_Analitik!$AE$2:$AE$351,0)),""))</f>
        <v>0.75949365076636455</v>
      </c>
      <c r="G87" s="97">
        <f>IF(OR($A87="",$A87&gt;SUM(Data_Analitik!$AD$2:$AD$351)),"",IFERROR(INDEX(Data_Analitik!$AA$2:$AA$351,MATCH($A87,Data_Analitik!$AE$2:$AE$351,0)),""))</f>
        <v>0.51582277198381055</v>
      </c>
      <c r="H87" s="100">
        <f>IF(OR($A87="",$A87&gt;SUM(Data_Analitik!$AD$2:$AD$351)),"",IFERROR(INDEX(Data_Analitik!$U$2:$U$351,MATCH($A87,Data_Analitik!$AE$2:$AE$351,0)),""))</f>
        <v>0</v>
      </c>
      <c r="I87" s="33" t="str">
        <f>IF(OR($A87="",$A87&gt;SUM(Data_Analitik!$AD$2:$AD$351)),"",IFERROR(INDEX(Data_Analitik!$AB$2:$AB$351,MATCH($A87,Data_Analitik!$AE$2:$AE$351,0)),""))</f>
        <v>Tidak Mantap Tinggi</v>
      </c>
    </row>
    <row r="88" spans="1:9" ht="21.95" customHeight="1" x14ac:dyDescent="0.25">
      <c r="A88" s="32">
        <f t="shared" si="1"/>
        <v>75</v>
      </c>
      <c r="B88" s="99" t="str">
        <f>IF(OR($A88="",$A88&gt;SUM(Data_Analitik!$AD$2:$AD$351)),"",IFERROR(INDEX(Data_Analitik!$B$2:$B$351,MATCH($A88,Data_Analitik!$AE$2:$AE$351,0)),""))</f>
        <v>099</v>
      </c>
      <c r="C88" s="101" t="str">
        <f>IF(OR($A88="",$A88&gt;SUM(Data_Analitik!$AD$2:$AD$351)),"",IFERROR(INDEX(Data_Analitik!$C$2:$C$351,MATCH($A88,Data_Analitik!$AE$2:$AE$351,0)),""))</f>
        <v>Ida Manggala - Padang Makmur</v>
      </c>
      <c r="D88" s="99" t="str">
        <f>IF(OR($A88="",$A88&gt;SUM(Data_Analitik!$AD$2:$AD$351)),"",IFERROR(INDEX(Data_Analitik!$D$2:$D$351,MATCH($A88,Data_Analitik!$AE$2:$AE$351,0)),""))</f>
        <v>Sungai Raya</v>
      </c>
      <c r="E88" s="100">
        <f>IF(OR($A88="",$A88&gt;SUM(Data_Analitik!$AD$2:$AD$351)),"",IFERROR(INDEX(Data_Analitik!$E$2:$E$351,MATCH($A88,Data_Analitik!$AE$2:$AE$351,0)),""))</f>
        <v>3.69</v>
      </c>
      <c r="F88" s="97">
        <f>IF(OR($A88="",$A88&gt;SUM(Data_Analitik!$AD$2:$AD$351)),"",IFERROR(INDEX(Data_Analitik!$Z$2:$Z$351,MATCH($A88,Data_Analitik!$AE$2:$AE$351,0)),""))</f>
        <v>0.75609756679069706</v>
      </c>
      <c r="G88" s="97">
        <f>IF(OR($A88="",$A88&gt;SUM(Data_Analitik!$AD$2:$AD$351)),"",IFERROR(INDEX(Data_Analitik!$AA$2:$AA$351,MATCH($A88,Data_Analitik!$AE$2:$AE$351,0)),""))</f>
        <v>0.6544715489152324</v>
      </c>
      <c r="H88" s="100">
        <f>IF(OR($A88="",$A88&gt;SUM(Data_Analitik!$AD$2:$AD$351)),"",IFERROR(INDEX(Data_Analitik!$U$2:$U$351,MATCH($A88,Data_Analitik!$AE$2:$AE$351,0)),""))</f>
        <v>1.2900000214576721</v>
      </c>
      <c r="I88" s="33" t="str">
        <f>IF(OR($A88="",$A88&gt;SUM(Data_Analitik!$AD$2:$AD$351)),"",IFERROR(INDEX(Data_Analitik!$AB$2:$AB$351,MATCH($A88,Data_Analitik!$AE$2:$AE$351,0)),""))</f>
        <v>Rusak Berat Dominan</v>
      </c>
    </row>
    <row r="89" spans="1:9" ht="21.95" customHeight="1" x14ac:dyDescent="0.25">
      <c r="A89" s="32">
        <f t="shared" si="1"/>
        <v>76</v>
      </c>
      <c r="B89" s="99" t="str">
        <f>IF(OR($A89="",$A89&gt;SUM(Data_Analitik!$AD$2:$AD$351)),"",IFERROR(INDEX(Data_Analitik!$B$2:$B$351,MATCH($A89,Data_Analitik!$AE$2:$AE$351,0)),""))</f>
        <v>336</v>
      </c>
      <c r="C89" s="101" t="str">
        <f>IF(OR($A89="",$A89&gt;SUM(Data_Analitik!$AD$2:$AD$351)),"",IFERROR(INDEX(Data_Analitik!$C$2:$C$351,MATCH($A89,Data_Analitik!$AE$2:$AE$351,0)),""))</f>
        <v>Jl. Sakincung - Ds. Hakurung Dalam</v>
      </c>
      <c r="D89" s="99" t="str">
        <f>IF(OR($A89="",$A89&gt;SUM(Data_Analitik!$AD$2:$AD$351)),"",IFERROR(INDEX(Data_Analitik!$D$2:$D$351,MATCH($A89,Data_Analitik!$AE$2:$AE$351,0)),""))</f>
        <v>Daha Utara</v>
      </c>
      <c r="E89" s="100">
        <f>IF(OR($A89="",$A89&gt;SUM(Data_Analitik!$AD$2:$AD$351)),"",IFERROR(INDEX(Data_Analitik!$E$2:$E$351,MATCH($A89,Data_Analitik!$AE$2:$AE$351,0)),""))</f>
        <v>1.34</v>
      </c>
      <c r="F89" s="97">
        <f>IF(OR($A89="",$A89&gt;SUM(Data_Analitik!$AD$2:$AD$351)),"",IFERROR(INDEX(Data_Analitik!$Z$2:$Z$351,MATCH($A89,Data_Analitik!$AE$2:$AE$351,0)),""))</f>
        <v>0.74626868451709172</v>
      </c>
      <c r="G89" s="97">
        <f>IF(OR($A89="",$A89&gt;SUM(Data_Analitik!$AD$2:$AD$351)),"",IFERROR(INDEX(Data_Analitik!$AA$2:$AA$351,MATCH($A89,Data_Analitik!$AE$2:$AE$351,0)),""))</f>
        <v>0.63059703627629071</v>
      </c>
      <c r="H89" s="100">
        <f>IF(OR($A89="",$A89&gt;SUM(Data_Analitik!$AD$2:$AD$351)),"",IFERROR(INDEX(Data_Analitik!$U$2:$U$351,MATCH($A89,Data_Analitik!$AE$2:$AE$351,0)),""))</f>
        <v>0.40000001341104507</v>
      </c>
      <c r="I89" s="33" t="str">
        <f>IF(OR($A89="",$A89&gt;SUM(Data_Analitik!$AD$2:$AD$351)),"",IFERROR(INDEX(Data_Analitik!$AB$2:$AB$351,MATCH($A89,Data_Analitik!$AE$2:$AE$351,0)),""))</f>
        <v>Rusak Berat Dominan</v>
      </c>
    </row>
    <row r="90" spans="1:9" ht="21.95" customHeight="1" x14ac:dyDescent="0.25">
      <c r="A90" s="32">
        <f t="shared" si="1"/>
        <v>77</v>
      </c>
      <c r="B90" s="99" t="str">
        <f>IF(OR($A90="",$A90&gt;SUM(Data_Analitik!$AD$2:$AD$351)),"",IFERROR(INDEX(Data_Analitik!$B$2:$B$351,MATCH($A90,Data_Analitik!$AE$2:$AE$351,0)),""))</f>
        <v>264</v>
      </c>
      <c r="C90" s="101" t="str">
        <f>IF(OR($A90="",$A90&gt;SUM(Data_Analitik!$AD$2:$AD$351)),"",IFERROR(INDEX(Data_Analitik!$C$2:$C$351,MATCH($A90,Data_Analitik!$AE$2:$AE$351,0)),""))</f>
        <v>Loklahung - Malaris</v>
      </c>
      <c r="D90" s="99" t="str">
        <f>IF(OR($A90="",$A90&gt;SUM(Data_Analitik!$AD$2:$AD$351)),"",IFERROR(INDEX(Data_Analitik!$D$2:$D$351,MATCH($A90,Data_Analitik!$AE$2:$AE$351,0)),""))</f>
        <v>Loksado</v>
      </c>
      <c r="E90" s="100">
        <f>IF(OR($A90="",$A90&gt;SUM(Data_Analitik!$AD$2:$AD$351)),"",IFERROR(INDEX(Data_Analitik!$E$2:$E$351,MATCH($A90,Data_Analitik!$AE$2:$AE$351,0)),""))</f>
        <v>0.81</v>
      </c>
      <c r="F90" s="97">
        <f>IF(OR($A90="",$A90&gt;SUM(Data_Analitik!$AD$2:$AD$351)),"",IFERROR(INDEX(Data_Analitik!$Z$2:$Z$351,MATCH($A90,Data_Analitik!$AE$2:$AE$351,0)),""))</f>
        <v>0.74074077017513318</v>
      </c>
      <c r="G90" s="97">
        <f>IF(OR($A90="",$A90&gt;SUM(Data_Analitik!$AD$2:$AD$351)),"",IFERROR(INDEX(Data_Analitik!$AA$2:$AA$351,MATCH($A90,Data_Analitik!$AE$2:$AE$351,0)),""))</f>
        <v>0.65740742893130688</v>
      </c>
      <c r="H90" s="100">
        <f>IF(OR($A90="",$A90&gt;SUM(Data_Analitik!$AD$2:$AD$351)),"",IFERROR(INDEX(Data_Analitik!$U$2:$U$351,MATCH($A90,Data_Analitik!$AE$2:$AE$351,0)),""))</f>
        <v>0.30000001192092896</v>
      </c>
      <c r="I90" s="33" t="str">
        <f>IF(OR($A90="",$A90&gt;SUM(Data_Analitik!$AD$2:$AD$351)),"",IFERROR(INDEX(Data_Analitik!$AB$2:$AB$351,MATCH($A90,Data_Analitik!$AE$2:$AE$351,0)),""))</f>
        <v>Rusak Berat Dominan</v>
      </c>
    </row>
    <row r="91" spans="1:9" ht="21.95" customHeight="1" x14ac:dyDescent="0.25">
      <c r="A91" s="32">
        <f t="shared" si="1"/>
        <v>78</v>
      </c>
      <c r="B91" s="99" t="str">
        <f>IF(OR($A91="",$A91&gt;SUM(Data_Analitik!$AD$2:$AD$351)),"",IFERROR(INDEX(Data_Analitik!$B$2:$B$351,MATCH($A91,Data_Analitik!$AE$2:$AE$351,0)),""))</f>
        <v>043</v>
      </c>
      <c r="C91" s="101" t="str">
        <f>IF(OR($A91="",$A91&gt;SUM(Data_Analitik!$AD$2:$AD$351)),"",IFERROR(INDEX(Data_Analitik!$C$2:$C$351,MATCH($A91,Data_Analitik!$AE$2:$AE$351,0)),""))</f>
        <v>Sp. Empat Lungau - Bangkau</v>
      </c>
      <c r="D91" s="99" t="str">
        <f>IF(OR($A91="",$A91&gt;SUM(Data_Analitik!$AD$2:$AD$351)),"",IFERROR(INDEX(Data_Analitik!$D$2:$D$351,MATCH($A91,Data_Analitik!$AE$2:$AE$351,0)),""))</f>
        <v>Kandangan</v>
      </c>
      <c r="E91" s="100">
        <f>IF(OR($A91="",$A91&gt;SUM(Data_Analitik!$AD$2:$AD$351)),"",IFERROR(INDEX(Data_Analitik!$E$2:$E$351,MATCH($A91,Data_Analitik!$AE$2:$AE$351,0)),""))</f>
        <v>8.1</v>
      </c>
      <c r="F91" s="97">
        <f>IF(OR($A91="",$A91&gt;SUM(Data_Analitik!$AD$2:$AD$351)),"",IFERROR(INDEX(Data_Analitik!$Z$2:$Z$351,MATCH($A91,Data_Analitik!$AE$2:$AE$351,0)),""))</f>
        <v>0.72839507350215205</v>
      </c>
      <c r="G91" s="97">
        <f>IF(OR($A91="",$A91&gt;SUM(Data_Analitik!$AD$2:$AD$351)),"",IFERROR(INDEX(Data_Analitik!$AA$2:$AA$351,MATCH($A91,Data_Analitik!$AE$2:$AE$351,0)),""))</f>
        <v>0.79629630954177288</v>
      </c>
      <c r="H91" s="100">
        <f>IF(OR($A91="",$A91&gt;SUM(Data_Analitik!$AD$2:$AD$351)),"",IFERROR(INDEX(Data_Analitik!$U$2:$U$351,MATCH($A91,Data_Analitik!$AE$2:$AE$351,0)),""))</f>
        <v>5.9000000953674316</v>
      </c>
      <c r="I91" s="33" t="str">
        <f>IF(OR($A91="",$A91&gt;SUM(Data_Analitik!$AD$2:$AD$351)),"",IFERROR(INDEX(Data_Analitik!$AB$2:$AB$351,MATCH($A91,Data_Analitik!$AE$2:$AE$351,0)),""))</f>
        <v>Rusak Berat Dominan</v>
      </c>
    </row>
    <row r="92" spans="1:9" ht="21.95" customHeight="1" x14ac:dyDescent="0.25">
      <c r="A92" s="32">
        <f t="shared" si="1"/>
        <v>79</v>
      </c>
      <c r="B92" s="99" t="str">
        <f>IF(OR($A92="",$A92&gt;SUM(Data_Analitik!$AD$2:$AD$351)),"",IFERROR(INDEX(Data_Analitik!$B$2:$B$351,MATCH($A92,Data_Analitik!$AE$2:$AE$351,0)),""))</f>
        <v>262</v>
      </c>
      <c r="C92" s="101" t="str">
        <f>IF(OR($A92="",$A92&gt;SUM(Data_Analitik!$AD$2:$AD$351)),"",IFERROR(INDEX(Data_Analitik!$C$2:$C$351,MATCH($A92,Data_Analitik!$AE$2:$AE$351,0)),""))</f>
        <v>Jl. Niagara (Ds. Halunuk) - Ayan</v>
      </c>
      <c r="D92" s="99" t="str">
        <f>IF(OR($A92="",$A92&gt;SUM(Data_Analitik!$AD$2:$AD$351)),"",IFERROR(INDEX(Data_Analitik!$D$2:$D$351,MATCH($A92,Data_Analitik!$AE$2:$AE$351,0)),""))</f>
        <v>Loksado</v>
      </c>
      <c r="E92" s="100">
        <f>IF(OR($A92="",$A92&gt;SUM(Data_Analitik!$AD$2:$AD$351)),"",IFERROR(INDEX(Data_Analitik!$E$2:$E$351,MATCH($A92,Data_Analitik!$AE$2:$AE$351,0)),""))</f>
        <v>2.06</v>
      </c>
      <c r="F92" s="97">
        <f>IF(OR($A92="",$A92&gt;SUM(Data_Analitik!$AD$2:$AD$351)),"",IFERROR(INDEX(Data_Analitik!$Z$2:$Z$351,MATCH($A92,Data_Analitik!$AE$2:$AE$351,0)),""))</f>
        <v>0.72815533980582525</v>
      </c>
      <c r="G92" s="97">
        <f>IF(OR($A92="",$A92&gt;SUM(Data_Analitik!$AD$2:$AD$351)),"",IFERROR(INDEX(Data_Analitik!$AA$2:$AA$351,MATCH($A92,Data_Analitik!$AE$2:$AE$351,0)),""))</f>
        <v>0.72815533980582525</v>
      </c>
      <c r="H92" s="100">
        <f>IF(OR($A92="",$A92&gt;SUM(Data_Analitik!$AD$2:$AD$351)),"",IFERROR(INDEX(Data_Analitik!$U$2:$U$351,MATCH($A92,Data_Analitik!$AE$2:$AE$351,0)),""))</f>
        <v>1.5</v>
      </c>
      <c r="I92" s="33" t="str">
        <f>IF(OR($A92="",$A92&gt;SUM(Data_Analitik!$AD$2:$AD$351)),"",IFERROR(INDEX(Data_Analitik!$AB$2:$AB$351,MATCH($A92,Data_Analitik!$AE$2:$AE$351,0)),""))</f>
        <v>Rusak Berat Dominan</v>
      </c>
    </row>
    <row r="93" spans="1:9" ht="21.95" customHeight="1" x14ac:dyDescent="0.25">
      <c r="A93" s="32">
        <f t="shared" si="1"/>
        <v>80</v>
      </c>
      <c r="B93" s="99" t="str">
        <f>IF(OR($A93="",$A93&gt;SUM(Data_Analitik!$AD$2:$AD$351)),"",IFERROR(INDEX(Data_Analitik!$B$2:$B$351,MATCH($A93,Data_Analitik!$AE$2:$AE$351,0)),""))</f>
        <v>097</v>
      </c>
      <c r="C93" s="101" t="str">
        <f>IF(OR($A93="",$A93&gt;SUM(Data_Analitik!$AD$2:$AD$351)),"",IFERROR(INDEX(Data_Analitik!$C$2:$C$351,MATCH($A93,Data_Analitik!$AE$2:$AE$351,0)),""))</f>
        <v>Asam Cangkuk - Telaga Bidadari</v>
      </c>
      <c r="D93" s="99" t="str">
        <f>IF(OR($A93="",$A93&gt;SUM(Data_Analitik!$AD$2:$AD$351)),"",IFERROR(INDEX(Data_Analitik!$D$2:$D$351,MATCH($A93,Data_Analitik!$AE$2:$AE$351,0)),""))</f>
        <v>Sungai Raya</v>
      </c>
      <c r="E93" s="100">
        <f>IF(OR($A93="",$A93&gt;SUM(Data_Analitik!$AD$2:$AD$351)),"",IFERROR(INDEX(Data_Analitik!$E$2:$E$351,MATCH($A93,Data_Analitik!$AE$2:$AE$351,0)),""))</f>
        <v>0.83</v>
      </c>
      <c r="F93" s="97">
        <f>IF(OR($A93="",$A93&gt;SUM(Data_Analitik!$AD$2:$AD$351)),"",IFERROR(INDEX(Data_Analitik!$Z$2:$Z$351,MATCH($A93,Data_Analitik!$AE$2:$AE$351,0)),""))</f>
        <v>0.72289159499019029</v>
      </c>
      <c r="G93" s="97">
        <f>IF(OR($A93="",$A93&gt;SUM(Data_Analitik!$AD$2:$AD$351)),"",IFERROR(INDEX(Data_Analitik!$AA$2:$AA$351,MATCH($A93,Data_Analitik!$AE$2:$AE$351,0)),""))</f>
        <v>0.73192773936652999</v>
      </c>
      <c r="H93" s="100">
        <f>IF(OR($A93="",$A93&gt;SUM(Data_Analitik!$AD$2:$AD$351)),"",IFERROR(INDEX(Data_Analitik!$U$2:$U$351,MATCH($A93,Data_Analitik!$AE$2:$AE$351,0)),""))</f>
        <v>0.60000002384185791</v>
      </c>
      <c r="I93" s="33" t="str">
        <f>IF(OR($A93="",$A93&gt;SUM(Data_Analitik!$AD$2:$AD$351)),"",IFERROR(INDEX(Data_Analitik!$AB$2:$AB$351,MATCH($A93,Data_Analitik!$AE$2:$AE$351,0)),""))</f>
        <v>Rusak Berat Dominan</v>
      </c>
    </row>
    <row r="94" spans="1:9" ht="21.95" customHeight="1" x14ac:dyDescent="0.25">
      <c r="A94" s="32">
        <f t="shared" si="1"/>
        <v>81</v>
      </c>
      <c r="B94" s="99" t="str">
        <f>IF(OR($A94="",$A94&gt;SUM(Data_Analitik!$AD$2:$AD$351)),"",IFERROR(INDEX(Data_Analitik!$B$2:$B$351,MATCH($A94,Data_Analitik!$AE$2:$AE$351,0)),""))</f>
        <v>338</v>
      </c>
      <c r="C94" s="101" t="str">
        <f>IF(OR($A94="",$A94&gt;SUM(Data_Analitik!$AD$2:$AD$351)),"",IFERROR(INDEX(Data_Analitik!$C$2:$C$351,MATCH($A94,Data_Analitik!$AE$2:$AE$351,0)),""))</f>
        <v>Jl. Siang Gantung - Ds. Baru</v>
      </c>
      <c r="D94" s="99" t="str">
        <f>IF(OR($A94="",$A94&gt;SUM(Data_Analitik!$AD$2:$AD$351)),"",IFERROR(INDEX(Data_Analitik!$D$2:$D$351,MATCH($A94,Data_Analitik!$AE$2:$AE$351,0)),""))</f>
        <v>Daha Barat</v>
      </c>
      <c r="E94" s="100">
        <f>IF(OR($A94="",$A94&gt;SUM(Data_Analitik!$AD$2:$AD$351)),"",IFERROR(INDEX(Data_Analitik!$E$2:$E$351,MATCH($A94,Data_Analitik!$AE$2:$AE$351,0)),""))</f>
        <v>6.93</v>
      </c>
      <c r="F94" s="97">
        <f>IF(OR($A94="",$A94&gt;SUM(Data_Analitik!$AD$2:$AD$351)),"",IFERROR(INDEX(Data_Analitik!$Z$2:$Z$351,MATCH($A94,Data_Analitik!$AE$2:$AE$351,0)),""))</f>
        <v>0.72150072150072153</v>
      </c>
      <c r="G94" s="97">
        <f>IF(OR($A94="",$A94&gt;SUM(Data_Analitik!$AD$2:$AD$351)),"",IFERROR(INDEX(Data_Analitik!$AA$2:$AA$351,MATCH($A94,Data_Analitik!$AE$2:$AE$351,0)),""))</f>
        <v>0.75649350322514219</v>
      </c>
      <c r="H94" s="100">
        <f>IF(OR($A94="",$A94&gt;SUM(Data_Analitik!$AD$2:$AD$351)),"",IFERROR(INDEX(Data_Analitik!$U$2:$U$351,MATCH($A94,Data_Analitik!$AE$2:$AE$351,0)),""))</f>
        <v>4.3999999761581421</v>
      </c>
      <c r="I94" s="33" t="str">
        <f>IF(OR($A94="",$A94&gt;SUM(Data_Analitik!$AD$2:$AD$351)),"",IFERROR(INDEX(Data_Analitik!$AB$2:$AB$351,MATCH($A94,Data_Analitik!$AE$2:$AE$351,0)),""))</f>
        <v>Rusak Berat Dominan</v>
      </c>
    </row>
    <row r="95" spans="1:9" ht="21.95" customHeight="1" x14ac:dyDescent="0.25">
      <c r="A95" s="32">
        <f t="shared" si="1"/>
        <v>82</v>
      </c>
      <c r="B95" s="99" t="str">
        <f>IF(OR($A95="",$A95&gt;SUM(Data_Analitik!$AD$2:$AD$351)),"",IFERROR(INDEX(Data_Analitik!$B$2:$B$351,MATCH($A95,Data_Analitik!$AE$2:$AE$351,0)),""))</f>
        <v>140</v>
      </c>
      <c r="C95" s="101" t="str">
        <f>IF(OR($A95="",$A95&gt;SUM(Data_Analitik!$AD$2:$AD$351)),"",IFERROR(INDEX(Data_Analitik!$C$2:$C$351,MATCH($A95,Data_Analitik!$AE$2:$AE$351,0)),""))</f>
        <v>Padang Batung - Batulaki - Malilingin</v>
      </c>
      <c r="D95" s="99" t="str">
        <f>IF(OR($A95="",$A95&gt;SUM(Data_Analitik!$AD$2:$AD$351)),"",IFERROR(INDEX(Data_Analitik!$D$2:$D$351,MATCH($A95,Data_Analitik!$AE$2:$AE$351,0)),""))</f>
        <v>Padang Batung</v>
      </c>
      <c r="E95" s="100">
        <f>IF(OR($A95="",$A95&gt;SUM(Data_Analitik!$AD$2:$AD$351)),"",IFERROR(INDEX(Data_Analitik!$E$2:$E$351,MATCH($A95,Data_Analitik!$AE$2:$AE$351,0)),""))</f>
        <v>8.8800000000000008</v>
      </c>
      <c r="F95" s="97">
        <f>IF(OR($A95="",$A95&gt;SUM(Data_Analitik!$AD$2:$AD$351)),"",IFERROR(INDEX(Data_Analitik!$Z$2:$Z$351,MATCH($A95,Data_Analitik!$AE$2:$AE$351,0)),""))</f>
        <v>0.72072071803582671</v>
      </c>
      <c r="G95" s="97">
        <f>IF(OR($A95="",$A95&gt;SUM(Data_Analitik!$AD$2:$AD$351)),"",IFERROR(INDEX(Data_Analitik!$AA$2:$AA$351,MATCH($A95,Data_Analitik!$AE$2:$AE$351,0)),""))</f>
        <v>0.70495495388099727</v>
      </c>
      <c r="H95" s="100">
        <f>IF(OR($A95="",$A95&gt;SUM(Data_Analitik!$AD$2:$AD$351)),"",IFERROR(INDEX(Data_Analitik!$U$2:$U$351,MATCH($A95,Data_Analitik!$AE$2:$AE$351,0)),""))</f>
        <v>4.5</v>
      </c>
      <c r="I95" s="33" t="str">
        <f>IF(OR($A95="",$A95&gt;SUM(Data_Analitik!$AD$2:$AD$351)),"",IFERROR(INDEX(Data_Analitik!$AB$2:$AB$351,MATCH($A95,Data_Analitik!$AE$2:$AE$351,0)),""))</f>
        <v>Rusak Berat Dominan</v>
      </c>
    </row>
    <row r="96" spans="1:9" ht="21.95" customHeight="1" x14ac:dyDescent="0.25">
      <c r="A96" s="32">
        <f t="shared" si="1"/>
        <v>83</v>
      </c>
      <c r="B96" s="99" t="str">
        <f>IF(OR($A96="",$A96&gt;SUM(Data_Analitik!$AD$2:$AD$351)),"",IFERROR(INDEX(Data_Analitik!$B$2:$B$351,MATCH($A96,Data_Analitik!$AE$2:$AE$351,0)),""))</f>
        <v>174</v>
      </c>
      <c r="C96" s="101" t="str">
        <f>IF(OR($A96="",$A96&gt;SUM(Data_Analitik!$AD$2:$AD$351)),"",IFERROR(INDEX(Data_Analitik!$C$2:$C$351,MATCH($A96,Data_Analitik!$AE$2:$AE$351,0)),""))</f>
        <v>Bamban Selatan - Tanggang - Panggang Hijau</v>
      </c>
      <c r="D96" s="99" t="str">
        <f>IF(OR($A96="",$A96&gt;SUM(Data_Analitik!$AD$2:$AD$351)),"",IFERROR(INDEX(Data_Analitik!$D$2:$D$351,MATCH($A96,Data_Analitik!$AE$2:$AE$351,0)),""))</f>
        <v>Angkinang</v>
      </c>
      <c r="E96" s="100">
        <f>IF(OR($A96="",$A96&gt;SUM(Data_Analitik!$AD$2:$AD$351)),"",IFERROR(INDEX(Data_Analitik!$E$2:$E$351,MATCH($A96,Data_Analitik!$AE$2:$AE$351,0)),""))</f>
        <v>3.58</v>
      </c>
      <c r="F96" s="97">
        <f>IF(OR($A96="",$A96&gt;SUM(Data_Analitik!$AD$2:$AD$351)),"",IFERROR(INDEX(Data_Analitik!$Z$2:$Z$351,MATCH($A96,Data_Analitik!$AE$2:$AE$351,0)),""))</f>
        <v>0.72067039680547551</v>
      </c>
      <c r="G96" s="97">
        <f>IF(OR($A96="",$A96&gt;SUM(Data_Analitik!$AD$2:$AD$351)),"",IFERROR(INDEX(Data_Analitik!$AA$2:$AA$351,MATCH($A96,Data_Analitik!$AE$2:$AE$351,0)),""))</f>
        <v>0.77932961451607707</v>
      </c>
      <c r="H96" s="100">
        <f>IF(OR($A96="",$A96&gt;SUM(Data_Analitik!$AD$2:$AD$351)),"",IFERROR(INDEX(Data_Analitik!$U$2:$U$351,MATCH($A96,Data_Analitik!$AE$2:$AE$351,0)),""))</f>
        <v>2.4800000190734863</v>
      </c>
      <c r="I96" s="33" t="str">
        <f>IF(OR($A96="",$A96&gt;SUM(Data_Analitik!$AD$2:$AD$351)),"",IFERROR(INDEX(Data_Analitik!$AB$2:$AB$351,MATCH($A96,Data_Analitik!$AE$2:$AE$351,0)),""))</f>
        <v>Rusak Berat Dominan</v>
      </c>
    </row>
    <row r="97" spans="1:9" ht="21.95" customHeight="1" x14ac:dyDescent="0.25">
      <c r="A97" s="32">
        <f t="shared" si="1"/>
        <v>84</v>
      </c>
      <c r="B97" s="99" t="str">
        <f>IF(OR($A97="",$A97&gt;SUM(Data_Analitik!$AD$2:$AD$351)),"",IFERROR(INDEX(Data_Analitik!$B$2:$B$351,MATCH($A97,Data_Analitik!$AE$2:$AE$351,0)),""))</f>
        <v>128</v>
      </c>
      <c r="C97" s="101" t="str">
        <f>IF(OR($A97="",$A97&gt;SUM(Data_Analitik!$AD$2:$AD$351)),"",IFERROR(INDEX(Data_Analitik!$C$2:$C$351,MATCH($A97,Data_Analitik!$AE$2:$AE$351,0)),""))</f>
        <v>Mungkur Galah - Lokpaikat</v>
      </c>
      <c r="D97" s="99" t="str">
        <f>IF(OR($A97="",$A97&gt;SUM(Data_Analitik!$AD$2:$AD$351)),"",IFERROR(INDEX(Data_Analitik!$D$2:$D$351,MATCH($A97,Data_Analitik!$AE$2:$AE$351,0)),""))</f>
        <v>Sungai Raya</v>
      </c>
      <c r="E97" s="100">
        <f>IF(OR($A97="",$A97&gt;SUM(Data_Analitik!$AD$2:$AD$351)),"",IFERROR(INDEX(Data_Analitik!$E$2:$E$351,MATCH($A97,Data_Analitik!$AE$2:$AE$351,0)),""))</f>
        <v>0.71</v>
      </c>
      <c r="F97" s="97">
        <f>IF(OR($A97="",$A97&gt;SUM(Data_Analitik!$AD$2:$AD$351)),"",IFERROR(INDEX(Data_Analitik!$Z$2:$Z$351,MATCH($A97,Data_Analitik!$AE$2:$AE$351,0)),""))</f>
        <v>0.71830984572289702</v>
      </c>
      <c r="G97" s="97">
        <f>IF(OR($A97="",$A97&gt;SUM(Data_Analitik!$AD$2:$AD$351)),"",IFERROR(INDEX(Data_Analitik!$AA$2:$AA$351,MATCH($A97,Data_Analitik!$AE$2:$AE$351,0)),""))</f>
        <v>0.50140844369438331</v>
      </c>
      <c r="H97" s="100">
        <f>IF(OR($A97="",$A97&gt;SUM(Data_Analitik!$AD$2:$AD$351)),"",IFERROR(INDEX(Data_Analitik!$U$2:$U$351,MATCH($A97,Data_Analitik!$AE$2:$AE$351,0)),""))</f>
        <v>0</v>
      </c>
      <c r="I97" s="33" t="str">
        <f>IF(OR($A97="",$A97&gt;SUM(Data_Analitik!$AD$2:$AD$351)),"",IFERROR(INDEX(Data_Analitik!$AB$2:$AB$351,MATCH($A97,Data_Analitik!$AE$2:$AE$351,0)),""))</f>
        <v>Tidak Mantap Tinggi</v>
      </c>
    </row>
    <row r="98" spans="1:9" ht="21.95" customHeight="1" x14ac:dyDescent="0.25">
      <c r="A98" s="32">
        <f t="shared" si="1"/>
        <v>85</v>
      </c>
      <c r="B98" s="99" t="str">
        <f>IF(OR($A98="",$A98&gt;SUM(Data_Analitik!$AD$2:$AD$351)),"",IFERROR(INDEX(Data_Analitik!$B$2:$B$351,MATCH($A98,Data_Analitik!$AE$2:$AE$351,0)),""))</f>
        <v>073</v>
      </c>
      <c r="C98" s="101" t="str">
        <f>IF(OR($A98="",$A98&gt;SUM(Data_Analitik!$AD$2:$AD$351)),"",IFERROR(INDEX(Data_Analitik!$C$2:$C$351,MATCH($A98,Data_Analitik!$AE$2:$AE$351,0)),""))</f>
        <v>Jl. Tembok Baru - Ds. Baluti</v>
      </c>
      <c r="D98" s="99" t="str">
        <f>IF(OR($A98="",$A98&gt;SUM(Data_Analitik!$AD$2:$AD$351)),"",IFERROR(INDEX(Data_Analitik!$D$2:$D$351,MATCH($A98,Data_Analitik!$AE$2:$AE$351,0)),""))</f>
        <v>Kandangan</v>
      </c>
      <c r="E98" s="100">
        <f>IF(OR($A98="",$A98&gt;SUM(Data_Analitik!$AD$2:$AD$351)),"",IFERROR(INDEX(Data_Analitik!$E$2:$E$351,MATCH($A98,Data_Analitik!$AE$2:$AE$351,0)),""))</f>
        <v>0.14000000000000001</v>
      </c>
      <c r="F98" s="97">
        <f>IF(OR($A98="",$A98&gt;SUM(Data_Analitik!$AD$2:$AD$351)),"",IFERROR(INDEX(Data_Analitik!$Z$2:$Z$351,MATCH($A98,Data_Analitik!$AE$2:$AE$351,0)),""))</f>
        <v>0.71428572492940079</v>
      </c>
      <c r="G98" s="97">
        <f>IF(OR($A98="",$A98&gt;SUM(Data_Analitik!$AD$2:$AD$351)),"",IFERROR(INDEX(Data_Analitik!$AA$2:$AA$351,MATCH($A98,Data_Analitik!$AE$2:$AE$351,0)),""))</f>
        <v>0.50000000478965889</v>
      </c>
      <c r="H98" s="100">
        <f>IF(OR($A98="",$A98&gt;SUM(Data_Analitik!$AD$2:$AD$351)),"",IFERROR(INDEX(Data_Analitik!$U$2:$U$351,MATCH($A98,Data_Analitik!$AE$2:$AE$351,0)),""))</f>
        <v>0</v>
      </c>
      <c r="I98" s="33" t="str">
        <f>IF(OR($A98="",$A98&gt;SUM(Data_Analitik!$AD$2:$AD$351)),"",IFERROR(INDEX(Data_Analitik!$AB$2:$AB$351,MATCH($A98,Data_Analitik!$AE$2:$AE$351,0)),""))</f>
        <v>Tidak Mantap Tinggi</v>
      </c>
    </row>
    <row r="99" spans="1:9" ht="21.95" customHeight="1" x14ac:dyDescent="0.25">
      <c r="A99" s="32">
        <f t="shared" si="1"/>
        <v>86</v>
      </c>
      <c r="B99" s="99" t="str">
        <f>IF(OR($A99="",$A99&gt;SUM(Data_Analitik!$AD$2:$AD$351)),"",IFERROR(INDEX(Data_Analitik!$B$2:$B$351,MATCH($A99,Data_Analitik!$AE$2:$AE$351,0)),""))</f>
        <v>057</v>
      </c>
      <c r="C99" s="101" t="str">
        <f>IF(OR($A99="",$A99&gt;SUM(Data_Analitik!$AD$2:$AD$351)),"",IFERROR(INDEX(Data_Analitik!$C$2:$C$351,MATCH($A99,Data_Analitik!$AE$2:$AE$351,0)),""))</f>
        <v>Jl. Papagaran/Palangsatan</v>
      </c>
      <c r="D99" s="99" t="str">
        <f>IF(OR($A99="",$A99&gt;SUM(Data_Analitik!$AD$2:$AD$351)),"",IFERROR(INDEX(Data_Analitik!$D$2:$D$351,MATCH($A99,Data_Analitik!$AE$2:$AE$351,0)),""))</f>
        <v>Kandangan - Simpur</v>
      </c>
      <c r="E99" s="100">
        <f>IF(OR($A99="",$A99&gt;SUM(Data_Analitik!$AD$2:$AD$351)),"",IFERROR(INDEX(Data_Analitik!$E$2:$E$351,MATCH($A99,Data_Analitik!$AE$2:$AE$351,0)),""))</f>
        <v>1</v>
      </c>
      <c r="F99" s="97">
        <f>IF(OR($A99="",$A99&gt;SUM(Data_Analitik!$AD$2:$AD$351)),"",IFERROR(INDEX(Data_Analitik!$Z$2:$Z$351,MATCH($A99,Data_Analitik!$AE$2:$AE$351,0)),""))</f>
        <v>0.69999998807907104</v>
      </c>
      <c r="G99" s="97">
        <f>IF(OR($A99="",$A99&gt;SUM(Data_Analitik!$AD$2:$AD$351)),"",IFERROR(INDEX(Data_Analitik!$AA$2:$AA$351,MATCH($A99,Data_Analitik!$AE$2:$AE$351,0)),""))</f>
        <v>0.49499999582767484</v>
      </c>
      <c r="H99" s="100">
        <f>IF(OR($A99="",$A99&gt;SUM(Data_Analitik!$AD$2:$AD$351)),"",IFERROR(INDEX(Data_Analitik!$U$2:$U$351,MATCH($A99,Data_Analitik!$AE$2:$AE$351,0)),""))</f>
        <v>0</v>
      </c>
      <c r="I99" s="33" t="str">
        <f>IF(OR($A99="",$A99&gt;SUM(Data_Analitik!$AD$2:$AD$351)),"",IFERROR(INDEX(Data_Analitik!$AB$2:$AB$351,MATCH($A99,Data_Analitik!$AE$2:$AE$351,0)),""))</f>
        <v>Tidak Mantap Tinggi</v>
      </c>
    </row>
    <row r="100" spans="1:9" ht="21.95" customHeight="1" x14ac:dyDescent="0.25">
      <c r="A100" s="32">
        <f t="shared" si="1"/>
        <v>87</v>
      </c>
      <c r="B100" s="99" t="str">
        <f>IF(OR($A100="",$A100&gt;SUM(Data_Analitik!$AD$2:$AD$351)),"",IFERROR(INDEX(Data_Analitik!$B$2:$B$351,MATCH($A100,Data_Analitik!$AE$2:$AE$351,0)),""))</f>
        <v>108</v>
      </c>
      <c r="C100" s="101" t="str">
        <f>IF(OR($A100="",$A100&gt;SUM(Data_Analitik!$AD$2:$AD$351)),"",IFERROR(INDEX(Data_Analitik!$C$2:$C$351,MATCH($A100,Data_Analitik!$AE$2:$AE$351,0)),""))</f>
        <v>Tanah Bangkang Menuju Balai Benih Ikan</v>
      </c>
      <c r="D100" s="99" t="str">
        <f>IF(OR($A100="",$A100&gt;SUM(Data_Analitik!$AD$2:$AD$351)),"",IFERROR(INDEX(Data_Analitik!$D$2:$D$351,MATCH($A100,Data_Analitik!$AE$2:$AE$351,0)),""))</f>
        <v>Sungai Raya</v>
      </c>
      <c r="E100" s="100">
        <f>IF(OR($A100="",$A100&gt;SUM(Data_Analitik!$AD$2:$AD$351)),"",IFERROR(INDEX(Data_Analitik!$E$2:$E$351,MATCH($A100,Data_Analitik!$AE$2:$AE$351,0)),""))</f>
        <v>0.66</v>
      </c>
      <c r="F100" s="97">
        <f>IF(OR($A100="",$A100&gt;SUM(Data_Analitik!$AD$2:$AD$351)),"",IFERROR(INDEX(Data_Analitik!$Z$2:$Z$351,MATCH($A100,Data_Analitik!$AE$2:$AE$351,0)),""))</f>
        <v>0.69696972090186493</v>
      </c>
      <c r="G100" s="97">
        <f>IF(OR($A100="",$A100&gt;SUM(Data_Analitik!$AD$2:$AD$351)),"",IFERROR(INDEX(Data_Analitik!$AA$2:$AA$351,MATCH($A100,Data_Analitik!$AE$2:$AE$351,0)),""))</f>
        <v>0.71212123627915513</v>
      </c>
      <c r="H100" s="100">
        <f>IF(OR($A100="",$A100&gt;SUM(Data_Analitik!$AD$2:$AD$351)),"",IFERROR(INDEX(Data_Analitik!$U$2:$U$351,MATCH($A100,Data_Analitik!$AE$2:$AE$351,0)),""))</f>
        <v>0.36000001430511475</v>
      </c>
      <c r="I100" s="33" t="str">
        <f>IF(OR($A100="",$A100&gt;SUM(Data_Analitik!$AD$2:$AD$351)),"",IFERROR(INDEX(Data_Analitik!$AB$2:$AB$351,MATCH($A100,Data_Analitik!$AE$2:$AE$351,0)),""))</f>
        <v>Rusak Berat Dominan</v>
      </c>
    </row>
    <row r="101" spans="1:9" ht="21.95" customHeight="1" x14ac:dyDescent="0.25">
      <c r="A101" s="32">
        <f t="shared" si="1"/>
        <v>88</v>
      </c>
      <c r="B101" s="99" t="str">
        <f>IF(OR($A101="",$A101&gt;SUM(Data_Analitik!$AD$2:$AD$351)),"",IFERROR(INDEX(Data_Analitik!$B$2:$B$351,MATCH($A101,Data_Analitik!$AE$2:$AE$351,0)),""))</f>
        <v>272</v>
      </c>
      <c r="C101" s="101" t="str">
        <f>IF(OR($A101="",$A101&gt;SUM(Data_Analitik!$AD$2:$AD$351)),"",IFERROR(INDEX(Data_Analitik!$C$2:$C$351,MATCH($A101,Data_Analitik!$AE$2:$AE$351,0)),""))</f>
        <v>Tanuhi - Hulu Banyu</v>
      </c>
      <c r="D101" s="99" t="str">
        <f>IF(OR($A101="",$A101&gt;SUM(Data_Analitik!$AD$2:$AD$351)),"",IFERROR(INDEX(Data_Analitik!$D$2:$D$351,MATCH($A101,Data_Analitik!$AE$2:$AE$351,0)),""))</f>
        <v>Loksado</v>
      </c>
      <c r="E101" s="100">
        <f>IF(OR($A101="",$A101&gt;SUM(Data_Analitik!$AD$2:$AD$351)),"",IFERROR(INDEX(Data_Analitik!$E$2:$E$351,MATCH($A101,Data_Analitik!$AE$2:$AE$351,0)),""))</f>
        <v>0.66</v>
      </c>
      <c r="F101" s="97">
        <f>IF(OR($A101="",$A101&gt;SUM(Data_Analitik!$AD$2:$AD$351)),"",IFERROR(INDEX(Data_Analitik!$Z$2:$Z$351,MATCH($A101,Data_Analitik!$AE$2:$AE$351,0)),""))</f>
        <v>0.69696970396872715</v>
      </c>
      <c r="G101" s="97">
        <f>IF(OR($A101="",$A101&gt;SUM(Data_Analitik!$AD$2:$AD$351)),"",IFERROR(INDEX(Data_Analitik!$AA$2:$AA$351,MATCH($A101,Data_Analitik!$AE$2:$AE$351,0)),""))</f>
        <v>0.53030303481853358</v>
      </c>
      <c r="H101" s="100">
        <f>IF(OR($A101="",$A101&gt;SUM(Data_Analitik!$AD$2:$AD$351)),"",IFERROR(INDEX(Data_Analitik!$U$2:$U$351,MATCH($A101,Data_Analitik!$AE$2:$AE$351,0)),""))</f>
        <v>5.9999998658895493E-2</v>
      </c>
      <c r="I101" s="33" t="str">
        <f>IF(OR($A101="",$A101&gt;SUM(Data_Analitik!$AD$2:$AD$351)),"",IFERROR(INDEX(Data_Analitik!$AB$2:$AB$351,MATCH($A101,Data_Analitik!$AE$2:$AE$351,0)),""))</f>
        <v>Tidak Mantap Tinggi</v>
      </c>
    </row>
    <row r="102" spans="1:9" ht="21.95" customHeight="1" x14ac:dyDescent="0.25">
      <c r="A102" s="32">
        <f t="shared" si="1"/>
        <v>89</v>
      </c>
      <c r="B102" s="99" t="str">
        <f>IF(OR($A102="",$A102&gt;SUM(Data_Analitik!$AD$2:$AD$351)),"",IFERROR(INDEX(Data_Analitik!$B$2:$B$351,MATCH($A102,Data_Analitik!$AE$2:$AE$351,0)),""))</f>
        <v>281</v>
      </c>
      <c r="C102" s="101" t="str">
        <f>IF(OR($A102="",$A102&gt;SUM(Data_Analitik!$AD$2:$AD$351)),"",IFERROR(INDEX(Data_Analitik!$C$2:$C$351,MATCH($A102,Data_Analitik!$AE$2:$AE$351,0)),""))</f>
        <v>Jl. Tanginau - Balai Haruyan</v>
      </c>
      <c r="D102" s="99" t="str">
        <f>IF(OR($A102="",$A102&gt;SUM(Data_Analitik!$AD$2:$AD$351)),"",IFERROR(INDEX(Data_Analitik!$D$2:$D$351,MATCH($A102,Data_Analitik!$AE$2:$AE$351,0)),""))</f>
        <v>Loksado</v>
      </c>
      <c r="E102" s="100">
        <f>IF(OR($A102="",$A102&gt;SUM(Data_Analitik!$AD$2:$AD$351)),"",IFERROR(INDEX(Data_Analitik!$E$2:$E$351,MATCH($A102,Data_Analitik!$AE$2:$AE$351,0)),""))</f>
        <v>1.1599999999999999</v>
      </c>
      <c r="F102" s="97">
        <f>IF(OR($A102="",$A102&gt;SUM(Data_Analitik!$AD$2:$AD$351)),"",IFERROR(INDEX(Data_Analitik!$Z$2:$Z$351,MATCH($A102,Data_Analitik!$AE$2:$AE$351,0)),""))</f>
        <v>0.689655182690456</v>
      </c>
      <c r="G102" s="97">
        <f>IF(OR($A102="",$A102&gt;SUM(Data_Analitik!$AD$2:$AD$351)),"",IFERROR(INDEX(Data_Analitik!$AA$2:$AA$351,MATCH($A102,Data_Analitik!$AE$2:$AE$351,0)),""))</f>
        <v>0.49137931959382419</v>
      </c>
      <c r="H102" s="100">
        <f>IF(OR($A102="",$A102&gt;SUM(Data_Analitik!$AD$2:$AD$351)),"",IFERROR(INDEX(Data_Analitik!$U$2:$U$351,MATCH($A102,Data_Analitik!$AE$2:$AE$351,0)),""))</f>
        <v>0</v>
      </c>
      <c r="I102" s="33" t="str">
        <f>IF(OR($A102="",$A102&gt;SUM(Data_Analitik!$AD$2:$AD$351)),"",IFERROR(INDEX(Data_Analitik!$AB$2:$AB$351,MATCH($A102,Data_Analitik!$AE$2:$AE$351,0)),""))</f>
        <v>Tidak Mantap Tinggi</v>
      </c>
    </row>
    <row r="103" spans="1:9" ht="21.95" customHeight="1" x14ac:dyDescent="0.25">
      <c r="A103" s="32">
        <f t="shared" si="1"/>
        <v>90</v>
      </c>
      <c r="B103" s="99" t="str">
        <f>IF(OR($A103="",$A103&gt;SUM(Data_Analitik!$AD$2:$AD$351)),"",IFERROR(INDEX(Data_Analitik!$B$2:$B$351,MATCH($A103,Data_Analitik!$AE$2:$AE$351,0)),""))</f>
        <v/>
      </c>
      <c r="C103" s="101" t="str">
        <f>IF(OR($A103="",$A103&gt;SUM(Data_Analitik!$AD$2:$AD$351)),"",IFERROR(INDEX(Data_Analitik!$C$2:$C$351,MATCH($A103,Data_Analitik!$AE$2:$AE$351,0)),""))</f>
        <v/>
      </c>
      <c r="D103" s="99" t="str">
        <f>IF(OR($A103="",$A103&gt;SUM(Data_Analitik!$AD$2:$AD$351)),"",IFERROR(INDEX(Data_Analitik!$D$2:$D$351,MATCH($A103,Data_Analitik!$AE$2:$AE$351,0)),""))</f>
        <v/>
      </c>
      <c r="E103" s="100" t="str">
        <f>IF(OR($A103="",$A103&gt;SUM(Data_Analitik!$AD$2:$AD$351)),"",IFERROR(INDEX(Data_Analitik!$E$2:$E$351,MATCH($A103,Data_Analitik!$AE$2:$AE$351,0)),""))</f>
        <v/>
      </c>
      <c r="F103" s="97" t="str">
        <f>IF(OR($A103="",$A103&gt;SUM(Data_Analitik!$AD$2:$AD$351)),"",IFERROR(INDEX(Data_Analitik!$Z$2:$Z$351,MATCH($A103,Data_Analitik!$AE$2:$AE$351,0)),""))</f>
        <v/>
      </c>
      <c r="G103" s="97" t="str">
        <f>IF(OR($A103="",$A103&gt;SUM(Data_Analitik!$AD$2:$AD$351)),"",IFERROR(INDEX(Data_Analitik!$AA$2:$AA$351,MATCH($A103,Data_Analitik!$AE$2:$AE$351,0)),""))</f>
        <v/>
      </c>
      <c r="H103" s="100" t="str">
        <f>IF(OR($A103="",$A103&gt;SUM(Data_Analitik!$AD$2:$AD$351)),"",IFERROR(INDEX(Data_Analitik!$U$2:$U$351,MATCH($A103,Data_Analitik!$AE$2:$AE$351,0)),""))</f>
        <v/>
      </c>
      <c r="I103" s="33" t="str">
        <f>IF(OR($A103="",$A103&gt;SUM(Data_Analitik!$AD$2:$AD$351)),"",IFERROR(INDEX(Data_Analitik!$AB$2:$AB$351,MATCH($A103,Data_Analitik!$AE$2:$AE$351,0)),""))</f>
        <v/>
      </c>
    </row>
    <row r="104" spans="1:9" ht="21.95" customHeight="1" x14ac:dyDescent="0.25">
      <c r="A104" s="32">
        <f t="shared" si="1"/>
        <v>91</v>
      </c>
      <c r="B104" s="99" t="str">
        <f>IF(OR($A104="",$A104&gt;SUM(Data_Analitik!$AD$2:$AD$351)),"",IFERROR(INDEX(Data_Analitik!$B$2:$B$351,MATCH($A104,Data_Analitik!$AE$2:$AE$351,0)),""))</f>
        <v>083</v>
      </c>
      <c r="C104" s="101" t="str">
        <f>IF(OR($A104="",$A104&gt;SUM(Data_Analitik!$AD$2:$AD$351)),"",IFERROR(INDEX(Data_Analitik!$C$2:$C$351,MATCH($A104,Data_Analitik!$AE$2:$AE$351,0)),""))</f>
        <v>Jl. Palajau - Ds. Baluti</v>
      </c>
      <c r="D104" s="99" t="str">
        <f>IF(OR($A104="",$A104&gt;SUM(Data_Analitik!$AD$2:$AD$351)),"",IFERROR(INDEX(Data_Analitik!$D$2:$D$351,MATCH($A104,Data_Analitik!$AE$2:$AE$351,0)),""))</f>
        <v>Kandangan</v>
      </c>
      <c r="E104" s="100">
        <f>IF(OR($A104="",$A104&gt;SUM(Data_Analitik!$AD$2:$AD$351)),"",IFERROR(INDEX(Data_Analitik!$E$2:$E$351,MATCH($A104,Data_Analitik!$AE$2:$AE$351,0)),""))</f>
        <v>1.28</v>
      </c>
      <c r="F104" s="97">
        <f>IF(OR($A104="",$A104&gt;SUM(Data_Analitik!$AD$2:$AD$351)),"",IFERROR(INDEX(Data_Analitik!$Z$2:$Z$351,MATCH($A104,Data_Analitik!$AE$2:$AE$351,0)),""))</f>
        <v>0.6874999962747097</v>
      </c>
      <c r="G104" s="97">
        <f>IF(OR($A104="",$A104&gt;SUM(Data_Analitik!$AD$2:$AD$351)),"",IFERROR(INDEX(Data_Analitik!$AA$2:$AA$351,MATCH($A104,Data_Analitik!$AE$2:$AE$351,0)),""))</f>
        <v>0.6874999962747097</v>
      </c>
      <c r="H104" s="100">
        <f>IF(OR($A104="",$A104&gt;SUM(Data_Analitik!$AD$2:$AD$351)),"",IFERROR(INDEX(Data_Analitik!$U$2:$U$351,MATCH($A104,Data_Analitik!$AE$2:$AE$351,0)),""))</f>
        <v>0.87999999523162842</v>
      </c>
      <c r="I104" s="33" t="str">
        <f>IF(OR($A104="",$A104&gt;SUM(Data_Analitik!$AD$2:$AD$351)),"",IFERROR(INDEX(Data_Analitik!$AB$2:$AB$351,MATCH($A104,Data_Analitik!$AE$2:$AE$351,0)),""))</f>
        <v>Rusak Berat Dominan</v>
      </c>
    </row>
    <row r="105" spans="1:9" ht="21.95" customHeight="1" x14ac:dyDescent="0.25">
      <c r="A105" s="32">
        <f t="shared" si="1"/>
        <v>92</v>
      </c>
      <c r="B105" s="99" t="str">
        <f>IF(OR($A105="",$A105&gt;SUM(Data_Analitik!$AD$2:$AD$351)),"",IFERROR(INDEX(Data_Analitik!$B$2:$B$351,MATCH($A105,Data_Analitik!$AE$2:$AE$351,0)),""))</f>
        <v>150</v>
      </c>
      <c r="C105" s="101" t="str">
        <f>IF(OR($A105="",$A105&gt;SUM(Data_Analitik!$AD$2:$AD$351)),"",IFERROR(INDEX(Data_Analitik!$C$2:$C$351,MATCH($A105,Data_Analitik!$AE$2:$AE$351,0)),""))</f>
        <v>Sp.3 Bukuanin - Riam Talo</v>
      </c>
      <c r="D105" s="99" t="str">
        <f>IF(OR($A105="",$A105&gt;SUM(Data_Analitik!$AD$2:$AD$351)),"",IFERROR(INDEX(Data_Analitik!$D$2:$D$351,MATCH($A105,Data_Analitik!$AE$2:$AE$351,0)),""))</f>
        <v>Padang Batung - Telaga Langsat</v>
      </c>
      <c r="E105" s="100">
        <f>IF(OR($A105="",$A105&gt;SUM(Data_Analitik!$AD$2:$AD$351)),"",IFERROR(INDEX(Data_Analitik!$E$2:$E$351,MATCH($A105,Data_Analitik!$AE$2:$AE$351,0)),""))</f>
        <v>3.12</v>
      </c>
      <c r="F105" s="97">
        <f>IF(OR($A105="",$A105&gt;SUM(Data_Analitik!$AD$2:$AD$351)),"",IFERROR(INDEX(Data_Analitik!$Z$2:$Z$351,MATCH($A105,Data_Analitik!$AE$2:$AE$351,0)),""))</f>
        <v>0.67948719056753004</v>
      </c>
      <c r="G105" s="97">
        <f>IF(OR($A105="",$A105&gt;SUM(Data_Analitik!$AD$2:$AD$351)),"",IFERROR(INDEX(Data_Analitik!$AA$2:$AA$351,MATCH($A105,Data_Analitik!$AE$2:$AE$351,0)),""))</f>
        <v>0.64166667560736346</v>
      </c>
      <c r="H105" s="100">
        <f>IF(OR($A105="",$A105&gt;SUM(Data_Analitik!$AD$2:$AD$351)),"",IFERROR(INDEX(Data_Analitik!$U$2:$U$351,MATCH($A105,Data_Analitik!$AE$2:$AE$351,0)),""))</f>
        <v>1.2000000178813934</v>
      </c>
      <c r="I105" s="33" t="str">
        <f>IF(OR($A105="",$A105&gt;SUM(Data_Analitik!$AD$2:$AD$351)),"",IFERROR(INDEX(Data_Analitik!$AB$2:$AB$351,MATCH($A105,Data_Analitik!$AE$2:$AE$351,0)),""))</f>
        <v>Rusak Berat Dominan</v>
      </c>
    </row>
    <row r="106" spans="1:9" ht="21.95" customHeight="1" x14ac:dyDescent="0.25">
      <c r="A106" s="32">
        <f t="shared" si="1"/>
        <v>93</v>
      </c>
      <c r="B106" s="99" t="str">
        <f>IF(OR($A106="",$A106&gt;SUM(Data_Analitik!$AD$2:$AD$351)),"",IFERROR(INDEX(Data_Analitik!$B$2:$B$351,MATCH($A106,Data_Analitik!$AE$2:$AE$351,0)),""))</f>
        <v>046</v>
      </c>
      <c r="C106" s="101" t="str">
        <f>IF(OR($A106="",$A106&gt;SUM(Data_Analitik!$AD$2:$AD$351)),"",IFERROR(INDEX(Data_Analitik!$C$2:$C$351,MATCH($A106,Data_Analitik!$AE$2:$AE$351,0)),""))</f>
        <v>Bariang - Getek</v>
      </c>
      <c r="D106" s="99" t="str">
        <f>IF(OR($A106="",$A106&gt;SUM(Data_Analitik!$AD$2:$AD$351)),"",IFERROR(INDEX(Data_Analitik!$D$2:$D$351,MATCH($A106,Data_Analitik!$AE$2:$AE$351,0)),""))</f>
        <v>Kandangan</v>
      </c>
      <c r="E106" s="100">
        <f>IF(OR($A106="",$A106&gt;SUM(Data_Analitik!$AD$2:$AD$351)),"",IFERROR(INDEX(Data_Analitik!$E$2:$E$351,MATCH($A106,Data_Analitik!$AE$2:$AE$351,0)),""))</f>
        <v>1.24</v>
      </c>
      <c r="F106" s="97">
        <f>IF(OR($A106="",$A106&gt;SUM(Data_Analitik!$AD$2:$AD$351)),"",IFERROR(INDEX(Data_Analitik!$Z$2:$Z$351,MATCH($A106,Data_Analitik!$AE$2:$AE$351,0)),""))</f>
        <v>0.67741933368867446</v>
      </c>
      <c r="G106" s="97">
        <f>IF(OR($A106="",$A106&gt;SUM(Data_Analitik!$AD$2:$AD$351)),"",IFERROR(INDEX(Data_Analitik!$AA$2:$AA$351,MATCH($A106,Data_Analitik!$AE$2:$AE$351,0)),""))</f>
        <v>0.48709676270523378</v>
      </c>
      <c r="H106" s="100">
        <f>IF(OR($A106="",$A106&gt;SUM(Data_Analitik!$AD$2:$AD$351)),"",IFERROR(INDEX(Data_Analitik!$U$2:$U$351,MATCH($A106,Data_Analitik!$AE$2:$AE$351,0)),""))</f>
        <v>0</v>
      </c>
      <c r="I106" s="33" t="str">
        <f>IF(OR($A106="",$A106&gt;SUM(Data_Analitik!$AD$2:$AD$351)),"",IFERROR(INDEX(Data_Analitik!$AB$2:$AB$351,MATCH($A106,Data_Analitik!$AE$2:$AE$351,0)),""))</f>
        <v>Tidak Mantap Tinggi</v>
      </c>
    </row>
    <row r="107" spans="1:9" ht="21.95" customHeight="1" x14ac:dyDescent="0.25">
      <c r="A107" s="32">
        <f t="shared" si="1"/>
        <v>94</v>
      </c>
      <c r="B107" s="99" t="str">
        <f>IF(OR($A107="",$A107&gt;SUM(Data_Analitik!$AD$2:$AD$351)),"",IFERROR(INDEX(Data_Analitik!$B$2:$B$351,MATCH($A107,Data_Analitik!$AE$2:$AE$351,0)),""))</f>
        <v>340</v>
      </c>
      <c r="C107" s="101" t="str">
        <f>IF(OR($A107="",$A107&gt;SUM(Data_Analitik!$AD$2:$AD$351)),"",IFERROR(INDEX(Data_Analitik!$C$2:$C$351,MATCH($A107,Data_Analitik!$AE$2:$AE$351,0)),""))</f>
        <v>Jl. Bajayau - Ds. Bajayau Tengah</v>
      </c>
      <c r="D107" s="99" t="str">
        <f>IF(OR($A107="",$A107&gt;SUM(Data_Analitik!$AD$2:$AD$351)),"",IFERROR(INDEX(Data_Analitik!$D$2:$D$351,MATCH($A107,Data_Analitik!$AE$2:$AE$351,0)),""))</f>
        <v>Daha Barat</v>
      </c>
      <c r="E107" s="100">
        <f>IF(OR($A107="",$A107&gt;SUM(Data_Analitik!$AD$2:$AD$351)),"",IFERROR(INDEX(Data_Analitik!$E$2:$E$351,MATCH($A107,Data_Analitik!$AE$2:$AE$351,0)),""))</f>
        <v>7.58</v>
      </c>
      <c r="F107" s="97">
        <f>IF(OR($A107="",$A107&gt;SUM(Data_Analitik!$AD$2:$AD$351)),"",IFERROR(INDEX(Data_Analitik!$Z$2:$Z$351,MATCH($A107,Data_Analitik!$AE$2:$AE$351,0)),""))</f>
        <v>0.67018468748768278</v>
      </c>
      <c r="G107" s="97">
        <f>IF(OR($A107="",$A107&gt;SUM(Data_Analitik!$AD$2:$AD$351)),"",IFERROR(INDEX(Data_Analitik!$AA$2:$AA$351,MATCH($A107,Data_Analitik!$AE$2:$AE$351,0)),""))</f>
        <v>0.67810025488795578</v>
      </c>
      <c r="H107" s="100">
        <f>IF(OR($A107="",$A107&gt;SUM(Data_Analitik!$AD$2:$AD$351)),"",IFERROR(INDEX(Data_Analitik!$U$2:$U$351,MATCH($A107,Data_Analitik!$AE$2:$AE$351,0)),""))</f>
        <v>4.9799999296665192</v>
      </c>
      <c r="I107" s="33" t="str">
        <f>IF(OR($A107="",$A107&gt;SUM(Data_Analitik!$AD$2:$AD$351)),"",IFERROR(INDEX(Data_Analitik!$AB$2:$AB$351,MATCH($A107,Data_Analitik!$AE$2:$AE$351,0)),""))</f>
        <v>Rusak Berat Dominan</v>
      </c>
    </row>
    <row r="108" spans="1:9" ht="21.95" customHeight="1" x14ac:dyDescent="0.25">
      <c r="A108" s="32">
        <f t="shared" si="1"/>
        <v>95</v>
      </c>
      <c r="B108" s="99" t="str">
        <f>IF(OR($A108="",$A108&gt;SUM(Data_Analitik!$AD$2:$AD$351)),"",IFERROR(INDEX(Data_Analitik!$B$2:$B$351,MATCH($A108,Data_Analitik!$AE$2:$AE$351,0)),""))</f>
        <v>239</v>
      </c>
      <c r="C108" s="101" t="str">
        <f>IF(OR($A108="",$A108&gt;SUM(Data_Analitik!$AD$2:$AD$351)),"",IFERROR(INDEX(Data_Analitik!$C$2:$C$351,MATCH($A108,Data_Analitik!$AE$2:$AE$351,0)),""))</f>
        <v>Jl. Firdaus - Ds. Kapuh</v>
      </c>
      <c r="D108" s="99" t="str">
        <f>IF(OR($A108="",$A108&gt;SUM(Data_Analitik!$AD$2:$AD$351)),"",IFERROR(INDEX(Data_Analitik!$D$2:$D$351,MATCH($A108,Data_Analitik!$AE$2:$AE$351,0)),""))</f>
        <v>Simpur</v>
      </c>
      <c r="E108" s="100">
        <f>IF(OR($A108="",$A108&gt;SUM(Data_Analitik!$AD$2:$AD$351)),"",IFERROR(INDEX(Data_Analitik!$E$2:$E$351,MATCH($A108,Data_Analitik!$AE$2:$AE$351,0)),""))</f>
        <v>0.3</v>
      </c>
      <c r="F108" s="97">
        <f>IF(OR($A108="",$A108&gt;SUM(Data_Analitik!$AD$2:$AD$351)),"",IFERROR(INDEX(Data_Analitik!$Z$2:$Z$351,MATCH($A108,Data_Analitik!$AE$2:$AE$351,0)),""))</f>
        <v>0.66666667660077417</v>
      </c>
      <c r="G108" s="97">
        <f>IF(OR($A108="",$A108&gt;SUM(Data_Analitik!$AD$2:$AD$351)),"",IFERROR(INDEX(Data_Analitik!$AA$2:$AA$351,MATCH($A108,Data_Analitik!$AE$2:$AE$351,0)),""))</f>
        <v>0.48333334053556126</v>
      </c>
      <c r="H108" s="100">
        <f>IF(OR($A108="",$A108&gt;SUM(Data_Analitik!$AD$2:$AD$351)),"",IFERROR(INDEX(Data_Analitik!$U$2:$U$351,MATCH($A108,Data_Analitik!$AE$2:$AE$351,0)),""))</f>
        <v>0</v>
      </c>
      <c r="I108" s="33" t="str">
        <f>IF(OR($A108="",$A108&gt;SUM(Data_Analitik!$AD$2:$AD$351)),"",IFERROR(INDEX(Data_Analitik!$AB$2:$AB$351,MATCH($A108,Data_Analitik!$AE$2:$AE$351,0)),""))</f>
        <v>Tidak Mantap Tinggi</v>
      </c>
    </row>
    <row r="109" spans="1:9" ht="21.95" customHeight="1" x14ac:dyDescent="0.25">
      <c r="A109" s="32">
        <f t="shared" si="1"/>
        <v>96</v>
      </c>
      <c r="B109" s="99" t="str">
        <f>IF(OR($A109="",$A109&gt;SUM(Data_Analitik!$AD$2:$AD$351)),"",IFERROR(INDEX(Data_Analitik!$B$2:$B$351,MATCH($A109,Data_Analitik!$AE$2:$AE$351,0)),""))</f>
        <v>325</v>
      </c>
      <c r="C109" s="101" t="str">
        <f>IF(OR($A109="",$A109&gt;SUM(Data_Analitik!$AD$2:$AD$351)),"",IFERROR(INDEX(Data_Analitik!$C$2:$C$351,MATCH($A109,Data_Analitik!$AE$2:$AE$351,0)),""))</f>
        <v>Jl. MIN Pandak Daun</v>
      </c>
      <c r="D109" s="99" t="str">
        <f>IF(OR($A109="",$A109&gt;SUM(Data_Analitik!$AD$2:$AD$351)),"",IFERROR(INDEX(Data_Analitik!$D$2:$D$351,MATCH($A109,Data_Analitik!$AE$2:$AE$351,0)),""))</f>
        <v>Daha Utara</v>
      </c>
      <c r="E109" s="100">
        <f>IF(OR($A109="",$A109&gt;SUM(Data_Analitik!$AD$2:$AD$351)),"",IFERROR(INDEX(Data_Analitik!$E$2:$E$351,MATCH($A109,Data_Analitik!$AE$2:$AE$351,0)),""))</f>
        <v>0.3</v>
      </c>
      <c r="F109" s="97">
        <f>IF(OR($A109="",$A109&gt;SUM(Data_Analitik!$AD$2:$AD$351)),"",IFERROR(INDEX(Data_Analitik!$Z$2:$Z$351,MATCH($A109,Data_Analitik!$AE$2:$AE$351,0)),""))</f>
        <v>0.66666667660077417</v>
      </c>
      <c r="G109" s="97">
        <f>IF(OR($A109="",$A109&gt;SUM(Data_Analitik!$AD$2:$AD$351)),"",IFERROR(INDEX(Data_Analitik!$AA$2:$AA$351,MATCH($A109,Data_Analitik!$AE$2:$AE$351,0)),""))</f>
        <v>0.7500000111758709</v>
      </c>
      <c r="H109" s="100">
        <f>IF(OR($A109="",$A109&gt;SUM(Data_Analitik!$AD$2:$AD$351)),"",IFERROR(INDEX(Data_Analitik!$U$2:$U$351,MATCH($A109,Data_Analitik!$AE$2:$AE$351,0)),""))</f>
        <v>0.20000000298023224</v>
      </c>
      <c r="I109" s="33" t="str">
        <f>IF(OR($A109="",$A109&gt;SUM(Data_Analitik!$AD$2:$AD$351)),"",IFERROR(INDEX(Data_Analitik!$AB$2:$AB$351,MATCH($A109,Data_Analitik!$AE$2:$AE$351,0)),""))</f>
        <v>Rusak Berat Dominan</v>
      </c>
    </row>
    <row r="110" spans="1:9" ht="21.95" customHeight="1" x14ac:dyDescent="0.25">
      <c r="A110" s="32">
        <f t="shared" si="1"/>
        <v>97</v>
      </c>
      <c r="B110" s="99" t="str">
        <f>IF(OR($A110="",$A110&gt;SUM(Data_Analitik!$AD$2:$AD$351)),"",IFERROR(INDEX(Data_Analitik!$B$2:$B$351,MATCH($A110,Data_Analitik!$AE$2:$AE$351,0)),""))</f>
        <v>269</v>
      </c>
      <c r="C110" s="101" t="str">
        <f>IF(OR($A110="",$A110&gt;SUM(Data_Analitik!$AD$2:$AD$351)),"",IFERROR(INDEX(Data_Analitik!$C$2:$C$351,MATCH($A110,Data_Analitik!$AE$2:$AE$351,0)),""))</f>
        <v>Jl. Bayampah - Tanuhi - Tugu Niih</v>
      </c>
      <c r="D110" s="99" t="str">
        <f>IF(OR($A110="",$A110&gt;SUM(Data_Analitik!$AD$2:$AD$351)),"",IFERROR(INDEX(Data_Analitik!$D$2:$D$351,MATCH($A110,Data_Analitik!$AE$2:$AE$351,0)),""))</f>
        <v>Loksado</v>
      </c>
      <c r="E110" s="100">
        <f>IF(OR($A110="",$A110&gt;SUM(Data_Analitik!$AD$2:$AD$351)),"",IFERROR(INDEX(Data_Analitik!$E$2:$E$351,MATCH($A110,Data_Analitik!$AE$2:$AE$351,0)),""))</f>
        <v>0.61</v>
      </c>
      <c r="F110" s="97">
        <f>IF(OR($A110="",$A110&gt;SUM(Data_Analitik!$AD$2:$AD$351)),"",IFERROR(INDEX(Data_Analitik!$Z$2:$Z$351,MATCH($A110,Data_Analitik!$AE$2:$AE$351,0)),""))</f>
        <v>0.65573771468928599</v>
      </c>
      <c r="G110" s="97">
        <f>IF(OR($A110="",$A110&gt;SUM(Data_Analitik!$AD$2:$AD$351)),"",IFERROR(INDEX(Data_Analitik!$AA$2:$AA$351,MATCH($A110,Data_Analitik!$AE$2:$AE$351,0)),""))</f>
        <v>0.74180328577268317</v>
      </c>
      <c r="H110" s="100">
        <f>IF(OR($A110="",$A110&gt;SUM(Data_Analitik!$AD$2:$AD$351)),"",IFERROR(INDEX(Data_Analitik!$U$2:$U$351,MATCH($A110,Data_Analitik!$AE$2:$AE$351,0)),""))</f>
        <v>0.40000000596046448</v>
      </c>
      <c r="I110" s="33" t="str">
        <f>IF(OR($A110="",$A110&gt;SUM(Data_Analitik!$AD$2:$AD$351)),"",IFERROR(INDEX(Data_Analitik!$AB$2:$AB$351,MATCH($A110,Data_Analitik!$AE$2:$AE$351,0)),""))</f>
        <v>Rusak Berat Dominan</v>
      </c>
    </row>
    <row r="111" spans="1:9" ht="21.95" customHeight="1" x14ac:dyDescent="0.25">
      <c r="A111" s="32">
        <f t="shared" si="1"/>
        <v>98</v>
      </c>
      <c r="B111" s="99" t="str">
        <f>IF(OR($A111="",$A111&gt;SUM(Data_Analitik!$AD$2:$AD$351)),"",IFERROR(INDEX(Data_Analitik!$B$2:$B$351,MATCH($A111,Data_Analitik!$AE$2:$AE$351,0)),""))</f>
        <v>263</v>
      </c>
      <c r="C111" s="101" t="str">
        <f>IF(OR($A111="",$A111&gt;SUM(Data_Analitik!$AD$2:$AD$351)),"",IFERROR(INDEX(Data_Analitik!$C$2:$C$351,MATCH($A111,Data_Analitik!$AE$2:$AE$351,0)),""))</f>
        <v>Malinau - Katingin - Kamawakan</v>
      </c>
      <c r="D111" s="99" t="str">
        <f>IF(OR($A111="",$A111&gt;SUM(Data_Analitik!$AD$2:$AD$351)),"",IFERROR(INDEX(Data_Analitik!$D$2:$D$351,MATCH($A111,Data_Analitik!$AE$2:$AE$351,0)),""))</f>
        <v>Loksado</v>
      </c>
      <c r="E111" s="100">
        <f>IF(OR($A111="",$A111&gt;SUM(Data_Analitik!$AD$2:$AD$351)),"",IFERROR(INDEX(Data_Analitik!$E$2:$E$351,MATCH($A111,Data_Analitik!$AE$2:$AE$351,0)),""))</f>
        <v>9.4600000000000009</v>
      </c>
      <c r="F111" s="97">
        <f>IF(OR($A111="",$A111&gt;SUM(Data_Analitik!$AD$2:$AD$351)),"",IFERROR(INDEX(Data_Analitik!$Z$2:$Z$351,MATCH($A111,Data_Analitik!$AE$2:$AE$351,0)),""))</f>
        <v>0.65116279977068581</v>
      </c>
      <c r="G111" s="97">
        <f>IF(OR($A111="",$A111&gt;SUM(Data_Analitik!$AD$2:$AD$351)),"",IFERROR(INDEX(Data_Analitik!$AA$2:$AA$351,MATCH($A111,Data_Analitik!$AE$2:$AE$351,0)),""))</f>
        <v>0.63794926943032992</v>
      </c>
      <c r="H111" s="100">
        <f>IF(OR($A111="",$A111&gt;SUM(Data_Analitik!$AD$2:$AD$351)),"",IFERROR(INDEX(Data_Analitik!$U$2:$U$351,MATCH($A111,Data_Analitik!$AE$2:$AE$351,0)),""))</f>
        <v>5.6600000858306885</v>
      </c>
      <c r="I111" s="33" t="str">
        <f>IF(OR($A111="",$A111&gt;SUM(Data_Analitik!$AD$2:$AD$351)),"",IFERROR(INDEX(Data_Analitik!$AB$2:$AB$351,MATCH($A111,Data_Analitik!$AE$2:$AE$351,0)),""))</f>
        <v>Rusak Berat Dominan</v>
      </c>
    </row>
    <row r="112" spans="1:9" ht="21.95" customHeight="1" x14ac:dyDescent="0.25">
      <c r="A112" s="32">
        <f t="shared" si="1"/>
        <v>99</v>
      </c>
      <c r="B112" s="99" t="str">
        <f>IF(OR($A112="",$A112&gt;SUM(Data_Analitik!$AD$2:$AD$351)),"",IFERROR(INDEX(Data_Analitik!$B$2:$B$351,MATCH($A112,Data_Analitik!$AE$2:$AE$351,0)),""))</f>
        <v>180</v>
      </c>
      <c r="C112" s="101" t="str">
        <f>IF(OR($A112="",$A112&gt;SUM(Data_Analitik!$AD$2:$AD$351)),"",IFERROR(INDEX(Data_Analitik!$C$2:$C$351,MATCH($A112,Data_Analitik!$AE$2:$AE$351,0)),""))</f>
        <v>Sungai Kudung - Kalinduku</v>
      </c>
      <c r="D112" s="99" t="str">
        <f>IF(OR($A112="",$A112&gt;SUM(Data_Analitik!$AD$2:$AD$351)),"",IFERROR(INDEX(Data_Analitik!$D$2:$D$351,MATCH($A112,Data_Analitik!$AE$2:$AE$351,0)),""))</f>
        <v>Angkinang</v>
      </c>
      <c r="E112" s="100">
        <f>IF(OR($A112="",$A112&gt;SUM(Data_Analitik!$AD$2:$AD$351)),"",IFERROR(INDEX(Data_Analitik!$E$2:$E$351,MATCH($A112,Data_Analitik!$AE$2:$AE$351,0)),""))</f>
        <v>2.95</v>
      </c>
      <c r="F112" s="97">
        <f>IF(OR($A112="",$A112&gt;SUM(Data_Analitik!$AD$2:$AD$351)),"",IFERROR(INDEX(Data_Analitik!$Z$2:$Z$351,MATCH($A112,Data_Analitik!$AE$2:$AE$351,0)),""))</f>
        <v>0.64406780873314806</v>
      </c>
      <c r="G112" s="97">
        <f>IF(OR($A112="",$A112&gt;SUM(Data_Analitik!$AD$2:$AD$351)),"",IFERROR(INDEX(Data_Analitik!$AA$2:$AA$351,MATCH($A112,Data_Analitik!$AE$2:$AE$351,0)),""))</f>
        <v>0.51610169976444564</v>
      </c>
      <c r="H112" s="100">
        <f>IF(OR($A112="",$A112&gt;SUM(Data_Analitik!$AD$2:$AD$351)),"",IFERROR(INDEX(Data_Analitik!$U$2:$U$351,MATCH($A112,Data_Analitik!$AE$2:$AE$351,0)),""))</f>
        <v>0.30000001192092896</v>
      </c>
      <c r="I112" s="33" t="str">
        <f>IF(OR($A112="",$A112&gt;SUM(Data_Analitik!$AD$2:$AD$351)),"",IFERROR(INDEX(Data_Analitik!$AB$2:$AB$351,MATCH($A112,Data_Analitik!$AE$2:$AE$351,0)),""))</f>
        <v>Tidak Mantap Tinggi</v>
      </c>
    </row>
    <row r="113" spans="1:9" ht="21.95" customHeight="1" x14ac:dyDescent="0.25">
      <c r="A113" s="32">
        <f t="shared" si="1"/>
        <v>100</v>
      </c>
      <c r="B113" s="99" t="str">
        <f>IF(OR($A113="",$A113&gt;SUM(Data_Analitik!$AD$2:$AD$351)),"",IFERROR(INDEX(Data_Analitik!$B$2:$B$351,MATCH($A113,Data_Analitik!$AE$2:$AE$351,0)),""))</f>
        <v>072</v>
      </c>
      <c r="C113" s="101" t="str">
        <f>IF(OR($A113="",$A113&gt;SUM(Data_Analitik!$AD$2:$AD$351)),"",IFERROR(INDEX(Data_Analitik!$C$2:$C$351,MATCH($A113,Data_Analitik!$AE$2:$AE$351,0)),""))</f>
        <v>Sungai Paring - Toba</v>
      </c>
      <c r="D113" s="99" t="str">
        <f>IF(OR($A113="",$A113&gt;SUM(Data_Analitik!$AD$2:$AD$351)),"",IFERROR(INDEX(Data_Analitik!$D$2:$D$351,MATCH($A113,Data_Analitik!$AE$2:$AE$351,0)),""))</f>
        <v>Kandangan - Simpur</v>
      </c>
      <c r="E113" s="100">
        <f>IF(OR($A113="",$A113&gt;SUM(Data_Analitik!$AD$2:$AD$351)),"",IFERROR(INDEX(Data_Analitik!$E$2:$E$351,MATCH($A113,Data_Analitik!$AE$2:$AE$351,0)),""))</f>
        <v>0.84</v>
      </c>
      <c r="F113" s="97">
        <f>IF(OR($A113="",$A113&gt;SUM(Data_Analitik!$AD$2:$AD$351)),"",IFERROR(INDEX(Data_Analitik!$Z$2:$Z$351,MATCH($A113,Data_Analitik!$AE$2:$AE$351,0)),""))</f>
        <v>0.64285716840199059</v>
      </c>
      <c r="G113" s="97">
        <f>IF(OR($A113="",$A113&gt;SUM(Data_Analitik!$AD$2:$AD$351)),"",IFERROR(INDEX(Data_Analitik!$AA$2:$AA$351,MATCH($A113,Data_Analitik!$AE$2:$AE$351,0)),""))</f>
        <v>0.47500001887480414</v>
      </c>
      <c r="H113" s="100">
        <f>IF(OR($A113="",$A113&gt;SUM(Data_Analitik!$AD$2:$AD$351)),"",IFERROR(INDEX(Data_Analitik!$U$2:$U$351,MATCH($A113,Data_Analitik!$AE$2:$AE$351,0)),""))</f>
        <v>0</v>
      </c>
      <c r="I113" s="33" t="str">
        <f>IF(OR($A113="",$A113&gt;SUM(Data_Analitik!$AD$2:$AD$351)),"",IFERROR(INDEX(Data_Analitik!$AB$2:$AB$351,MATCH($A113,Data_Analitik!$AE$2:$AE$351,0)),""))</f>
        <v>Tidak Mantap Tinggi</v>
      </c>
    </row>
    <row r="114" spans="1:9" ht="21.95" customHeight="1" x14ac:dyDescent="0.25">
      <c r="A114" s="32">
        <f t="shared" si="1"/>
        <v>101</v>
      </c>
      <c r="B114" s="99" t="str">
        <f>IF(OR($A114="",$A114&gt;SUM(Data_Analitik!$AD$2:$AD$351)),"",IFERROR(INDEX(Data_Analitik!$B$2:$B$351,MATCH($A114,Data_Analitik!$AE$2:$AE$351,0)),""))</f>
        <v>178</v>
      </c>
      <c r="C114" s="101" t="str">
        <f>IF(OR($A114="",$A114&gt;SUM(Data_Analitik!$AD$2:$AD$351)),"",IFERROR(INDEX(Data_Analitik!$C$2:$C$351,MATCH($A114,Data_Analitik!$AE$2:$AE$351,0)),""))</f>
        <v>Angkinang - Kayu Abang - Panggang Hijau</v>
      </c>
      <c r="D114" s="99" t="str">
        <f>IF(OR($A114="",$A114&gt;SUM(Data_Analitik!$AD$2:$AD$351)),"",IFERROR(INDEX(Data_Analitik!$D$2:$D$351,MATCH($A114,Data_Analitik!$AE$2:$AE$351,0)),""))</f>
        <v>Angkinang</v>
      </c>
      <c r="E114" s="100">
        <f>IF(OR($A114="",$A114&gt;SUM(Data_Analitik!$AD$2:$AD$351)),"",IFERROR(INDEX(Data_Analitik!$E$2:$E$351,MATCH($A114,Data_Analitik!$AE$2:$AE$351,0)),""))</f>
        <v>7</v>
      </c>
      <c r="F114" s="97">
        <f>IF(OR($A114="",$A114&gt;SUM(Data_Analitik!$AD$2:$AD$351)),"",IFERROR(INDEX(Data_Analitik!$Z$2:$Z$351,MATCH($A114,Data_Analitik!$AE$2:$AE$351,0)),""))</f>
        <v>0.6428571428571429</v>
      </c>
      <c r="G114" s="97">
        <f>IF(OR($A114="",$A114&gt;SUM(Data_Analitik!$AD$2:$AD$351)),"",IFERROR(INDEX(Data_Analitik!$AA$2:$AA$351,MATCH($A114,Data_Analitik!$AE$2:$AE$351,0)),""))</f>
        <v>0.60785714643342159</v>
      </c>
      <c r="H114" s="100">
        <f>IF(OR($A114="",$A114&gt;SUM(Data_Analitik!$AD$2:$AD$351)),"",IFERROR(INDEX(Data_Analitik!$U$2:$U$351,MATCH($A114,Data_Analitik!$AE$2:$AE$351,0)),""))</f>
        <v>3.2000000476837158</v>
      </c>
      <c r="I114" s="33" t="str">
        <f>IF(OR($A114="",$A114&gt;SUM(Data_Analitik!$AD$2:$AD$351)),"",IFERROR(INDEX(Data_Analitik!$AB$2:$AB$351,MATCH($A114,Data_Analitik!$AE$2:$AE$351,0)),""))</f>
        <v>Rusak Berat Dominan</v>
      </c>
    </row>
    <row r="115" spans="1:9" ht="21.95" customHeight="1" x14ac:dyDescent="0.25">
      <c r="A115" s="32">
        <f t="shared" si="1"/>
        <v>102</v>
      </c>
      <c r="B115" s="99" t="str">
        <f>IF(OR($A115="",$A115&gt;SUM(Data_Analitik!$AD$2:$AD$351)),"",IFERROR(INDEX(Data_Analitik!$B$2:$B$351,MATCH($A115,Data_Analitik!$AE$2:$AE$351,0)),""))</f>
        <v>133</v>
      </c>
      <c r="C115" s="101" t="str">
        <f>IF(OR($A115="",$A115&gt;SUM(Data_Analitik!$AD$2:$AD$351)),"",IFERROR(INDEX(Data_Analitik!$C$2:$C$351,MATCH($A115,Data_Analitik!$AE$2:$AE$351,0)),""))</f>
        <v>Jl. Pembangunan - Ds. Sungai Raya Utara</v>
      </c>
      <c r="D115" s="99" t="str">
        <f>IF(OR($A115="",$A115&gt;SUM(Data_Analitik!$AD$2:$AD$351)),"",IFERROR(INDEX(Data_Analitik!$D$2:$D$351,MATCH($A115,Data_Analitik!$AE$2:$AE$351,0)),""))</f>
        <v>Sungai Raya</v>
      </c>
      <c r="E115" s="100">
        <f>IF(OR($A115="",$A115&gt;SUM(Data_Analitik!$AD$2:$AD$351)),"",IFERROR(INDEX(Data_Analitik!$E$2:$E$351,MATCH($A115,Data_Analitik!$AE$2:$AE$351,0)),""))</f>
        <v>0.95</v>
      </c>
      <c r="F115" s="97">
        <f>IF(OR($A115="",$A115&gt;SUM(Data_Analitik!$AD$2:$AD$351)),"",IFERROR(INDEX(Data_Analitik!$Z$2:$Z$351,MATCH($A115,Data_Analitik!$AE$2:$AE$351,0)),""))</f>
        <v>0.63157895677968079</v>
      </c>
      <c r="G115" s="97">
        <f>IF(OR($A115="",$A115&gt;SUM(Data_Analitik!$AD$2:$AD$351)),"",IFERROR(INDEX(Data_Analitik!$AA$2:$AA$351,MATCH($A115,Data_Analitik!$AE$2:$AE$351,0)),""))</f>
        <v>0.55526316322778402</v>
      </c>
      <c r="H115" s="100">
        <f>IF(OR($A115="",$A115&gt;SUM(Data_Analitik!$AD$2:$AD$351)),"",IFERROR(INDEX(Data_Analitik!$U$2:$U$351,MATCH($A115,Data_Analitik!$AE$2:$AE$351,0)),""))</f>
        <v>0.20000000298023224</v>
      </c>
      <c r="I115" s="33" t="str">
        <f>IF(OR($A115="",$A115&gt;SUM(Data_Analitik!$AD$2:$AD$351)),"",IFERROR(INDEX(Data_Analitik!$AB$2:$AB$351,MATCH($A115,Data_Analitik!$AE$2:$AE$351,0)),""))</f>
        <v>Rusak Berat Dominan</v>
      </c>
    </row>
    <row r="116" spans="1:9" ht="21.95" customHeight="1" x14ac:dyDescent="0.25">
      <c r="A116" s="32">
        <f t="shared" si="1"/>
        <v>103</v>
      </c>
      <c r="B116" s="99" t="str">
        <f>IF(OR($A116="",$A116&gt;SUM(Data_Analitik!$AD$2:$AD$351)),"",IFERROR(INDEX(Data_Analitik!$B$2:$B$351,MATCH($A116,Data_Analitik!$AE$2:$AE$351,0)),""))</f>
        <v>261</v>
      </c>
      <c r="C116" s="101" t="str">
        <f>IF(OR($A116="",$A116&gt;SUM(Data_Analitik!$AD$2:$AD$351)),"",IFERROR(INDEX(Data_Analitik!$C$2:$C$351,MATCH($A116,Data_Analitik!$AE$2:$AE$351,0)),""))</f>
        <v>Loklahung - Kamawakan</v>
      </c>
      <c r="D116" s="99" t="str">
        <f>IF(OR($A116="",$A116&gt;SUM(Data_Analitik!$AD$2:$AD$351)),"",IFERROR(INDEX(Data_Analitik!$D$2:$D$351,MATCH($A116,Data_Analitik!$AE$2:$AE$351,0)),""))</f>
        <v>Loksado</v>
      </c>
      <c r="E116" s="100">
        <f>IF(OR($A116="",$A116&gt;SUM(Data_Analitik!$AD$2:$AD$351)),"",IFERROR(INDEX(Data_Analitik!$E$2:$E$351,MATCH($A116,Data_Analitik!$AE$2:$AE$351,0)),""))</f>
        <v>6.82</v>
      </c>
      <c r="F116" s="97">
        <f>IF(OR($A116="",$A116&gt;SUM(Data_Analitik!$AD$2:$AD$351)),"",IFERROR(INDEX(Data_Analitik!$Z$2:$Z$351,MATCH($A116,Data_Analitik!$AE$2:$AE$351,0)),""))</f>
        <v>0.6304985616913289</v>
      </c>
      <c r="G116" s="97">
        <f>IF(OR($A116="",$A116&gt;SUM(Data_Analitik!$AD$2:$AD$351)),"",IFERROR(INDEX(Data_Analitik!$AA$2:$AA$351,MATCH($A116,Data_Analitik!$AE$2:$AE$351,0)),""))</f>
        <v>0.71187686186032562</v>
      </c>
      <c r="H116" s="100">
        <f>IF(OR($A116="",$A116&gt;SUM(Data_Analitik!$AD$2:$AD$351)),"",IFERROR(INDEX(Data_Analitik!$U$2:$U$351,MATCH($A116,Data_Analitik!$AE$2:$AE$351,0)),""))</f>
        <v>4.3000001907348633</v>
      </c>
      <c r="I116" s="33" t="str">
        <f>IF(OR($A116="",$A116&gt;SUM(Data_Analitik!$AD$2:$AD$351)),"",IFERROR(INDEX(Data_Analitik!$AB$2:$AB$351,MATCH($A116,Data_Analitik!$AE$2:$AE$351,0)),""))</f>
        <v>Rusak Berat Dominan</v>
      </c>
    </row>
    <row r="117" spans="1:9" ht="21.95" customHeight="1" x14ac:dyDescent="0.25">
      <c r="A117" s="32">
        <f t="shared" si="1"/>
        <v>104</v>
      </c>
      <c r="B117" s="99" t="str">
        <f>IF(OR($A117="",$A117&gt;SUM(Data_Analitik!$AD$2:$AD$351)),"",IFERROR(INDEX(Data_Analitik!$B$2:$B$351,MATCH($A117,Data_Analitik!$AE$2:$AE$351,0)),""))</f>
        <v>209</v>
      </c>
      <c r="C117" s="101" t="str">
        <f>IF(OR($A117="",$A117&gt;SUM(Data_Analitik!$AD$2:$AD$351)),"",IFERROR(INDEX(Data_Analitik!$C$2:$C$351,MATCH($A117,Data_Analitik!$AE$2:$AE$351,0)),""))</f>
        <v>Wasah Hilir - Amparaya</v>
      </c>
      <c r="D117" s="99" t="str">
        <f>IF(OR($A117="",$A117&gt;SUM(Data_Analitik!$AD$2:$AD$351)),"",IFERROR(INDEX(Data_Analitik!$D$2:$D$351,MATCH($A117,Data_Analitik!$AE$2:$AE$351,0)),""))</f>
        <v>Simpur</v>
      </c>
      <c r="E117" s="100">
        <f>IF(OR($A117="",$A117&gt;SUM(Data_Analitik!$AD$2:$AD$351)),"",IFERROR(INDEX(Data_Analitik!$E$2:$E$351,MATCH($A117,Data_Analitik!$AE$2:$AE$351,0)),""))</f>
        <v>2.93</v>
      </c>
      <c r="F117" s="97">
        <f>IF(OR($A117="",$A117&gt;SUM(Data_Analitik!$AD$2:$AD$351)),"",IFERROR(INDEX(Data_Analitik!$Z$2:$Z$351,MATCH($A117,Data_Analitik!$AE$2:$AE$351,0)),""))</f>
        <v>0.62457335280070125</v>
      </c>
      <c r="G117" s="97">
        <f>IF(OR($A117="",$A117&gt;SUM(Data_Analitik!$AD$2:$AD$351)),"",IFERROR(INDEX(Data_Analitik!$AA$2:$AA$351,MATCH($A117,Data_Analitik!$AE$2:$AE$351,0)),""))</f>
        <v>0.56075083123640801</v>
      </c>
      <c r="H117" s="100">
        <f>IF(OR($A117="",$A117&gt;SUM(Data_Analitik!$AD$2:$AD$351)),"",IFERROR(INDEX(Data_Analitik!$U$2:$U$351,MATCH($A117,Data_Analitik!$AE$2:$AE$351,0)),""))</f>
        <v>1.2999999523162842</v>
      </c>
      <c r="I117" s="33" t="str">
        <f>IF(OR($A117="",$A117&gt;SUM(Data_Analitik!$AD$2:$AD$351)),"",IFERROR(INDEX(Data_Analitik!$AB$2:$AB$351,MATCH($A117,Data_Analitik!$AE$2:$AE$351,0)),""))</f>
        <v>Rusak Berat Dominan</v>
      </c>
    </row>
    <row r="118" spans="1:9" ht="21.95" customHeight="1" x14ac:dyDescent="0.25">
      <c r="A118" s="32">
        <f t="shared" si="1"/>
        <v>105</v>
      </c>
      <c r="B118" s="99" t="str">
        <f>IF(OR($A118="",$A118&gt;SUM(Data_Analitik!$AD$2:$AD$351)),"",IFERROR(INDEX(Data_Analitik!$B$2:$B$351,MATCH($A118,Data_Analitik!$AE$2:$AE$351,0)),""))</f>
        <v>288</v>
      </c>
      <c r="C118" s="101" t="str">
        <f>IF(OR($A118="",$A118&gt;SUM(Data_Analitik!$AD$2:$AD$351)),"",IFERROR(INDEX(Data_Analitik!$C$2:$C$351,MATCH($A118,Data_Analitik!$AE$2:$AE$351,0)),""))</f>
        <v>Jl. Ulang - Bangkaun</v>
      </c>
      <c r="D118" s="99" t="str">
        <f>IF(OR($A118="",$A118&gt;SUM(Data_Analitik!$AD$2:$AD$351)),"",IFERROR(INDEX(Data_Analitik!$D$2:$D$351,MATCH($A118,Data_Analitik!$AE$2:$AE$351,0)),""))</f>
        <v>Loksado</v>
      </c>
      <c r="E118" s="100">
        <f>IF(OR($A118="",$A118&gt;SUM(Data_Analitik!$AD$2:$AD$351)),"",IFERROR(INDEX(Data_Analitik!$E$2:$E$351,MATCH($A118,Data_Analitik!$AE$2:$AE$351,0)),""))</f>
        <v>3.56</v>
      </c>
      <c r="F118" s="97">
        <f>IF(OR($A118="",$A118&gt;SUM(Data_Analitik!$AD$2:$AD$351)),"",IFERROR(INDEX(Data_Analitik!$Z$2:$Z$351,MATCH($A118,Data_Analitik!$AE$2:$AE$351,0)),""))</f>
        <v>0.61797754148418982</v>
      </c>
      <c r="G118" s="97">
        <f>IF(OR($A118="",$A118&gt;SUM(Data_Analitik!$AD$2:$AD$351)),"",IFERROR(INDEX(Data_Analitik!$AA$2:$AA$351,MATCH($A118,Data_Analitik!$AE$2:$AE$351,0)),""))</f>
        <v>0.71348316046629057</v>
      </c>
      <c r="H118" s="100">
        <f>IF(OR($A118="",$A118&gt;SUM(Data_Analitik!$AD$2:$AD$351)),"",IFERROR(INDEX(Data_Analitik!$U$2:$U$351,MATCH($A118,Data_Analitik!$AE$2:$AE$351,0)),""))</f>
        <v>2.2000000476837158</v>
      </c>
      <c r="I118" s="33" t="str">
        <f>IF(OR($A118="",$A118&gt;SUM(Data_Analitik!$AD$2:$AD$351)),"",IFERROR(INDEX(Data_Analitik!$AB$2:$AB$351,MATCH($A118,Data_Analitik!$AE$2:$AE$351,0)),""))</f>
        <v>Rusak Berat Dominan</v>
      </c>
    </row>
    <row r="119" spans="1:9" ht="21.95" customHeight="1" x14ac:dyDescent="0.25">
      <c r="A119" s="32">
        <f t="shared" si="1"/>
        <v>106</v>
      </c>
      <c r="B119" s="99" t="str">
        <f>IF(OR($A119="",$A119&gt;SUM(Data_Analitik!$AD$2:$AD$351)),"",IFERROR(INDEX(Data_Analitik!$B$2:$B$351,MATCH($A119,Data_Analitik!$AE$2:$AE$351,0)),""))</f>
        <v/>
      </c>
      <c r="C119" s="101" t="str">
        <f>IF(OR($A119="",$A119&gt;SUM(Data_Analitik!$AD$2:$AD$351)),"",IFERROR(INDEX(Data_Analitik!$C$2:$C$351,MATCH($A119,Data_Analitik!$AE$2:$AE$351,0)),""))</f>
        <v/>
      </c>
      <c r="D119" s="99" t="str">
        <f>IF(OR($A119="",$A119&gt;SUM(Data_Analitik!$AD$2:$AD$351)),"",IFERROR(INDEX(Data_Analitik!$D$2:$D$351,MATCH($A119,Data_Analitik!$AE$2:$AE$351,0)),""))</f>
        <v/>
      </c>
      <c r="E119" s="100" t="str">
        <f>IF(OR($A119="",$A119&gt;SUM(Data_Analitik!$AD$2:$AD$351)),"",IFERROR(INDEX(Data_Analitik!$E$2:$E$351,MATCH($A119,Data_Analitik!$AE$2:$AE$351,0)),""))</f>
        <v/>
      </c>
      <c r="F119" s="97" t="str">
        <f>IF(OR($A119="",$A119&gt;SUM(Data_Analitik!$AD$2:$AD$351)),"",IFERROR(INDEX(Data_Analitik!$Z$2:$Z$351,MATCH($A119,Data_Analitik!$AE$2:$AE$351,0)),""))</f>
        <v/>
      </c>
      <c r="G119" s="97" t="str">
        <f>IF(OR($A119="",$A119&gt;SUM(Data_Analitik!$AD$2:$AD$351)),"",IFERROR(INDEX(Data_Analitik!$AA$2:$AA$351,MATCH($A119,Data_Analitik!$AE$2:$AE$351,0)),""))</f>
        <v/>
      </c>
      <c r="H119" s="100" t="str">
        <f>IF(OR($A119="",$A119&gt;SUM(Data_Analitik!$AD$2:$AD$351)),"",IFERROR(INDEX(Data_Analitik!$U$2:$U$351,MATCH($A119,Data_Analitik!$AE$2:$AE$351,0)),""))</f>
        <v/>
      </c>
      <c r="I119" s="33" t="str">
        <f>IF(OR($A119="",$A119&gt;SUM(Data_Analitik!$AD$2:$AD$351)),"",IFERROR(INDEX(Data_Analitik!$AB$2:$AB$351,MATCH($A119,Data_Analitik!$AE$2:$AE$351,0)),""))</f>
        <v/>
      </c>
    </row>
    <row r="120" spans="1:9" ht="21.95" customHeight="1" x14ac:dyDescent="0.25">
      <c r="A120" s="32">
        <f t="shared" si="1"/>
        <v>107</v>
      </c>
      <c r="B120" s="99" t="str">
        <f>IF(OR($A120="",$A120&gt;SUM(Data_Analitik!$AD$2:$AD$351)),"",IFERROR(INDEX(Data_Analitik!$B$2:$B$351,MATCH($A120,Data_Analitik!$AE$2:$AE$351,0)),""))</f>
        <v>078</v>
      </c>
      <c r="C120" s="101" t="str">
        <f>IF(OR($A120="",$A120&gt;SUM(Data_Analitik!$AD$2:$AD$351)),"",IFERROR(INDEX(Data_Analitik!$C$2:$C$351,MATCH($A120,Data_Analitik!$AE$2:$AE$351,0)),""))</f>
        <v>Jl. Menuju SMP 7 - Ds. Gambah Dalam</v>
      </c>
      <c r="D120" s="99" t="str">
        <f>IF(OR($A120="",$A120&gt;SUM(Data_Analitik!$AD$2:$AD$351)),"",IFERROR(INDEX(Data_Analitik!$D$2:$D$351,MATCH($A120,Data_Analitik!$AE$2:$AE$351,0)),""))</f>
        <v>Kandangan</v>
      </c>
      <c r="E120" s="100">
        <f>IF(OR($A120="",$A120&gt;SUM(Data_Analitik!$AD$2:$AD$351)),"",IFERROR(INDEX(Data_Analitik!$E$2:$E$351,MATCH($A120,Data_Analitik!$AE$2:$AE$351,0)),""))</f>
        <v>1</v>
      </c>
      <c r="F120" s="97">
        <f>IF(OR($A120="",$A120&gt;SUM(Data_Analitik!$AD$2:$AD$351)),"",IFERROR(INDEX(Data_Analitik!$Z$2:$Z$351,MATCH($A120,Data_Analitik!$AE$2:$AE$351,0)),""))</f>
        <v>0.60000002384185791</v>
      </c>
      <c r="G120" s="97">
        <f>IF(OR($A120="",$A120&gt;SUM(Data_Analitik!$AD$2:$AD$351)),"",IFERROR(INDEX(Data_Analitik!$AA$2:$AA$351,MATCH($A120,Data_Analitik!$AE$2:$AE$351,0)),""))</f>
        <v>0.46000001579523087</v>
      </c>
      <c r="H120" s="100">
        <f>IF(OR($A120="",$A120&gt;SUM(Data_Analitik!$AD$2:$AD$351)),"",IFERROR(INDEX(Data_Analitik!$U$2:$U$351,MATCH($A120,Data_Analitik!$AE$2:$AE$351,0)),""))</f>
        <v>0</v>
      </c>
      <c r="I120" s="33" t="str">
        <f>IF(OR($A120="",$A120&gt;SUM(Data_Analitik!$AD$2:$AD$351)),"",IFERROR(INDEX(Data_Analitik!$AB$2:$AB$351,MATCH($A120,Data_Analitik!$AE$2:$AE$351,0)),""))</f>
        <v>Tidak Mantap Tinggi</v>
      </c>
    </row>
    <row r="121" spans="1:9" ht="21.95" customHeight="1" x14ac:dyDescent="0.25">
      <c r="A121" s="32">
        <f t="shared" si="1"/>
        <v>108</v>
      </c>
      <c r="B121" s="99" t="str">
        <f>IF(OR($A121="",$A121&gt;SUM(Data_Analitik!$AD$2:$AD$351)),"",IFERROR(INDEX(Data_Analitik!$B$2:$B$351,MATCH($A121,Data_Analitik!$AE$2:$AE$351,0)),""))</f>
        <v>102</v>
      </c>
      <c r="C121" s="101" t="str">
        <f>IF(OR($A121="",$A121&gt;SUM(Data_Analitik!$AD$2:$AD$351)),"",IFERROR(INDEX(Data_Analitik!$C$2:$C$351,MATCH($A121,Data_Analitik!$AE$2:$AE$351,0)),""))</f>
        <v>Hamalau - Telaga Bidadari - Wasah Hilir</v>
      </c>
      <c r="D121" s="99" t="str">
        <f>IF(OR($A121="",$A121&gt;SUM(Data_Analitik!$AD$2:$AD$351)),"",IFERROR(INDEX(Data_Analitik!$D$2:$D$351,MATCH($A121,Data_Analitik!$AE$2:$AE$351,0)),""))</f>
        <v>Sungai Raya</v>
      </c>
      <c r="E121" s="100">
        <f>IF(OR($A121="",$A121&gt;SUM(Data_Analitik!$AD$2:$AD$351)),"",IFERROR(INDEX(Data_Analitik!$E$2:$E$351,MATCH($A121,Data_Analitik!$AE$2:$AE$351,0)),""))</f>
        <v>4.9400000000000004</v>
      </c>
      <c r="F121" s="97">
        <f>IF(OR($A121="",$A121&gt;SUM(Data_Analitik!$AD$2:$AD$351)),"",IFERROR(INDEX(Data_Analitik!$Z$2:$Z$351,MATCH($A121,Data_Analitik!$AE$2:$AE$351,0)),""))</f>
        <v>0.58704451752095088</v>
      </c>
      <c r="G121" s="97">
        <f>IF(OR($A121="",$A121&gt;SUM(Data_Analitik!$AD$2:$AD$351)),"",IFERROR(INDEX(Data_Analitik!$AA$2:$AA$351,MATCH($A121,Data_Analitik!$AE$2:$AE$351,0)),""))</f>
        <v>0.47267205440081073</v>
      </c>
      <c r="H121" s="100">
        <f>IF(OR($A121="",$A121&gt;SUM(Data_Analitik!$AD$2:$AD$351)),"",IFERROR(INDEX(Data_Analitik!$U$2:$U$351,MATCH($A121,Data_Analitik!$AE$2:$AE$351,0)),""))</f>
        <v>0.30000001192092896</v>
      </c>
      <c r="I121" s="33" t="str">
        <f>IF(OR($A121="",$A121&gt;SUM(Data_Analitik!$AD$2:$AD$351)),"",IFERROR(INDEX(Data_Analitik!$AB$2:$AB$351,MATCH($A121,Data_Analitik!$AE$2:$AE$351,0)),""))</f>
        <v>Tidak Mantap Tinggi</v>
      </c>
    </row>
    <row r="122" spans="1:9" ht="21.95" customHeight="1" x14ac:dyDescent="0.25">
      <c r="A122" s="32">
        <f t="shared" si="1"/>
        <v>109</v>
      </c>
      <c r="B122" s="99" t="str">
        <f>IF(OR($A122="",$A122&gt;SUM(Data_Analitik!$AD$2:$AD$351)),"",IFERROR(INDEX(Data_Analitik!$B$2:$B$351,MATCH($A122,Data_Analitik!$AE$2:$AE$351,0)),""))</f>
        <v>106</v>
      </c>
      <c r="C122" s="101" t="str">
        <f>IF(OR($A122="",$A122&gt;SUM(Data_Analitik!$AD$2:$AD$351)),"",IFERROR(INDEX(Data_Analitik!$C$2:$C$351,MATCH($A122,Data_Analitik!$AE$2:$AE$351,0)),""))</f>
        <v>Hamalau - Ganda</v>
      </c>
      <c r="D122" s="99" t="str">
        <f>IF(OR($A122="",$A122&gt;SUM(Data_Analitik!$AD$2:$AD$351)),"",IFERROR(INDEX(Data_Analitik!$D$2:$D$351,MATCH($A122,Data_Analitik!$AE$2:$AE$351,0)),""))</f>
        <v>Sungai Raya - Kandangan</v>
      </c>
      <c r="E122" s="100">
        <f>IF(OR($A122="",$A122&gt;SUM(Data_Analitik!$AD$2:$AD$351)),"",IFERROR(INDEX(Data_Analitik!$E$2:$E$351,MATCH($A122,Data_Analitik!$AE$2:$AE$351,0)),""))</f>
        <v>1.17</v>
      </c>
      <c r="F122" s="97">
        <f>IF(OR($A122="",$A122&gt;SUM(Data_Analitik!$AD$2:$AD$351)),"",IFERROR(INDEX(Data_Analitik!$Z$2:$Z$351,MATCH($A122,Data_Analitik!$AE$2:$AE$351,0)),""))</f>
        <v>0.57264958691393208</v>
      </c>
      <c r="G122" s="97">
        <f>IF(OR($A122="",$A122&gt;SUM(Data_Analitik!$AD$2:$AD$351)),"",IFERROR(INDEX(Data_Analitik!$AA$2:$AA$351,MATCH($A122,Data_Analitik!$AE$2:$AE$351,0)),""))</f>
        <v>0.45042735898596609</v>
      </c>
      <c r="H122" s="100">
        <f>IF(OR($A122="",$A122&gt;SUM(Data_Analitik!$AD$2:$AD$351)),"",IFERROR(INDEX(Data_Analitik!$U$2:$U$351,MATCH($A122,Data_Analitik!$AE$2:$AE$351,0)),""))</f>
        <v>0</v>
      </c>
      <c r="I122" s="33" t="str">
        <f>IF(OR($A122="",$A122&gt;SUM(Data_Analitik!$AD$2:$AD$351)),"",IFERROR(INDEX(Data_Analitik!$AB$2:$AB$351,MATCH($A122,Data_Analitik!$AE$2:$AE$351,0)),""))</f>
        <v>Tidak Mantap Tinggi</v>
      </c>
    </row>
    <row r="123" spans="1:9" ht="21.95" customHeight="1" x14ac:dyDescent="0.25">
      <c r="A123" s="32">
        <f t="shared" si="1"/>
        <v>110</v>
      </c>
      <c r="B123" s="99" t="str">
        <f>IF(OR($A123="",$A123&gt;SUM(Data_Analitik!$AD$2:$AD$351)),"",IFERROR(INDEX(Data_Analitik!$B$2:$B$351,MATCH($A123,Data_Analitik!$AE$2:$AE$351,0)),""))</f>
        <v>314</v>
      </c>
      <c r="C123" s="101" t="str">
        <f>IF(OR($A123="",$A123&gt;SUM(Data_Analitik!$AD$2:$AD$351)),"",IFERROR(INDEX(Data_Analitik!$C$2:$C$351,MATCH($A123,Data_Analitik!$AE$2:$AE$351,0)),""))</f>
        <v>Jl. H.M. Thaib</v>
      </c>
      <c r="D123" s="99" t="str">
        <f>IF(OR($A123="",$A123&gt;SUM(Data_Analitik!$AD$2:$AD$351)),"",IFERROR(INDEX(Data_Analitik!$D$2:$D$351,MATCH($A123,Data_Analitik!$AE$2:$AE$351,0)),""))</f>
        <v>Daha Utara</v>
      </c>
      <c r="E123" s="100">
        <f>IF(OR($A123="",$A123&gt;SUM(Data_Analitik!$AD$2:$AD$351)),"",IFERROR(INDEX(Data_Analitik!$E$2:$E$351,MATCH($A123,Data_Analitik!$AE$2:$AE$351,0)),""))</f>
        <v>0.35</v>
      </c>
      <c r="F123" s="97">
        <f>IF(OR($A123="",$A123&gt;SUM(Data_Analitik!$AD$2:$AD$351)),"",IFERROR(INDEX(Data_Analitik!$Z$2:$Z$351,MATCH($A123,Data_Analitik!$AE$2:$AE$351,0)),""))</f>
        <v>0.5714285799435207</v>
      </c>
      <c r="G123" s="97">
        <f>IF(OR($A123="",$A123&gt;SUM(Data_Analitik!$AD$2:$AD$351)),"",IFERROR(INDEX(Data_Analitik!$AA$2:$AA$351,MATCH($A123,Data_Analitik!$AE$2:$AE$351,0)),""))</f>
        <v>0.56428572535514832</v>
      </c>
      <c r="H123" s="100">
        <f>IF(OR($A123="",$A123&gt;SUM(Data_Analitik!$AD$2:$AD$351)),"",IFERROR(INDEX(Data_Analitik!$U$2:$U$351,MATCH($A123,Data_Analitik!$AE$2:$AE$351,0)),""))</f>
        <v>0.10000000149011612</v>
      </c>
      <c r="I123" s="33" t="str">
        <f>IF(OR($A123="",$A123&gt;SUM(Data_Analitik!$AD$2:$AD$351)),"",IFERROR(INDEX(Data_Analitik!$AB$2:$AB$351,MATCH($A123,Data_Analitik!$AE$2:$AE$351,0)),""))</f>
        <v>Rusak Berat Dominan</v>
      </c>
    </row>
    <row r="124" spans="1:9" ht="21.95" customHeight="1" x14ac:dyDescent="0.25">
      <c r="A124" s="32">
        <f t="shared" si="1"/>
        <v>111</v>
      </c>
      <c r="B124" s="99" t="str">
        <f>IF(OR($A124="",$A124&gt;SUM(Data_Analitik!$AD$2:$AD$351)),"",IFERROR(INDEX(Data_Analitik!$B$2:$B$351,MATCH($A124,Data_Analitik!$AE$2:$AE$351,0)),""))</f>
        <v>211</v>
      </c>
      <c r="C124" s="101" t="str">
        <f>IF(OR($A124="",$A124&gt;SUM(Data_Analitik!$AD$2:$AD$351)),"",IFERROR(INDEX(Data_Analitik!$C$2:$C$351,MATCH($A124,Data_Analitik!$AE$2:$AE$351,0)),""))</f>
        <v>Ulin - Tanggul (Balai Mas)</v>
      </c>
      <c r="D124" s="99" t="str">
        <f>IF(OR($A124="",$A124&gt;SUM(Data_Analitik!$AD$2:$AD$351)),"",IFERROR(INDEX(Data_Analitik!$D$2:$D$351,MATCH($A124,Data_Analitik!$AE$2:$AE$351,0)),""))</f>
        <v>Simpur</v>
      </c>
      <c r="E124" s="100">
        <f>IF(OR($A124="",$A124&gt;SUM(Data_Analitik!$AD$2:$AD$351)),"",IFERROR(INDEX(Data_Analitik!$E$2:$E$351,MATCH($A124,Data_Analitik!$AE$2:$AE$351,0)),""))</f>
        <v>3.91</v>
      </c>
      <c r="F124" s="97">
        <f>IF(OR($A124="",$A124&gt;SUM(Data_Analitik!$AD$2:$AD$351)),"",IFERROR(INDEX(Data_Analitik!$Z$2:$Z$351,MATCH($A124,Data_Analitik!$AE$2:$AE$351,0)),""))</f>
        <v>0.56521737057229748</v>
      </c>
      <c r="G124" s="97">
        <f>IF(OR($A124="",$A124&gt;SUM(Data_Analitik!$AD$2:$AD$351)),"",IFERROR(INDEX(Data_Analitik!$AA$2:$AA$351,MATCH($A124,Data_Analitik!$AE$2:$AE$351,0)),""))</f>
        <v>0.58184141698090919</v>
      </c>
      <c r="H124" s="100">
        <f>IF(OR($A124="",$A124&gt;SUM(Data_Analitik!$AD$2:$AD$351)),"",IFERROR(INDEX(Data_Analitik!$U$2:$U$351,MATCH($A124,Data_Analitik!$AE$2:$AE$351,0)),""))</f>
        <v>1.309999942779541</v>
      </c>
      <c r="I124" s="33" t="str">
        <f>IF(OR($A124="",$A124&gt;SUM(Data_Analitik!$AD$2:$AD$351)),"",IFERROR(INDEX(Data_Analitik!$AB$2:$AB$351,MATCH($A124,Data_Analitik!$AE$2:$AE$351,0)),""))</f>
        <v>Rusak Berat Dominan</v>
      </c>
    </row>
    <row r="125" spans="1:9" ht="21.95" customHeight="1" x14ac:dyDescent="0.25">
      <c r="A125" s="32">
        <f t="shared" si="1"/>
        <v>112</v>
      </c>
      <c r="B125" s="99" t="str">
        <f>IF(OR($A125="",$A125&gt;SUM(Data_Analitik!$AD$2:$AD$351)),"",IFERROR(INDEX(Data_Analitik!$B$2:$B$351,MATCH($A125,Data_Analitik!$AE$2:$AE$351,0)),""))</f>
        <v>055</v>
      </c>
      <c r="C125" s="101" t="str">
        <f>IF(OR($A125="",$A125&gt;SUM(Data_Analitik!$AD$2:$AD$351)),"",IFERROR(INDEX(Data_Analitik!$C$2:$C$351,MATCH($A125,Data_Analitik!$AE$2:$AE$351,0)),""))</f>
        <v>Gambah Luar - Sungai Kudung</v>
      </c>
      <c r="D125" s="99" t="str">
        <f>IF(OR($A125="",$A125&gt;SUM(Data_Analitik!$AD$2:$AD$351)),"",IFERROR(INDEX(Data_Analitik!$D$2:$D$351,MATCH($A125,Data_Analitik!$AE$2:$AE$351,0)),""))</f>
        <v>Kandangan</v>
      </c>
      <c r="E125" s="100">
        <f>IF(OR($A125="",$A125&gt;SUM(Data_Analitik!$AD$2:$AD$351)),"",IFERROR(INDEX(Data_Analitik!$E$2:$E$351,MATCH($A125,Data_Analitik!$AE$2:$AE$351,0)),""))</f>
        <v>0.89</v>
      </c>
      <c r="F125" s="97">
        <f>IF(OR($A125="",$A125&gt;SUM(Data_Analitik!$AD$2:$AD$351)),"",IFERROR(INDEX(Data_Analitik!$Z$2:$Z$351,MATCH($A125,Data_Analitik!$AE$2:$AE$351,0)),""))</f>
        <v>0.56179776118042768</v>
      </c>
      <c r="G125" s="97">
        <f>IF(OR($A125="",$A125&gt;SUM(Data_Analitik!$AD$2:$AD$351)),"",IFERROR(INDEX(Data_Analitik!$AA$2:$AA$351,MATCH($A125,Data_Analitik!$AE$2:$AE$351,0)),""))</f>
        <v>0.49157303538215291</v>
      </c>
      <c r="H125" s="100">
        <f>IF(OR($A125="",$A125&gt;SUM(Data_Analitik!$AD$2:$AD$351)),"",IFERROR(INDEX(Data_Analitik!$U$2:$U$351,MATCH($A125,Data_Analitik!$AE$2:$AE$351,0)),""))</f>
        <v>0.10000000149011612</v>
      </c>
      <c r="I125" s="33" t="str">
        <f>IF(OR($A125="",$A125&gt;SUM(Data_Analitik!$AD$2:$AD$351)),"",IFERROR(INDEX(Data_Analitik!$AB$2:$AB$351,MATCH($A125,Data_Analitik!$AE$2:$AE$351,0)),""))</f>
        <v>Tidak Mantap Tinggi</v>
      </c>
    </row>
    <row r="126" spans="1:9" ht="21.95" customHeight="1" x14ac:dyDescent="0.25">
      <c r="A126" s="32">
        <f t="shared" si="1"/>
        <v>113</v>
      </c>
      <c r="B126" s="99" t="str">
        <f>IF(OR($A126="",$A126&gt;SUM(Data_Analitik!$AD$2:$AD$351)),"",IFERROR(INDEX(Data_Analitik!$B$2:$B$351,MATCH($A126,Data_Analitik!$AE$2:$AE$351,0)),""))</f>
        <v>082</v>
      </c>
      <c r="C126" s="101" t="str">
        <f>IF(OR($A126="",$A126&gt;SUM(Data_Analitik!$AD$2:$AD$351)),"",IFERROR(INDEX(Data_Analitik!$C$2:$C$351,MATCH($A126,Data_Analitik!$AE$2:$AE$351,0)),""))</f>
        <v>Jl. Biti - Sungai Kupang (Karya Bakti TNI)</v>
      </c>
      <c r="D126" s="99" t="str">
        <f>IF(OR($A126="",$A126&gt;SUM(Data_Analitik!$AD$2:$AD$351)),"",IFERROR(INDEX(Data_Analitik!$D$2:$D$351,MATCH($A126,Data_Analitik!$AE$2:$AE$351,0)),""))</f>
        <v>Kandangan</v>
      </c>
      <c r="E126" s="100">
        <f>IF(OR($A126="",$A126&gt;SUM(Data_Analitik!$AD$2:$AD$351)),"",IFERROR(INDEX(Data_Analitik!$E$2:$E$351,MATCH($A126,Data_Analitik!$AE$2:$AE$351,0)),""))</f>
        <v>1.82</v>
      </c>
      <c r="F126" s="97">
        <f>IF(OR($A126="",$A126&gt;SUM(Data_Analitik!$AD$2:$AD$351)),"",IFERROR(INDEX(Data_Analitik!$Z$2:$Z$351,MATCH($A126,Data_Analitik!$AE$2:$AE$351,0)),""))</f>
        <v>0.5604395663345253</v>
      </c>
      <c r="G126" s="97">
        <f>IF(OR($A126="",$A126&gt;SUM(Data_Analitik!$AD$2:$AD$351)),"",IFERROR(INDEX(Data_Analitik!$AA$2:$AA$351,MATCH($A126,Data_Analitik!$AE$2:$AE$351,0)),""))</f>
        <v>0.4653846218690767</v>
      </c>
      <c r="H126" s="100">
        <f>IF(OR($A126="",$A126&gt;SUM(Data_Analitik!$AD$2:$AD$351)),"",IFERROR(INDEX(Data_Analitik!$U$2:$U$351,MATCH($A126,Data_Analitik!$AE$2:$AE$351,0)),""))</f>
        <v>0.40000000596046448</v>
      </c>
      <c r="I126" s="33" t="str">
        <f>IF(OR($A126="",$A126&gt;SUM(Data_Analitik!$AD$2:$AD$351)),"",IFERROR(INDEX(Data_Analitik!$AB$2:$AB$351,MATCH($A126,Data_Analitik!$AE$2:$AE$351,0)),""))</f>
        <v>Rusak Berat Dominan</v>
      </c>
    </row>
    <row r="127" spans="1:9" ht="21.95" customHeight="1" x14ac:dyDescent="0.25">
      <c r="A127" s="32">
        <f t="shared" si="1"/>
        <v>114</v>
      </c>
      <c r="B127" s="99" t="str">
        <f>IF(OR($A127="",$A127&gt;SUM(Data_Analitik!$AD$2:$AD$351)),"",IFERROR(INDEX(Data_Analitik!$B$2:$B$351,MATCH($A127,Data_Analitik!$AE$2:$AE$351,0)),""))</f>
        <v>215</v>
      </c>
      <c r="C127" s="101" t="str">
        <f>IF(OR($A127="",$A127&gt;SUM(Data_Analitik!$AD$2:$AD$351)),"",IFERROR(INDEX(Data_Analitik!$C$2:$C$351,MATCH($A127,Data_Analitik!$AE$2:$AE$351,0)),""))</f>
        <v>Jl. Kalimput Desa Wasah Hilir</v>
      </c>
      <c r="D127" s="99" t="str">
        <f>IF(OR($A127="",$A127&gt;SUM(Data_Analitik!$AD$2:$AD$351)),"",IFERROR(INDEX(Data_Analitik!$D$2:$D$351,MATCH($A127,Data_Analitik!$AE$2:$AE$351,0)),""))</f>
        <v>Simpur</v>
      </c>
      <c r="E127" s="100">
        <f>IF(OR($A127="",$A127&gt;SUM(Data_Analitik!$AD$2:$AD$351)),"",IFERROR(INDEX(Data_Analitik!$E$2:$E$351,MATCH($A127,Data_Analitik!$AE$2:$AE$351,0)),""))</f>
        <v>0.9</v>
      </c>
      <c r="F127" s="97">
        <f>IF(OR($A127="",$A127&gt;SUM(Data_Analitik!$AD$2:$AD$351)),"",IFERROR(INDEX(Data_Analitik!$Z$2:$Z$351,MATCH($A127,Data_Analitik!$AE$2:$AE$351,0)),""))</f>
        <v>0.55555555555555558</v>
      </c>
      <c r="G127" s="97">
        <f>IF(OR($A127="",$A127&gt;SUM(Data_Analitik!$AD$2:$AD$351)),"",IFERROR(INDEX(Data_Analitik!$AA$2:$AA$351,MATCH($A127,Data_Analitik!$AE$2:$AE$351,0)),""))</f>
        <v>0.44444444610012901</v>
      </c>
      <c r="H127" s="100">
        <f>IF(OR($A127="",$A127&gt;SUM(Data_Analitik!$AD$2:$AD$351)),"",IFERROR(INDEX(Data_Analitik!$U$2:$U$351,MATCH($A127,Data_Analitik!$AE$2:$AE$351,0)),""))</f>
        <v>0</v>
      </c>
      <c r="I127" s="33" t="str">
        <f>IF(OR($A127="",$A127&gt;SUM(Data_Analitik!$AD$2:$AD$351)),"",IFERROR(INDEX(Data_Analitik!$AB$2:$AB$351,MATCH($A127,Data_Analitik!$AE$2:$AE$351,0)),""))</f>
        <v>Tidak Mantap Tinggi</v>
      </c>
    </row>
    <row r="128" spans="1:9" ht="21.95" customHeight="1" x14ac:dyDescent="0.25">
      <c r="A128" s="32">
        <f t="shared" si="1"/>
        <v>115</v>
      </c>
      <c r="B128" s="99" t="str">
        <f>IF(OR($A128="",$A128&gt;SUM(Data_Analitik!$AD$2:$AD$351)),"",IFERROR(INDEX(Data_Analitik!$B$2:$B$351,MATCH($A128,Data_Analitik!$AE$2:$AE$351,0)),""))</f>
        <v>171</v>
      </c>
      <c r="C128" s="101" t="str">
        <f>IF(OR($A128="",$A128&gt;SUM(Data_Analitik!$AD$2:$AD$351)),"",IFERROR(INDEX(Data_Analitik!$C$2:$C$351,MATCH($A128,Data_Analitik!$AE$2:$AE$351,0)),""))</f>
        <v>Taniran Selatan Kubah - Buntut Taniran / Wawaran</v>
      </c>
      <c r="D128" s="99" t="str">
        <f>IF(OR($A128="",$A128&gt;SUM(Data_Analitik!$AD$2:$AD$351)),"",IFERROR(INDEX(Data_Analitik!$D$2:$D$351,MATCH($A128,Data_Analitik!$AE$2:$AE$351,0)),""))</f>
        <v>Angkinang - Kandangan</v>
      </c>
      <c r="E128" s="100">
        <f>IF(OR($A128="",$A128&gt;SUM(Data_Analitik!$AD$2:$AD$351)),"",IFERROR(INDEX(Data_Analitik!$E$2:$E$351,MATCH($A128,Data_Analitik!$AE$2:$AE$351,0)),""))</f>
        <v>6.74</v>
      </c>
      <c r="F128" s="97">
        <f>IF(OR($A128="",$A128&gt;SUM(Data_Analitik!$AD$2:$AD$351)),"",IFERROR(INDEX(Data_Analitik!$Z$2:$Z$351,MATCH($A128,Data_Analitik!$AE$2:$AE$351,0)),""))</f>
        <v>0.54896143140707954</v>
      </c>
      <c r="G128" s="97">
        <f>IF(OR($A128="",$A128&gt;SUM(Data_Analitik!$AD$2:$AD$351)),"",IFERROR(INDEX(Data_Analitik!$AA$2:$AA$351,MATCH($A128,Data_Analitik!$AE$2:$AE$351,0)),""))</f>
        <v>0.5096439278797863</v>
      </c>
      <c r="H128" s="100">
        <f>IF(OR($A128="",$A128&gt;SUM(Data_Analitik!$AD$2:$AD$351)),"",IFERROR(INDEX(Data_Analitik!$U$2:$U$351,MATCH($A128,Data_Analitik!$AE$2:$AE$351,0)),""))</f>
        <v>1.7000000476837158</v>
      </c>
      <c r="I128" s="33" t="str">
        <f>IF(OR($A128="",$A128&gt;SUM(Data_Analitik!$AD$2:$AD$351)),"",IFERROR(INDEX(Data_Analitik!$AB$2:$AB$351,MATCH($A128,Data_Analitik!$AE$2:$AE$351,0)),""))</f>
        <v>Rusak Berat Dominan</v>
      </c>
    </row>
    <row r="129" spans="1:9" ht="21.95" customHeight="1" x14ac:dyDescent="0.25">
      <c r="A129" s="32">
        <f t="shared" si="1"/>
        <v>116</v>
      </c>
      <c r="B129" s="99" t="str">
        <f>IF(OR($A129="",$A129&gt;SUM(Data_Analitik!$AD$2:$AD$351)),"",IFERROR(INDEX(Data_Analitik!$B$2:$B$351,MATCH($A129,Data_Analitik!$AE$2:$AE$351,0)),""))</f>
        <v>306</v>
      </c>
      <c r="C129" s="101" t="str">
        <f>IF(OR($A129="",$A129&gt;SUM(Data_Analitik!$AD$2:$AD$351)),"",IFERROR(INDEX(Data_Analitik!$C$2:$C$351,MATCH($A129,Data_Analitik!$AE$2:$AE$351,0)),""))</f>
        <v>Bayanan - Pihanin</v>
      </c>
      <c r="D129" s="99" t="str">
        <f>IF(OR($A129="",$A129&gt;SUM(Data_Analitik!$AD$2:$AD$351)),"",IFERROR(INDEX(Data_Analitik!$D$2:$D$351,MATCH($A129,Data_Analitik!$AE$2:$AE$351,0)),""))</f>
        <v>Daha Selatan</v>
      </c>
      <c r="E129" s="100">
        <f>IF(OR($A129="",$A129&gt;SUM(Data_Analitik!$AD$2:$AD$351)),"",IFERROR(INDEX(Data_Analitik!$E$2:$E$351,MATCH($A129,Data_Analitik!$AE$2:$AE$351,0)),""))</f>
        <v>2.21</v>
      </c>
      <c r="F129" s="97">
        <f>IF(OR($A129="",$A129&gt;SUM(Data_Analitik!$AD$2:$AD$351)),"",IFERROR(INDEX(Data_Analitik!$Z$2:$Z$351,MATCH($A129,Data_Analitik!$AE$2:$AE$351,0)),""))</f>
        <v>0.54751132273566128</v>
      </c>
      <c r="G129" s="97">
        <f>IF(OR($A129="",$A129&gt;SUM(Data_Analitik!$AD$2:$AD$351)),"",IFERROR(INDEX(Data_Analitik!$AA$2:$AA$351,MATCH($A129,Data_Analitik!$AE$2:$AE$351,0)),""))</f>
        <v>0.4841629028050608</v>
      </c>
      <c r="H129" s="100">
        <f>IF(OR($A129="",$A129&gt;SUM(Data_Analitik!$AD$2:$AD$351)),"",IFERROR(INDEX(Data_Analitik!$U$2:$U$351,MATCH($A129,Data_Analitik!$AE$2:$AE$351,0)),""))</f>
        <v>0.60999999940395355</v>
      </c>
      <c r="I129" s="33" t="str">
        <f>IF(OR($A129="",$A129&gt;SUM(Data_Analitik!$AD$2:$AD$351)),"",IFERROR(INDEX(Data_Analitik!$AB$2:$AB$351,MATCH($A129,Data_Analitik!$AE$2:$AE$351,0)),""))</f>
        <v>Rusak Berat Dominan</v>
      </c>
    </row>
    <row r="130" spans="1:9" ht="21.95" customHeight="1" x14ac:dyDescent="0.25">
      <c r="A130" s="32">
        <f t="shared" si="1"/>
        <v>117</v>
      </c>
      <c r="B130" s="99" t="str">
        <f>IF(OR($A130="",$A130&gt;SUM(Data_Analitik!$AD$2:$AD$351)),"",IFERROR(INDEX(Data_Analitik!$B$2:$B$351,MATCH($A130,Data_Analitik!$AE$2:$AE$351,0)),""))</f>
        <v>138</v>
      </c>
      <c r="C130" s="101" t="str">
        <f>IF(OR($A130="",$A130&gt;SUM(Data_Analitik!$AD$2:$AD$351)),"",IFERROR(INDEX(Data_Analitik!$C$2:$C$351,MATCH($A130,Data_Analitik!$AE$2:$AE$351,0)),""))</f>
        <v>Karang Jawa -Ambarai - Sungai Bungur</v>
      </c>
      <c r="D130" s="99" t="str">
        <f>IF(OR($A130="",$A130&gt;SUM(Data_Analitik!$AD$2:$AD$351)),"",IFERROR(INDEX(Data_Analitik!$D$2:$D$351,MATCH($A130,Data_Analitik!$AE$2:$AE$351,0)),""))</f>
        <v>Padang Batung</v>
      </c>
      <c r="E130" s="100">
        <f>IF(OR($A130="",$A130&gt;SUM(Data_Analitik!$AD$2:$AD$351)),"",IFERROR(INDEX(Data_Analitik!$E$2:$E$351,MATCH($A130,Data_Analitik!$AE$2:$AE$351,0)),""))</f>
        <v>4.04</v>
      </c>
      <c r="F130" s="97">
        <f>IF(OR($A130="",$A130&gt;SUM(Data_Analitik!$AD$2:$AD$351)),"",IFERROR(INDEX(Data_Analitik!$Z$2:$Z$351,MATCH($A130,Data_Analitik!$AE$2:$AE$351,0)),""))</f>
        <v>0.5445544524948196</v>
      </c>
      <c r="G130" s="97">
        <f>IF(OR($A130="",$A130&gt;SUM(Data_Analitik!$AD$2:$AD$351)),"",IFERROR(INDEX(Data_Analitik!$AA$2:$AA$351,MATCH($A130,Data_Analitik!$AE$2:$AE$351,0)),""))</f>
        <v>0.51980198167338232</v>
      </c>
      <c r="H130" s="100">
        <f>IF(OR($A130="",$A130&gt;SUM(Data_Analitik!$AD$2:$AD$351)),"",IFERROR(INDEX(Data_Analitik!$U$2:$U$351,MATCH($A130,Data_Analitik!$AE$2:$AE$351,0)),""))</f>
        <v>0.80000001192092896</v>
      </c>
      <c r="I130" s="33" t="str">
        <f>IF(OR($A130="",$A130&gt;SUM(Data_Analitik!$AD$2:$AD$351)),"",IFERROR(INDEX(Data_Analitik!$AB$2:$AB$351,MATCH($A130,Data_Analitik!$AE$2:$AE$351,0)),""))</f>
        <v>Tidak Mantap Tinggi</v>
      </c>
    </row>
    <row r="131" spans="1:9" ht="21.95" customHeight="1" x14ac:dyDescent="0.25">
      <c r="A131" s="32">
        <f t="shared" si="1"/>
        <v>118</v>
      </c>
      <c r="B131" s="99" t="str">
        <f>IF(OR($A131="",$A131&gt;SUM(Data_Analitik!$AD$2:$AD$351)),"",IFERROR(INDEX(Data_Analitik!$B$2:$B$351,MATCH($A131,Data_Analitik!$AE$2:$AE$351,0)),""))</f>
        <v>229</v>
      </c>
      <c r="C131" s="101" t="str">
        <f>IF(OR($A131="",$A131&gt;SUM(Data_Analitik!$AD$2:$AD$351)),"",IFERROR(INDEX(Data_Analitik!$C$2:$C$351,MATCH($A131,Data_Analitik!$AE$2:$AE$351,0)),""))</f>
        <v>Jl. Buluh - Ds. Tebing Tinggi</v>
      </c>
      <c r="D131" s="99" t="str">
        <f>IF(OR($A131="",$A131&gt;SUM(Data_Analitik!$AD$2:$AD$351)),"",IFERROR(INDEX(Data_Analitik!$D$2:$D$351,MATCH($A131,Data_Analitik!$AE$2:$AE$351,0)),""))</f>
        <v>Simpur</v>
      </c>
      <c r="E131" s="100">
        <f>IF(OR($A131="",$A131&gt;SUM(Data_Analitik!$AD$2:$AD$351)),"",IFERROR(INDEX(Data_Analitik!$E$2:$E$351,MATCH($A131,Data_Analitik!$AE$2:$AE$351,0)),""))</f>
        <v>1.28</v>
      </c>
      <c r="F131" s="97">
        <f>IF(OR($A131="",$A131&gt;SUM(Data_Analitik!$AD$2:$AD$351)),"",IFERROR(INDEX(Data_Analitik!$Z$2:$Z$351,MATCH($A131,Data_Analitik!$AE$2:$AE$351,0)),""))</f>
        <v>0.53125000558793545</v>
      </c>
      <c r="G131" s="97">
        <f>IF(OR($A131="",$A131&gt;SUM(Data_Analitik!$AD$2:$AD$351)),"",IFERROR(INDEX(Data_Analitik!$AA$2:$AA$351,MATCH($A131,Data_Analitik!$AE$2:$AE$351,0)),""))</f>
        <v>0.55078125587897375</v>
      </c>
      <c r="H131" s="100">
        <f>IF(OR($A131="",$A131&gt;SUM(Data_Analitik!$AD$2:$AD$351)),"",IFERROR(INDEX(Data_Analitik!$U$2:$U$351,MATCH($A131,Data_Analitik!$AE$2:$AE$351,0)),""))</f>
        <v>0.68000000715255737</v>
      </c>
      <c r="I131" s="33" t="str">
        <f>IF(OR($A131="",$A131&gt;SUM(Data_Analitik!$AD$2:$AD$351)),"",IFERROR(INDEX(Data_Analitik!$AB$2:$AB$351,MATCH($A131,Data_Analitik!$AE$2:$AE$351,0)),""))</f>
        <v>Rusak Berat Dominan</v>
      </c>
    </row>
    <row r="132" spans="1:9" ht="21.95" customHeight="1" x14ac:dyDescent="0.25">
      <c r="A132" s="32">
        <f t="shared" si="1"/>
        <v>119</v>
      </c>
      <c r="B132" s="99" t="str">
        <f>IF(OR($A132="",$A132&gt;SUM(Data_Analitik!$AD$2:$AD$351)),"",IFERROR(INDEX(Data_Analitik!$B$2:$B$351,MATCH($A132,Data_Analitik!$AE$2:$AE$351,0)),""))</f>
        <v>337</v>
      </c>
      <c r="C132" s="101" t="str">
        <f>IF(OR($A132="",$A132&gt;SUM(Data_Analitik!$AD$2:$AD$351)),"",IFERROR(INDEX(Data_Analitik!$C$2:$C$351,MATCH($A132,Data_Analitik!$AE$2:$AE$351,0)),""))</f>
        <v>Jl. Hakurung Dalam - Ds. Sungai Haji</v>
      </c>
      <c r="D132" s="99" t="str">
        <f>IF(OR($A132="",$A132&gt;SUM(Data_Analitik!$AD$2:$AD$351)),"",IFERROR(INDEX(Data_Analitik!$D$2:$D$351,MATCH($A132,Data_Analitik!$AE$2:$AE$351,0)),""))</f>
        <v>Daha Utara</v>
      </c>
      <c r="E132" s="100">
        <f>IF(OR($A132="",$A132&gt;SUM(Data_Analitik!$AD$2:$AD$351)),"",IFERROR(INDEX(Data_Analitik!$E$2:$E$351,MATCH($A132,Data_Analitik!$AE$2:$AE$351,0)),""))</f>
        <v>0.56999999999999995</v>
      </c>
      <c r="F132" s="97">
        <f>IF(OR($A132="",$A132&gt;SUM(Data_Analitik!$AD$2:$AD$351)),"",IFERROR(INDEX(Data_Analitik!$Z$2:$Z$351,MATCH($A132,Data_Analitik!$AE$2:$AE$351,0)),""))</f>
        <v>0.52631579731640066</v>
      </c>
      <c r="G132" s="97">
        <f>IF(OR($A132="",$A132&gt;SUM(Data_Analitik!$AD$2:$AD$351)),"",IFERROR(INDEX(Data_Analitik!$AA$2:$AA$351,MATCH($A132,Data_Analitik!$AE$2:$AE$351,0)),""))</f>
        <v>0.57456141501142266</v>
      </c>
      <c r="H132" s="100">
        <f>IF(OR($A132="",$A132&gt;SUM(Data_Analitik!$AD$2:$AD$351)),"",IFERROR(INDEX(Data_Analitik!$U$2:$U$351,MATCH($A132,Data_Analitik!$AE$2:$AE$351,0)),""))</f>
        <v>0.20000000298023224</v>
      </c>
      <c r="I132" s="33" t="str">
        <f>IF(OR($A132="",$A132&gt;SUM(Data_Analitik!$AD$2:$AD$351)),"",IFERROR(INDEX(Data_Analitik!$AB$2:$AB$351,MATCH($A132,Data_Analitik!$AE$2:$AE$351,0)),""))</f>
        <v>Rusak Berat Dominan</v>
      </c>
    </row>
    <row r="133" spans="1:9" ht="21.95" customHeight="1" x14ac:dyDescent="0.25">
      <c r="A133" s="32">
        <f t="shared" si="1"/>
        <v>120</v>
      </c>
      <c r="B133" s="99" t="str">
        <f>IF(OR($A133="",$A133&gt;SUM(Data_Analitik!$AD$2:$AD$351)),"",IFERROR(INDEX(Data_Analitik!$B$2:$B$351,MATCH($A133,Data_Analitik!$AE$2:$AE$351,0)),""))</f>
        <v>103</v>
      </c>
      <c r="C133" s="101" t="str">
        <f>IF(OR($A133="",$A133&gt;SUM(Data_Analitik!$AD$2:$AD$351)),"",IFERROR(INDEX(Data_Analitik!$C$2:$C$351,MATCH($A133,Data_Analitik!$AE$2:$AE$351,0)),""))</f>
        <v>Karasikan - Sarang Halang</v>
      </c>
      <c r="D133" s="99" t="str">
        <f>IF(OR($A133="",$A133&gt;SUM(Data_Analitik!$AD$2:$AD$351)),"",IFERROR(INDEX(Data_Analitik!$D$2:$D$351,MATCH($A133,Data_Analitik!$AE$2:$AE$351,0)),""))</f>
        <v>Sungai Raya</v>
      </c>
      <c r="E133" s="100">
        <f>IF(OR($A133="",$A133&gt;SUM(Data_Analitik!$AD$2:$AD$351)),"",IFERROR(INDEX(Data_Analitik!$E$2:$E$351,MATCH($A133,Data_Analitik!$AE$2:$AE$351,0)),""))</f>
        <v>1.9</v>
      </c>
      <c r="F133" s="97">
        <f>IF(OR($A133="",$A133&gt;SUM(Data_Analitik!$AD$2:$AD$351)),"",IFERROR(INDEX(Data_Analitik!$Z$2:$Z$351,MATCH($A133,Data_Analitik!$AE$2:$AE$351,0)),""))</f>
        <v>0.52631578947368418</v>
      </c>
      <c r="G133" s="97">
        <f>IF(OR($A133="",$A133&gt;SUM(Data_Analitik!$AD$2:$AD$351)),"",IFERROR(INDEX(Data_Analitik!$AA$2:$AA$351,MATCH($A133,Data_Analitik!$AE$2:$AE$351,0)),""))</f>
        <v>0.58157894172166524</v>
      </c>
      <c r="H133" s="100">
        <f>IF(OR($A133="",$A133&gt;SUM(Data_Analitik!$AD$2:$AD$351)),"",IFERROR(INDEX(Data_Analitik!$U$2:$U$351,MATCH($A133,Data_Analitik!$AE$2:$AE$351,0)),""))</f>
        <v>0.69999998807907104</v>
      </c>
      <c r="I133" s="33" t="str">
        <f>IF(OR($A133="",$A133&gt;SUM(Data_Analitik!$AD$2:$AD$351)),"",IFERROR(INDEX(Data_Analitik!$AB$2:$AB$351,MATCH($A133,Data_Analitik!$AE$2:$AE$351,0)),""))</f>
        <v>Rusak Berat Dominan</v>
      </c>
    </row>
    <row r="134" spans="1:9" ht="21.95" customHeight="1" x14ac:dyDescent="0.25">
      <c r="A134" s="32">
        <f t="shared" si="1"/>
        <v>121</v>
      </c>
      <c r="B134" s="99" t="str">
        <f>IF(OR($A134="",$A134&gt;SUM(Data_Analitik!$AD$2:$AD$351)),"",IFERROR(INDEX(Data_Analitik!$B$2:$B$351,MATCH($A134,Data_Analitik!$AE$2:$AE$351,0)),""))</f>
        <v>016</v>
      </c>
      <c r="C134" s="101" t="str">
        <f>IF(OR($A134="",$A134&gt;SUM(Data_Analitik!$AD$2:$AD$351)),"",IFERROR(INDEX(Data_Analitik!$C$2:$C$351,MATCH($A134,Data_Analitik!$AE$2:$AE$351,0)),""))</f>
        <v>Jl. KS. Tubun</v>
      </c>
      <c r="D134" s="99" t="str">
        <f>IF(OR($A134="",$A134&gt;SUM(Data_Analitik!$AD$2:$AD$351)),"",IFERROR(INDEX(Data_Analitik!$D$2:$D$351,MATCH($A134,Data_Analitik!$AE$2:$AE$351,0)),""))</f>
        <v>Kandangan</v>
      </c>
      <c r="E134" s="100">
        <f>IF(OR($A134="",$A134&gt;SUM(Data_Analitik!$AD$2:$AD$351)),"",IFERROR(INDEX(Data_Analitik!$E$2:$E$351,MATCH($A134,Data_Analitik!$AE$2:$AE$351,0)),""))</f>
        <v>0.96</v>
      </c>
      <c r="F134" s="97">
        <f>IF(OR($A134="",$A134&gt;SUM(Data_Analitik!$AD$2:$AD$351)),"",IFERROR(INDEX(Data_Analitik!$Z$2:$Z$351,MATCH($A134,Data_Analitik!$AE$2:$AE$351,0)),""))</f>
        <v>0.52083333333333337</v>
      </c>
      <c r="G134" s="97">
        <f>IF(OR($A134="",$A134&gt;SUM(Data_Analitik!$AD$2:$AD$351)),"",IFERROR(INDEX(Data_Analitik!$AA$2:$AA$351,MATCH($A134,Data_Analitik!$AE$2:$AE$351,0)),""))</f>
        <v>0.39062500310440862</v>
      </c>
      <c r="H134" s="100">
        <f>IF(OR($A134="",$A134&gt;SUM(Data_Analitik!$AD$2:$AD$351)),"",IFERROR(INDEX(Data_Analitik!$U$2:$U$351,MATCH($A134,Data_Analitik!$AE$2:$AE$351,0)),""))</f>
        <v>0</v>
      </c>
      <c r="I134" s="33" t="str">
        <f>IF(OR($A134="",$A134&gt;SUM(Data_Analitik!$AD$2:$AD$351)),"",IFERROR(INDEX(Data_Analitik!$AB$2:$AB$351,MATCH($A134,Data_Analitik!$AE$2:$AE$351,0)),""))</f>
        <v>Tidak Mantap Tinggi</v>
      </c>
    </row>
    <row r="135" spans="1:9" ht="21.95" customHeight="1" x14ac:dyDescent="0.25">
      <c r="A135" s="32">
        <f t="shared" si="1"/>
        <v>122</v>
      </c>
      <c r="B135" s="99" t="str">
        <f>IF(OR($A135="",$A135&gt;SUM(Data_Analitik!$AD$2:$AD$351)),"",IFERROR(INDEX(Data_Analitik!$B$2:$B$351,MATCH($A135,Data_Analitik!$AE$2:$AE$351,0)),""))</f>
        <v>212</v>
      </c>
      <c r="C135" s="101" t="str">
        <f>IF(OR($A135="",$A135&gt;SUM(Data_Analitik!$AD$2:$AD$351)),"",IFERROR(INDEX(Data_Analitik!$C$2:$C$351,MATCH($A135,Data_Analitik!$AE$2:$AE$351,0)),""))</f>
        <v>Panjampang Bahagia - Hanau</v>
      </c>
      <c r="D135" s="99" t="str">
        <f>IF(OR($A135="",$A135&gt;SUM(Data_Analitik!$AD$2:$AD$351)),"",IFERROR(INDEX(Data_Analitik!$D$2:$D$351,MATCH($A135,Data_Analitik!$AE$2:$AE$351,0)),""))</f>
        <v>Simpur</v>
      </c>
      <c r="E135" s="100">
        <f>IF(OR($A135="",$A135&gt;SUM(Data_Analitik!$AD$2:$AD$351)),"",IFERROR(INDEX(Data_Analitik!$E$2:$E$351,MATCH($A135,Data_Analitik!$AE$2:$AE$351,0)),""))</f>
        <v>4.78</v>
      </c>
      <c r="F135" s="97">
        <f>IF(OR($A135="",$A135&gt;SUM(Data_Analitik!$AD$2:$AD$351)),"",IFERROR(INDEX(Data_Analitik!$Z$2:$Z$351,MATCH($A135,Data_Analitik!$AE$2:$AE$351,0)),""))</f>
        <v>0.5188284434035233</v>
      </c>
      <c r="G135" s="97">
        <f>IF(OR($A135="",$A135&gt;SUM(Data_Analitik!$AD$2:$AD$351)),"",IFERROR(INDEX(Data_Analitik!$AA$2:$AA$351,MATCH($A135,Data_Analitik!$AE$2:$AE$351,0)),""))</f>
        <v>0.6140167244308663</v>
      </c>
      <c r="H135" s="100">
        <f>IF(OR($A135="",$A135&gt;SUM(Data_Analitik!$AD$2:$AD$351)),"",IFERROR(INDEX(Data_Analitik!$U$2:$U$351,MATCH($A135,Data_Analitik!$AE$2:$AE$351,0)),""))</f>
        <v>2.1799999475479126</v>
      </c>
      <c r="I135" s="33" t="str">
        <f>IF(OR($A135="",$A135&gt;SUM(Data_Analitik!$AD$2:$AD$351)),"",IFERROR(INDEX(Data_Analitik!$AB$2:$AB$351,MATCH($A135,Data_Analitik!$AE$2:$AE$351,0)),""))</f>
        <v>Rusak Berat Dominan</v>
      </c>
    </row>
    <row r="136" spans="1:9" ht="21.95" customHeight="1" x14ac:dyDescent="0.25">
      <c r="A136" s="32">
        <f t="shared" si="1"/>
        <v>123</v>
      </c>
      <c r="B136" s="99" t="str">
        <f>IF(OR($A136="",$A136&gt;SUM(Data_Analitik!$AD$2:$AD$351)),"",IFERROR(INDEX(Data_Analitik!$B$2:$B$351,MATCH($A136,Data_Analitik!$AE$2:$AE$351,0)),""))</f>
        <v>061</v>
      </c>
      <c r="C136" s="101" t="str">
        <f>IF(OR($A136="",$A136&gt;SUM(Data_Analitik!$AD$2:$AD$351)),"",IFERROR(INDEX(Data_Analitik!$C$2:$C$351,MATCH($A136,Data_Analitik!$AE$2:$AE$351,0)),""))</f>
        <v>Rambai - Bariang</v>
      </c>
      <c r="D136" s="99" t="str">
        <f>IF(OR($A136="",$A136&gt;SUM(Data_Analitik!$AD$2:$AD$351)),"",IFERROR(INDEX(Data_Analitik!$D$2:$D$351,MATCH($A136,Data_Analitik!$AE$2:$AE$351,0)),""))</f>
        <v>Kandangan</v>
      </c>
      <c r="E136" s="100">
        <f>IF(OR($A136="",$A136&gt;SUM(Data_Analitik!$AD$2:$AD$351)),"",IFERROR(INDEX(Data_Analitik!$E$2:$E$351,MATCH($A136,Data_Analitik!$AE$2:$AE$351,0)),""))</f>
        <v>1.21</v>
      </c>
      <c r="F136" s="97">
        <f>IF(OR($A136="",$A136&gt;SUM(Data_Analitik!$AD$2:$AD$351)),"",IFERROR(INDEX(Data_Analitik!$Z$2:$Z$351,MATCH($A136,Data_Analitik!$AE$2:$AE$351,0)),""))</f>
        <v>0.50413223091235837</v>
      </c>
      <c r="G136" s="97">
        <f>IF(OR($A136="",$A136&gt;SUM(Data_Analitik!$AD$2:$AD$351)),"",IFERROR(INDEX(Data_Analitik!$AA$2:$AA$351,MATCH($A136,Data_Analitik!$AE$2:$AE$351,0)),""))</f>
        <v>0.56198347452258279</v>
      </c>
      <c r="H136" s="100">
        <f>IF(OR($A136="",$A136&gt;SUM(Data_Analitik!$AD$2:$AD$351)),"",IFERROR(INDEX(Data_Analitik!$U$2:$U$351,MATCH($A136,Data_Analitik!$AE$2:$AE$351,0)),""))</f>
        <v>0.40999999642372131</v>
      </c>
      <c r="I136" s="33" t="str">
        <f>IF(OR($A136="",$A136&gt;SUM(Data_Analitik!$AD$2:$AD$351)),"",IFERROR(INDEX(Data_Analitik!$AB$2:$AB$351,MATCH($A136,Data_Analitik!$AE$2:$AE$351,0)),""))</f>
        <v>Rusak Berat Dominan</v>
      </c>
    </row>
    <row r="137" spans="1:9" ht="21.95" customHeight="1" x14ac:dyDescent="0.25">
      <c r="A137" s="32">
        <f t="shared" si="1"/>
        <v>124</v>
      </c>
      <c r="B137" s="99" t="str">
        <f>IF(OR($A137="",$A137&gt;SUM(Data_Analitik!$AD$2:$AD$351)),"",IFERROR(INDEX(Data_Analitik!$B$2:$B$351,MATCH($A137,Data_Analitik!$AE$2:$AE$351,0)),""))</f>
        <v>143</v>
      </c>
      <c r="C137" s="101" t="str">
        <f>IF(OR($A137="",$A137&gt;SUM(Data_Analitik!$AD$2:$AD$351)),"",IFERROR(INDEX(Data_Analitik!$C$2:$C$351,MATCH($A137,Data_Analitik!$AE$2:$AE$351,0)),""))</f>
        <v>Mandapai - Madang</v>
      </c>
      <c r="D137" s="99" t="str">
        <f>IF(OR($A137="",$A137&gt;SUM(Data_Analitik!$AD$2:$AD$351)),"",IFERROR(INDEX(Data_Analitik!$D$2:$D$351,MATCH($A137,Data_Analitik!$AE$2:$AE$351,0)),""))</f>
        <v>Padang Batung</v>
      </c>
      <c r="E137" s="100">
        <f>IF(OR($A137="",$A137&gt;SUM(Data_Analitik!$AD$2:$AD$351)),"",IFERROR(INDEX(Data_Analitik!$E$2:$E$351,MATCH($A137,Data_Analitik!$AE$2:$AE$351,0)),""))</f>
        <v>5.82</v>
      </c>
      <c r="F137" s="97">
        <f>IF(OR($A137="",$A137&gt;SUM(Data_Analitik!$AD$2:$AD$351)),"",IFERROR(INDEX(Data_Analitik!$Z$2:$Z$351,MATCH($A137,Data_Analitik!$AE$2:$AE$351,0)),""))</f>
        <v>0.4982817828450416</v>
      </c>
      <c r="G137" s="97">
        <f>IF(OR($A137="",$A137&gt;SUM(Data_Analitik!$AD$2:$AD$351)),"",IFERROR(INDEX(Data_Analitik!$AA$2:$AA$351,MATCH($A137,Data_Analitik!$AE$2:$AE$351,0)),""))</f>
        <v>0.50000000245792342</v>
      </c>
      <c r="H137" s="100">
        <f>IF(OR($A137="",$A137&gt;SUM(Data_Analitik!$AD$2:$AD$351)),"",IFERROR(INDEX(Data_Analitik!$U$2:$U$351,MATCH($A137,Data_Analitik!$AE$2:$AE$351,0)),""))</f>
        <v>1.1000000238418579</v>
      </c>
      <c r="I137" s="33" t="str">
        <f>IF(OR($A137="",$A137&gt;SUM(Data_Analitik!$AD$2:$AD$351)),"",IFERROR(INDEX(Data_Analitik!$AB$2:$AB$351,MATCH($A137,Data_Analitik!$AE$2:$AE$351,0)),""))</f>
        <v>Tidak Mantap Sedang</v>
      </c>
    </row>
    <row r="138" spans="1:9" ht="21.95" customHeight="1" x14ac:dyDescent="0.25">
      <c r="A138" s="32">
        <f t="shared" si="1"/>
        <v>125</v>
      </c>
      <c r="B138" s="99" t="str">
        <f>IF(OR($A138="",$A138&gt;SUM(Data_Analitik!$AD$2:$AD$351)),"",IFERROR(INDEX(Data_Analitik!$B$2:$B$351,MATCH($A138,Data_Analitik!$AE$2:$AE$351,0)),""))</f>
        <v>045</v>
      </c>
      <c r="C138" s="101" t="str">
        <f>IF(OR($A138="",$A138&gt;SUM(Data_Analitik!$AD$2:$AD$351)),"",IFERROR(INDEX(Data_Analitik!$C$2:$C$351,MATCH($A138,Data_Analitik!$AE$2:$AE$351,0)),""))</f>
        <v>Gambir - Sp. Empat Lungau</v>
      </c>
      <c r="D138" s="99" t="str">
        <f>IF(OR($A138="",$A138&gt;SUM(Data_Analitik!$AD$2:$AD$351)),"",IFERROR(INDEX(Data_Analitik!$D$2:$D$351,MATCH($A138,Data_Analitik!$AE$2:$AE$351,0)),""))</f>
        <v>Kandangan</v>
      </c>
      <c r="E138" s="100">
        <f>IF(OR($A138="",$A138&gt;SUM(Data_Analitik!$AD$2:$AD$351)),"",IFERROR(INDEX(Data_Analitik!$E$2:$E$351,MATCH($A138,Data_Analitik!$AE$2:$AE$351,0)),""))</f>
        <v>2.95</v>
      </c>
      <c r="F138" s="97">
        <f>IF(OR($A138="",$A138&gt;SUM(Data_Analitik!$AD$2:$AD$351)),"",IFERROR(INDEX(Data_Analitik!$Z$2:$Z$351,MATCH($A138,Data_Analitik!$AE$2:$AE$351,0)),""))</f>
        <v>0.49152543989278502</v>
      </c>
      <c r="G138" s="97">
        <f>IF(OR($A138="",$A138&gt;SUM(Data_Analitik!$AD$2:$AD$351)),"",IFERROR(INDEX(Data_Analitik!$AA$2:$AA$351,MATCH($A138,Data_Analitik!$AE$2:$AE$351,0)),""))</f>
        <v>0.61864408396058157</v>
      </c>
      <c r="H138" s="100">
        <f>IF(OR($A138="",$A138&gt;SUM(Data_Analitik!$AD$2:$AD$351)),"",IFERROR(INDEX(Data_Analitik!$U$2:$U$351,MATCH($A138,Data_Analitik!$AE$2:$AE$351,0)),""))</f>
        <v>1.4500000476837158</v>
      </c>
      <c r="I138" s="33" t="str">
        <f>IF(OR($A138="",$A138&gt;SUM(Data_Analitik!$AD$2:$AD$351)),"",IFERROR(INDEX(Data_Analitik!$AB$2:$AB$351,MATCH($A138,Data_Analitik!$AE$2:$AE$351,0)),""))</f>
        <v>Rusak Berat Dominan</v>
      </c>
    </row>
    <row r="139" spans="1:9" ht="21.95" customHeight="1" x14ac:dyDescent="0.25">
      <c r="A139" s="32">
        <f t="shared" si="1"/>
        <v>126</v>
      </c>
      <c r="B139" s="99" t="str">
        <f>IF(OR($A139="",$A139&gt;SUM(Data_Analitik!$AD$2:$AD$351)),"",IFERROR(INDEX(Data_Analitik!$B$2:$B$351,MATCH($A139,Data_Analitik!$AE$2:$AE$351,0)),""))</f>
        <v>222</v>
      </c>
      <c r="C139" s="101" t="str">
        <f>IF(OR($A139="",$A139&gt;SUM(Data_Analitik!$AD$2:$AD$351)),"",IFERROR(INDEX(Data_Analitik!$C$2:$C$351,MATCH($A139,Data_Analitik!$AE$2:$AE$351,0)),""))</f>
        <v>Jl. Tungkaran - Ds. Ulin</v>
      </c>
      <c r="D139" s="99" t="str">
        <f>IF(OR($A139="",$A139&gt;SUM(Data_Analitik!$AD$2:$AD$351)),"",IFERROR(INDEX(Data_Analitik!$D$2:$D$351,MATCH($A139,Data_Analitik!$AE$2:$AE$351,0)),""))</f>
        <v>Simpur</v>
      </c>
      <c r="E139" s="100">
        <f>IF(OR($A139="",$A139&gt;SUM(Data_Analitik!$AD$2:$AD$351)),"",IFERROR(INDEX(Data_Analitik!$E$2:$E$351,MATCH($A139,Data_Analitik!$AE$2:$AE$351,0)),""))</f>
        <v>1.24</v>
      </c>
      <c r="F139" s="97">
        <f>IF(OR($A139="",$A139&gt;SUM(Data_Analitik!$AD$2:$AD$351)),"",IFERROR(INDEX(Data_Analitik!$Z$2:$Z$351,MATCH($A139,Data_Analitik!$AE$2:$AE$351,0)),""))</f>
        <v>0.48387098696924025</v>
      </c>
      <c r="G139" s="97">
        <f>IF(OR($A139="",$A139&gt;SUM(Data_Analitik!$AD$2:$AD$351)),"",IFERROR(INDEX(Data_Analitik!$AA$2:$AA$351,MATCH($A139,Data_Analitik!$AE$2:$AE$351,0)),""))</f>
        <v>0.61290324214966063</v>
      </c>
      <c r="H139" s="100">
        <f>IF(OR($A139="",$A139&gt;SUM(Data_Analitik!$AD$2:$AD$351)),"",IFERROR(INDEX(Data_Analitik!$U$2:$U$351,MATCH($A139,Data_Analitik!$AE$2:$AE$351,0)),""))</f>
        <v>0.60000002384185791</v>
      </c>
      <c r="I139" s="33" t="str">
        <f>IF(OR($A139="",$A139&gt;SUM(Data_Analitik!$AD$2:$AD$351)),"",IFERROR(INDEX(Data_Analitik!$AB$2:$AB$351,MATCH($A139,Data_Analitik!$AE$2:$AE$351,0)),""))</f>
        <v>Rusak Berat Dominan</v>
      </c>
    </row>
    <row r="140" spans="1:9" ht="21.95" customHeight="1" x14ac:dyDescent="0.25">
      <c r="A140" s="32">
        <f t="shared" si="1"/>
        <v>127</v>
      </c>
      <c r="B140" s="99" t="str">
        <f>IF(OR($A140="",$A140&gt;SUM(Data_Analitik!$AD$2:$AD$351)),"",IFERROR(INDEX(Data_Analitik!$B$2:$B$351,MATCH($A140,Data_Analitik!$AE$2:$AE$351,0)),""))</f>
        <v>036</v>
      </c>
      <c r="C140" s="101" t="str">
        <f>IF(OR($A140="",$A140&gt;SUM(Data_Analitik!$AD$2:$AD$351)),"",IFERROR(INDEX(Data_Analitik!$C$2:$C$351,MATCH($A140,Data_Analitik!$AE$2:$AE$351,0)),""))</f>
        <v>Tembok Lama - Loklua</v>
      </c>
      <c r="D140" s="99" t="str">
        <f>IF(OR($A140="",$A140&gt;SUM(Data_Analitik!$AD$2:$AD$351)),"",IFERROR(INDEX(Data_Analitik!$D$2:$D$351,MATCH($A140,Data_Analitik!$AE$2:$AE$351,0)),""))</f>
        <v>Kandangan</v>
      </c>
      <c r="E140" s="100">
        <f>IF(OR($A140="",$A140&gt;SUM(Data_Analitik!$AD$2:$AD$351)),"",IFERROR(INDEX(Data_Analitik!$E$2:$E$351,MATCH($A140,Data_Analitik!$AE$2:$AE$351,0)),""))</f>
        <v>0.84</v>
      </c>
      <c r="F140" s="97">
        <f>IF(OR($A140="",$A140&gt;SUM(Data_Analitik!$AD$2:$AD$351)),"",IFERROR(INDEX(Data_Analitik!$Z$2:$Z$351,MATCH($A140,Data_Analitik!$AE$2:$AE$351,0)),""))</f>
        <v>0.47619049215600606</v>
      </c>
      <c r="G140" s="97">
        <f>IF(OR($A140="",$A140&gt;SUM(Data_Analitik!$AD$2:$AD$351)),"",IFERROR(INDEX(Data_Analitik!$AA$2:$AA$351,MATCH($A140,Data_Analitik!$AE$2:$AE$351,0)),""))</f>
        <v>0.4642857238650322</v>
      </c>
      <c r="H140" s="100">
        <f>IF(OR($A140="",$A140&gt;SUM(Data_Analitik!$AD$2:$AD$351)),"",IFERROR(INDEX(Data_Analitik!$U$2:$U$351,MATCH($A140,Data_Analitik!$AE$2:$AE$351,0)),""))</f>
        <v>0.10000000149011612</v>
      </c>
      <c r="I140" s="33" t="str">
        <f>IF(OR($A140="",$A140&gt;SUM(Data_Analitik!$AD$2:$AD$351)),"",IFERROR(INDEX(Data_Analitik!$AB$2:$AB$351,MATCH($A140,Data_Analitik!$AE$2:$AE$351,0)),""))</f>
        <v>Tidak Mantap Sedang</v>
      </c>
    </row>
    <row r="141" spans="1:9" ht="21.95" customHeight="1" x14ac:dyDescent="0.25">
      <c r="A141" s="32">
        <f t="shared" si="1"/>
        <v>128</v>
      </c>
      <c r="B141" s="99" t="str">
        <f>IF(OR($A141="",$A141&gt;SUM(Data_Analitik!$AD$2:$AD$351)),"",IFERROR(INDEX(Data_Analitik!$B$2:$B$351,MATCH($A141,Data_Analitik!$AE$2:$AE$351,0)),""))</f>
        <v>289</v>
      </c>
      <c r="C141" s="101" t="str">
        <f>IF(OR($A141="",$A141&gt;SUM(Data_Analitik!$AD$2:$AD$351)),"",IFERROR(INDEX(Data_Analitik!$C$2:$C$351,MATCH($A141,Data_Analitik!$AE$2:$AE$351,0)),""))</f>
        <v>Bayanan - Habirau Tengah</v>
      </c>
      <c r="D141" s="99" t="str">
        <f>IF(OR($A141="",$A141&gt;SUM(Data_Analitik!$AD$2:$AD$351)),"",IFERROR(INDEX(Data_Analitik!$D$2:$D$351,MATCH($A141,Data_Analitik!$AE$2:$AE$351,0)),""))</f>
        <v>Daha Selatan</v>
      </c>
      <c r="E141" s="100">
        <f>IF(OR($A141="",$A141&gt;SUM(Data_Analitik!$AD$2:$AD$351)),"",IFERROR(INDEX(Data_Analitik!$E$2:$E$351,MATCH($A141,Data_Analitik!$AE$2:$AE$351,0)),""))</f>
        <v>2.86</v>
      </c>
      <c r="F141" s="97">
        <f>IF(OR($A141="",$A141&gt;SUM(Data_Analitik!$AD$2:$AD$351)),"",IFERROR(INDEX(Data_Analitik!$Z$2:$Z$351,MATCH($A141,Data_Analitik!$AE$2:$AE$351,0)),""))</f>
        <v>0.47552445968547902</v>
      </c>
      <c r="G141" s="97">
        <f>IF(OR($A141="",$A141&gt;SUM(Data_Analitik!$AD$2:$AD$351)),"",IFERROR(INDEX(Data_Analitik!$AA$2:$AA$351,MATCH($A141,Data_Analitik!$AE$2:$AE$351,0)),""))</f>
        <v>0.54720277552838092</v>
      </c>
      <c r="H141" s="100">
        <f>IF(OR($A141="",$A141&gt;SUM(Data_Analitik!$AD$2:$AD$351)),"",IFERROR(INDEX(Data_Analitik!$U$2:$U$351,MATCH($A141,Data_Analitik!$AE$2:$AE$351,0)),""))</f>
        <v>1.059999942779541</v>
      </c>
      <c r="I141" s="33" t="str">
        <f>IF(OR($A141="",$A141&gt;SUM(Data_Analitik!$AD$2:$AD$351)),"",IFERROR(INDEX(Data_Analitik!$AB$2:$AB$351,MATCH($A141,Data_Analitik!$AE$2:$AE$351,0)),""))</f>
        <v>Rusak Berat Dominan</v>
      </c>
    </row>
    <row r="142" spans="1:9" ht="21.95" customHeight="1" x14ac:dyDescent="0.25">
      <c r="A142" s="32">
        <f t="shared" si="1"/>
        <v>129</v>
      </c>
      <c r="B142" s="99" t="str">
        <f>IF(OR($A142="",$A142&gt;SUM(Data_Analitik!$AD$2:$AD$351)),"",IFERROR(INDEX(Data_Analitik!$B$2:$B$351,MATCH($A142,Data_Analitik!$AE$2:$AE$351,0)),""))</f>
        <v>025</v>
      </c>
      <c r="C142" s="101" t="str">
        <f>IF(OR($A142="",$A142&gt;SUM(Data_Analitik!$AD$2:$AD$351)),"",IFERROR(INDEX(Data_Analitik!$C$2:$C$351,MATCH($A142,Data_Analitik!$AE$2:$AE$351,0)),""))</f>
        <v>Singakarsa - Palas</v>
      </c>
      <c r="D142" s="99" t="str">
        <f>IF(OR($A142="",$A142&gt;SUM(Data_Analitik!$AD$2:$AD$351)),"",IFERROR(INDEX(Data_Analitik!$D$2:$D$351,MATCH($A142,Data_Analitik!$AE$2:$AE$351,0)),""))</f>
        <v>Kandangan</v>
      </c>
      <c r="E142" s="100">
        <f>IF(OR($A142="",$A142&gt;SUM(Data_Analitik!$AD$2:$AD$351)),"",IFERROR(INDEX(Data_Analitik!$E$2:$E$351,MATCH($A142,Data_Analitik!$AE$2:$AE$351,0)),""))</f>
        <v>5.32</v>
      </c>
      <c r="F142" s="97">
        <f>IF(OR($A142="",$A142&gt;SUM(Data_Analitik!$AD$2:$AD$351)),"",IFERROR(INDEX(Data_Analitik!$Z$2:$Z$351,MATCH($A142,Data_Analitik!$AE$2:$AE$351,0)),""))</f>
        <v>0.47368422934883514</v>
      </c>
      <c r="G142" s="97">
        <f>IF(OR($A142="",$A142&gt;SUM(Data_Analitik!$AD$2:$AD$351)),"",IFERROR(INDEX(Data_Analitik!$AA$2:$AA$351,MATCH($A142,Data_Analitik!$AE$2:$AE$351,0)),""))</f>
        <v>0.4543233253902062</v>
      </c>
      <c r="H142" s="100">
        <f>IF(OR($A142="",$A142&gt;SUM(Data_Analitik!$AD$2:$AD$351)),"",IFERROR(INDEX(Data_Analitik!$U$2:$U$351,MATCH($A142,Data_Analitik!$AE$2:$AE$351,0)),""))</f>
        <v>1.2000000476837158</v>
      </c>
      <c r="I142" s="33" t="str">
        <f>IF(OR($A142="",$A142&gt;SUM(Data_Analitik!$AD$2:$AD$351)),"",IFERROR(INDEX(Data_Analitik!$AB$2:$AB$351,MATCH($A142,Data_Analitik!$AE$2:$AE$351,0)),""))</f>
        <v>Rusak Berat Dominan</v>
      </c>
    </row>
    <row r="143" spans="1:9" ht="21.95" customHeight="1" x14ac:dyDescent="0.25">
      <c r="A143" s="32">
        <f t="shared" si="1"/>
        <v>130</v>
      </c>
      <c r="B143" s="99" t="str">
        <f>IF(OR($A143="",$A143&gt;SUM(Data_Analitik!$AD$2:$AD$351)),"",IFERROR(INDEX(Data_Analitik!$B$2:$B$351,MATCH($A143,Data_Analitik!$AE$2:$AE$351,0)),""))</f>
        <v>158</v>
      </c>
      <c r="C143" s="101" t="str">
        <f>IF(OR($A143="",$A143&gt;SUM(Data_Analitik!$AD$2:$AD$351)),"",IFERROR(INDEX(Data_Analitik!$C$2:$C$351,MATCH($A143,Data_Analitik!$AE$2:$AE$351,0)),""))</f>
        <v>Mawangi - Pariangan</v>
      </c>
      <c r="D143" s="99" t="str">
        <f>IF(OR($A143="",$A143&gt;SUM(Data_Analitik!$AD$2:$AD$351)),"",IFERROR(INDEX(Data_Analitik!$D$2:$D$351,MATCH($A143,Data_Analitik!$AE$2:$AE$351,0)),""))</f>
        <v>Padang Batung</v>
      </c>
      <c r="E143" s="100">
        <f>IF(OR($A143="",$A143&gt;SUM(Data_Analitik!$AD$2:$AD$351)),"",IFERROR(INDEX(Data_Analitik!$E$2:$E$351,MATCH($A143,Data_Analitik!$AE$2:$AE$351,0)),""))</f>
        <v>2.35</v>
      </c>
      <c r="F143" s="97">
        <f>IF(OR($A143="",$A143&gt;SUM(Data_Analitik!$AD$2:$AD$351)),"",IFERROR(INDEX(Data_Analitik!$Z$2:$Z$351,MATCH($A143,Data_Analitik!$AE$2:$AE$351,0)),""))</f>
        <v>0.46808510701707068</v>
      </c>
      <c r="G143" s="97">
        <f>IF(OR($A143="",$A143&gt;SUM(Data_Analitik!$AD$2:$AD$351)),"",IFERROR(INDEX(Data_Analitik!$AA$2:$AA$351,MATCH($A143,Data_Analitik!$AE$2:$AE$351,0)),""))</f>
        <v>0.42021276405517088</v>
      </c>
      <c r="H143" s="100">
        <f>IF(OR($A143="",$A143&gt;SUM(Data_Analitik!$AD$2:$AD$351)),"",IFERROR(INDEX(Data_Analitik!$U$2:$U$351,MATCH($A143,Data_Analitik!$AE$2:$AE$351,0)),""))</f>
        <v>0.10000000149011612</v>
      </c>
      <c r="I143" s="33" t="str">
        <f>IF(OR($A143="",$A143&gt;SUM(Data_Analitik!$AD$2:$AD$351)),"",IFERROR(INDEX(Data_Analitik!$AB$2:$AB$351,MATCH($A143,Data_Analitik!$AE$2:$AE$351,0)),""))</f>
        <v>Tidak Mantap Sedang</v>
      </c>
    </row>
    <row r="144" spans="1:9" ht="21.95" customHeight="1" x14ac:dyDescent="0.25">
      <c r="A144" s="32">
        <f t="shared" si="1"/>
        <v>131</v>
      </c>
      <c r="B144" s="99" t="str">
        <f>IF(OR($A144="",$A144&gt;SUM(Data_Analitik!$AD$2:$AD$351)),"",IFERROR(INDEX(Data_Analitik!$B$2:$B$351,MATCH($A144,Data_Analitik!$AE$2:$AE$351,0)),""))</f>
        <v>144</v>
      </c>
      <c r="C144" s="101" t="str">
        <f>IF(OR($A144="",$A144&gt;SUM(Data_Analitik!$AD$2:$AD$351)),"",IFERROR(INDEX(Data_Analitik!$C$2:$C$351,MATCH($A144,Data_Analitik!$AE$2:$AE$351,0)),""))</f>
        <v>Kaliring - Sp. Padang Batung</v>
      </c>
      <c r="D144" s="99" t="str">
        <f>IF(OR($A144="",$A144&gt;SUM(Data_Analitik!$AD$2:$AD$351)),"",IFERROR(INDEX(Data_Analitik!$D$2:$D$351,MATCH($A144,Data_Analitik!$AE$2:$AE$351,0)),""))</f>
        <v>Padang Batung</v>
      </c>
      <c r="E144" s="100">
        <f>IF(OR($A144="",$A144&gt;SUM(Data_Analitik!$AD$2:$AD$351)),"",IFERROR(INDEX(Data_Analitik!$E$2:$E$351,MATCH($A144,Data_Analitik!$AE$2:$AE$351,0)),""))</f>
        <v>4.5</v>
      </c>
      <c r="F144" s="97">
        <f>IF(OR($A144="",$A144&gt;SUM(Data_Analitik!$AD$2:$AD$351)),"",IFERROR(INDEX(Data_Analitik!$Z$2:$Z$351,MATCH($A144,Data_Analitik!$AE$2:$AE$351,0)),""))</f>
        <v>0.46666665871938068</v>
      </c>
      <c r="G144" s="97">
        <f>IF(OR($A144="",$A144&gt;SUM(Data_Analitik!$AD$2:$AD$351)),"",IFERROR(INDEX(Data_Analitik!$AA$2:$AA$351,MATCH($A144,Data_Analitik!$AE$2:$AE$351,0)),""))</f>
        <v>0.47555555502573649</v>
      </c>
      <c r="H144" s="100">
        <f>IF(OR($A144="",$A144&gt;SUM(Data_Analitik!$AD$2:$AD$351)),"",IFERROR(INDEX(Data_Analitik!$U$2:$U$351,MATCH($A144,Data_Analitik!$AE$2:$AE$351,0)),""))</f>
        <v>0.69999998807907104</v>
      </c>
      <c r="I144" s="33" t="str">
        <f>IF(OR($A144="",$A144&gt;SUM(Data_Analitik!$AD$2:$AD$351)),"",IFERROR(INDEX(Data_Analitik!$AB$2:$AB$351,MATCH($A144,Data_Analitik!$AE$2:$AE$351,0)),""))</f>
        <v>Tidak Mantap Sedang</v>
      </c>
    </row>
    <row r="145" spans="1:9" ht="21.95" customHeight="1" x14ac:dyDescent="0.25">
      <c r="A145" s="32">
        <f t="shared" ref="A145:A208" si="2">IF(ROW()-13&lt;=$B$11,ROW()-13,"")</f>
        <v>132</v>
      </c>
      <c r="B145" s="99" t="str">
        <f>IF(OR($A145="",$A145&gt;SUM(Data_Analitik!$AD$2:$AD$351)),"",IFERROR(INDEX(Data_Analitik!$B$2:$B$351,MATCH($A145,Data_Analitik!$AE$2:$AE$351,0)),""))</f>
        <v>267</v>
      </c>
      <c r="C145" s="101" t="str">
        <f>IF(OR($A145="",$A145&gt;SUM(Data_Analitik!$AD$2:$AD$351)),"",IFERROR(INDEX(Data_Analitik!$C$2:$C$351,MATCH($A145,Data_Analitik!$AE$2:$AE$351,0)),""))</f>
        <v>Jl. Muara Kitar - Desa Lumpangi</v>
      </c>
      <c r="D145" s="99" t="str">
        <f>IF(OR($A145="",$A145&gt;SUM(Data_Analitik!$AD$2:$AD$351)),"",IFERROR(INDEX(Data_Analitik!$D$2:$D$351,MATCH($A145,Data_Analitik!$AE$2:$AE$351,0)),""))</f>
        <v>Loksado</v>
      </c>
      <c r="E145" s="100">
        <f>IF(OR($A145="",$A145&gt;SUM(Data_Analitik!$AD$2:$AD$351)),"",IFERROR(INDEX(Data_Analitik!$E$2:$E$351,MATCH($A145,Data_Analitik!$AE$2:$AE$351,0)),""))</f>
        <v>0.43</v>
      </c>
      <c r="F145" s="97">
        <f>IF(OR($A145="",$A145&gt;SUM(Data_Analitik!$AD$2:$AD$351)),"",IFERROR(INDEX(Data_Analitik!$Z$2:$Z$351,MATCH($A145,Data_Analitik!$AE$2:$AE$351,0)),""))</f>
        <v>0.46511628600054011</v>
      </c>
      <c r="G145" s="97">
        <f>IF(OR($A145="",$A145&gt;SUM(Data_Analitik!$AD$2:$AD$351)),"",IFERROR(INDEX(Data_Analitik!$AA$2:$AA$351,MATCH($A145,Data_Analitik!$AE$2:$AE$351,0)),""))</f>
        <v>0.41279070425865261</v>
      </c>
      <c r="H145" s="100">
        <f>IF(OR($A145="",$A145&gt;SUM(Data_Analitik!$AD$2:$AD$351)),"",IFERROR(INDEX(Data_Analitik!$U$2:$U$351,MATCH($A145,Data_Analitik!$AE$2:$AE$351,0)),""))</f>
        <v>0</v>
      </c>
      <c r="I145" s="33" t="str">
        <f>IF(OR($A145="",$A145&gt;SUM(Data_Analitik!$AD$2:$AD$351)),"",IFERROR(INDEX(Data_Analitik!$AB$2:$AB$351,MATCH($A145,Data_Analitik!$AE$2:$AE$351,0)),""))</f>
        <v>Tidak Mantap Sedang</v>
      </c>
    </row>
    <row r="146" spans="1:9" ht="21.95" customHeight="1" x14ac:dyDescent="0.25">
      <c r="A146" s="32">
        <f t="shared" si="2"/>
        <v>133</v>
      </c>
      <c r="B146" s="99" t="str">
        <f>IF(OR($A146="",$A146&gt;SUM(Data_Analitik!$AD$2:$AD$351)),"",IFERROR(INDEX(Data_Analitik!$B$2:$B$351,MATCH($A146,Data_Analitik!$AE$2:$AE$351,0)),""))</f>
        <v>266</v>
      </c>
      <c r="C146" s="101" t="str">
        <f>IF(OR($A146="",$A146&gt;SUM(Data_Analitik!$AD$2:$AD$351)),"",IFERROR(INDEX(Data_Analitik!$C$2:$C$351,MATCH($A146,Data_Analitik!$AE$2:$AE$351,0)),""))</f>
        <v>Halunuk - Riam Tajam/Talo - Hamak Umpaya</v>
      </c>
      <c r="D146" s="99" t="str">
        <f>IF(OR($A146="",$A146&gt;SUM(Data_Analitik!$AD$2:$AD$351)),"",IFERROR(INDEX(Data_Analitik!$D$2:$D$351,MATCH($A146,Data_Analitik!$AE$2:$AE$351,0)),""))</f>
        <v>Loksado - Telaga Langsat</v>
      </c>
      <c r="E146" s="100">
        <f>IF(OR($A146="",$A146&gt;SUM(Data_Analitik!$AD$2:$AD$351)),"",IFERROR(INDEX(Data_Analitik!$E$2:$E$351,MATCH($A146,Data_Analitik!$AE$2:$AE$351,0)),""))</f>
        <v>7.78</v>
      </c>
      <c r="F146" s="97">
        <f>IF(OR($A146="",$A146&gt;SUM(Data_Analitik!$AD$2:$AD$351)),"",IFERROR(INDEX(Data_Analitik!$Z$2:$Z$351,MATCH($A146,Data_Analitik!$AE$2:$AE$351,0)),""))</f>
        <v>0.46272493113588858</v>
      </c>
      <c r="G146" s="97">
        <f>IF(OR($A146="",$A146&gt;SUM(Data_Analitik!$AD$2:$AD$351)),"",IFERROR(INDEX(Data_Analitik!$AA$2:$AA$351,MATCH($A146,Data_Analitik!$AE$2:$AE$351,0)),""))</f>
        <v>0.55077119933915319</v>
      </c>
      <c r="H146" s="100">
        <f>IF(OR($A146="",$A146&gt;SUM(Data_Analitik!$AD$2:$AD$351)),"",IFERROR(INDEX(Data_Analitik!$U$2:$U$351,MATCH($A146,Data_Analitik!$AE$2:$AE$351,0)),""))</f>
        <v>2.699999988079071</v>
      </c>
      <c r="I146" s="33" t="str">
        <f>IF(OR($A146="",$A146&gt;SUM(Data_Analitik!$AD$2:$AD$351)),"",IFERROR(INDEX(Data_Analitik!$AB$2:$AB$351,MATCH($A146,Data_Analitik!$AE$2:$AE$351,0)),""))</f>
        <v>Rusak Berat Dominan</v>
      </c>
    </row>
    <row r="147" spans="1:9" ht="21.95" customHeight="1" x14ac:dyDescent="0.25">
      <c r="A147" s="32">
        <f t="shared" si="2"/>
        <v>134</v>
      </c>
      <c r="B147" s="99" t="str">
        <f>IF(OR($A147="",$A147&gt;SUM(Data_Analitik!$AD$2:$AD$351)),"",IFERROR(INDEX(Data_Analitik!$B$2:$B$351,MATCH($A147,Data_Analitik!$AE$2:$AE$351,0)),""))</f>
        <v>276</v>
      </c>
      <c r="C147" s="101" t="str">
        <f>IF(OR($A147="",$A147&gt;SUM(Data_Analitik!$AD$2:$AD$351)),"",IFERROR(INDEX(Data_Analitik!$C$2:$C$351,MATCH($A147,Data_Analitik!$AE$2:$AE$351,0)),""))</f>
        <v>Jl. Haratai 3 (Balai Kedayang) / SDN Haratai 3</v>
      </c>
      <c r="D147" s="99" t="str">
        <f>IF(OR($A147="",$A147&gt;SUM(Data_Analitik!$AD$2:$AD$351)),"",IFERROR(INDEX(Data_Analitik!$D$2:$D$351,MATCH($A147,Data_Analitik!$AE$2:$AE$351,0)),""))</f>
        <v>Loksado</v>
      </c>
      <c r="E147" s="100">
        <f>IF(OR($A147="",$A147&gt;SUM(Data_Analitik!$AD$2:$AD$351)),"",IFERROR(INDEX(Data_Analitik!$E$2:$E$351,MATCH($A147,Data_Analitik!$AE$2:$AE$351,0)),""))</f>
        <v>5.25</v>
      </c>
      <c r="F147" s="97">
        <f>IF(OR($A147="",$A147&gt;SUM(Data_Analitik!$AD$2:$AD$351)),"",IFERROR(INDEX(Data_Analitik!$Z$2:$Z$351,MATCH($A147,Data_Analitik!$AE$2:$AE$351,0)),""))</f>
        <v>0.45714286395481657</v>
      </c>
      <c r="G147" s="97">
        <f>IF(OR($A147="",$A147&gt;SUM(Data_Analitik!$AD$2:$AD$351)),"",IFERROR(INDEX(Data_Analitik!$AA$2:$AA$351,MATCH($A147,Data_Analitik!$AE$2:$AE$351,0)),""))</f>
        <v>0.41333333424159457</v>
      </c>
      <c r="H147" s="100">
        <f>IF(OR($A147="",$A147&gt;SUM(Data_Analitik!$AD$2:$AD$351)),"",IFERROR(INDEX(Data_Analitik!$U$2:$U$351,MATCH($A147,Data_Analitik!$AE$2:$AE$351,0)),""))</f>
        <v>0.69999998807907104</v>
      </c>
      <c r="I147" s="33" t="str">
        <f>IF(OR($A147="",$A147&gt;SUM(Data_Analitik!$AD$2:$AD$351)),"",IFERROR(INDEX(Data_Analitik!$AB$2:$AB$351,MATCH($A147,Data_Analitik!$AE$2:$AE$351,0)),""))</f>
        <v>Tidak Mantap Sedang</v>
      </c>
    </row>
    <row r="148" spans="1:9" ht="21.95" customHeight="1" x14ac:dyDescent="0.25">
      <c r="A148" s="32">
        <f t="shared" si="2"/>
        <v>135</v>
      </c>
      <c r="B148" s="99" t="str">
        <f>IF(OR($A148="",$A148&gt;SUM(Data_Analitik!$AD$2:$AD$351)),"",IFERROR(INDEX(Data_Analitik!$B$2:$B$351,MATCH($A148,Data_Analitik!$AE$2:$AE$351,0)),""))</f>
        <v>182</v>
      </c>
      <c r="C148" s="101" t="str">
        <f>IF(OR($A148="",$A148&gt;SUM(Data_Analitik!$AD$2:$AD$351)),"",IFERROR(INDEX(Data_Analitik!$C$2:$C$351,MATCH($A148,Data_Analitik!$AE$2:$AE$351,0)),""))</f>
        <v>Sp. Bakarung Selatan - Sungai Kudung</v>
      </c>
      <c r="D148" s="99" t="str">
        <f>IF(OR($A148="",$A148&gt;SUM(Data_Analitik!$AD$2:$AD$351)),"",IFERROR(INDEX(Data_Analitik!$D$2:$D$351,MATCH($A148,Data_Analitik!$AE$2:$AE$351,0)),""))</f>
        <v>Angkinang</v>
      </c>
      <c r="E148" s="100">
        <f>IF(OR($A148="",$A148&gt;SUM(Data_Analitik!$AD$2:$AD$351)),"",IFERROR(INDEX(Data_Analitik!$E$2:$E$351,MATCH($A148,Data_Analitik!$AE$2:$AE$351,0)),""))</f>
        <v>0.55000000000000004</v>
      </c>
      <c r="F148" s="97">
        <f>IF(OR($A148="",$A148&gt;SUM(Data_Analitik!$AD$2:$AD$351)),"",IFERROR(INDEX(Data_Analitik!$Z$2:$Z$351,MATCH($A148,Data_Analitik!$AE$2:$AE$351,0)),""))</f>
        <v>0.45454546809196467</v>
      </c>
      <c r="G148" s="97">
        <f>IF(OR($A148="",$A148&gt;SUM(Data_Analitik!$AD$2:$AD$351)),"",IFERROR(INDEX(Data_Analitik!$AA$2:$AA$351,MATCH($A148,Data_Analitik!$AE$2:$AE$351,0)),""))</f>
        <v>0.47272728654471308</v>
      </c>
      <c r="H148" s="100">
        <f>IF(OR($A148="",$A148&gt;SUM(Data_Analitik!$AD$2:$AD$351)),"",IFERROR(INDEX(Data_Analitik!$U$2:$U$351,MATCH($A148,Data_Analitik!$AE$2:$AE$351,0)),""))</f>
        <v>0.15000000596046448</v>
      </c>
      <c r="I148" s="33" t="str">
        <f>IF(OR($A148="",$A148&gt;SUM(Data_Analitik!$AD$2:$AD$351)),"",IFERROR(INDEX(Data_Analitik!$AB$2:$AB$351,MATCH($A148,Data_Analitik!$AE$2:$AE$351,0)),""))</f>
        <v>Rusak Berat Dominan</v>
      </c>
    </row>
    <row r="149" spans="1:9" ht="21.95" customHeight="1" x14ac:dyDescent="0.25">
      <c r="A149" s="32">
        <f t="shared" si="2"/>
        <v>136</v>
      </c>
      <c r="B149" s="99" t="str">
        <f>IF(OR($A149="",$A149&gt;SUM(Data_Analitik!$AD$2:$AD$351)),"",IFERROR(INDEX(Data_Analitik!$B$2:$B$351,MATCH($A149,Data_Analitik!$AE$2:$AE$351,0)),""))</f>
        <v>328</v>
      </c>
      <c r="C149" s="101" t="str">
        <f>IF(OR($A149="",$A149&gt;SUM(Data_Analitik!$AD$2:$AD$351)),"",IFERROR(INDEX(Data_Analitik!$C$2:$C$351,MATCH($A149,Data_Analitik!$AE$2:$AE$351,0)),""))</f>
        <v>Pakan Dalam - Kaminting Batu</v>
      </c>
      <c r="D149" s="99" t="str">
        <f>IF(OR($A149="",$A149&gt;SUM(Data_Analitik!$AD$2:$AD$351)),"",IFERROR(INDEX(Data_Analitik!$D$2:$D$351,MATCH($A149,Data_Analitik!$AE$2:$AE$351,0)),""))</f>
        <v>Daha Utara</v>
      </c>
      <c r="E149" s="100">
        <f>IF(OR($A149="",$A149&gt;SUM(Data_Analitik!$AD$2:$AD$351)),"",IFERROR(INDEX(Data_Analitik!$E$2:$E$351,MATCH($A149,Data_Analitik!$AE$2:$AE$351,0)),""))</f>
        <v>1.82</v>
      </c>
      <c r="F149" s="97">
        <f>IF(OR($A149="",$A149&gt;SUM(Data_Analitik!$AD$2:$AD$351)),"",IFERROR(INDEX(Data_Analitik!$Z$2:$Z$351,MATCH($A149,Data_Analitik!$AE$2:$AE$351,0)),""))</f>
        <v>0.45054946299437637</v>
      </c>
      <c r="G149" s="97">
        <f>IF(OR($A149="",$A149&gt;SUM(Data_Analitik!$AD$2:$AD$351)),"",IFERROR(INDEX(Data_Analitik!$AA$2:$AA$351,MATCH($A149,Data_Analitik!$AE$2:$AE$351,0)),""))</f>
        <v>0.51208792643232659</v>
      </c>
      <c r="H149" s="100">
        <f>IF(OR($A149="",$A149&gt;SUM(Data_Analitik!$AD$2:$AD$351)),"",IFERROR(INDEX(Data_Analitik!$U$2:$U$351,MATCH($A149,Data_Analitik!$AE$2:$AE$351,0)),""))</f>
        <v>0.60000002384185791</v>
      </c>
      <c r="I149" s="33" t="str">
        <f>IF(OR($A149="",$A149&gt;SUM(Data_Analitik!$AD$2:$AD$351)),"",IFERROR(INDEX(Data_Analitik!$AB$2:$AB$351,MATCH($A149,Data_Analitik!$AE$2:$AE$351,0)),""))</f>
        <v>Rusak Berat Dominan</v>
      </c>
    </row>
    <row r="150" spans="1:9" ht="21.95" customHeight="1" x14ac:dyDescent="0.25">
      <c r="A150" s="32">
        <f t="shared" si="2"/>
        <v>137</v>
      </c>
      <c r="B150" s="99" t="str">
        <f>IF(OR($A150="",$A150&gt;SUM(Data_Analitik!$AD$2:$AD$351)),"",IFERROR(INDEX(Data_Analitik!$B$2:$B$351,MATCH($A150,Data_Analitik!$AE$2:$AE$351,0)),""))</f>
        <v>135</v>
      </c>
      <c r="C150" s="101" t="str">
        <f>IF(OR($A150="",$A150&gt;SUM(Data_Analitik!$AD$2:$AD$351)),"",IFERROR(INDEX(Data_Analitik!$C$2:$C$351,MATCH($A150,Data_Analitik!$AE$2:$AE$351,0)),""))</f>
        <v>Teluk Pinang - Padang Rasau</v>
      </c>
      <c r="D150" s="99" t="str">
        <f>IF(OR($A150="",$A150&gt;SUM(Data_Analitik!$AD$2:$AD$351)),"",IFERROR(INDEX(Data_Analitik!$D$2:$D$351,MATCH($A150,Data_Analitik!$AE$2:$AE$351,0)),""))</f>
        <v>Padang Batung</v>
      </c>
      <c r="E150" s="100">
        <f>IF(OR($A150="",$A150&gt;SUM(Data_Analitik!$AD$2:$AD$351)),"",IFERROR(INDEX(Data_Analitik!$E$2:$E$351,MATCH($A150,Data_Analitik!$AE$2:$AE$351,0)),""))</f>
        <v>2.1800000000000002</v>
      </c>
      <c r="F150" s="97">
        <f>IF(OR($A150="",$A150&gt;SUM(Data_Analitik!$AD$2:$AD$351)),"",IFERROR(INDEX(Data_Analitik!$Z$2:$Z$351,MATCH($A150,Data_Analitik!$AE$2:$AE$351,0)),""))</f>
        <v>0.44954129315297536</v>
      </c>
      <c r="G150" s="97">
        <f>IF(OR($A150="",$A150&gt;SUM(Data_Analitik!$AD$2:$AD$351)),"",IFERROR(INDEX(Data_Analitik!$AA$2:$AA$351,MATCH($A150,Data_Analitik!$AE$2:$AE$351,0)),""))</f>
        <v>0.40733946025918383</v>
      </c>
      <c r="H150" s="100">
        <f>IF(OR($A150="",$A150&gt;SUM(Data_Analitik!$AD$2:$AD$351)),"",IFERROR(INDEX(Data_Analitik!$U$2:$U$351,MATCH($A150,Data_Analitik!$AE$2:$AE$351,0)),""))</f>
        <v>0</v>
      </c>
      <c r="I150" s="33" t="str">
        <f>IF(OR($A150="",$A150&gt;SUM(Data_Analitik!$AD$2:$AD$351)),"",IFERROR(INDEX(Data_Analitik!$AB$2:$AB$351,MATCH($A150,Data_Analitik!$AE$2:$AE$351,0)),""))</f>
        <v>Tidak Mantap Sedang</v>
      </c>
    </row>
    <row r="151" spans="1:9" ht="21.95" customHeight="1" x14ac:dyDescent="0.25">
      <c r="A151" s="32">
        <f t="shared" si="2"/>
        <v>138</v>
      </c>
      <c r="B151" s="99" t="str">
        <f>IF(OR($A151="",$A151&gt;SUM(Data_Analitik!$AD$2:$AD$351)),"",IFERROR(INDEX(Data_Analitik!$B$2:$B$351,MATCH($A151,Data_Analitik!$AE$2:$AE$351,0)),""))</f>
        <v>181</v>
      </c>
      <c r="C151" s="101" t="str">
        <f>IF(OR($A151="",$A151&gt;SUM(Data_Analitik!$AD$2:$AD$351)),"",IFERROR(INDEX(Data_Analitik!$C$2:$C$351,MATCH($A151,Data_Analitik!$AE$2:$AE$351,0)),""))</f>
        <v>Bamban Tengah - Lok Nyiur</v>
      </c>
      <c r="D151" s="99" t="str">
        <f>IF(OR($A151="",$A151&gt;SUM(Data_Analitik!$AD$2:$AD$351)),"",IFERROR(INDEX(Data_Analitik!$D$2:$D$351,MATCH($A151,Data_Analitik!$AE$2:$AE$351,0)),""))</f>
        <v>Angkinang</v>
      </c>
      <c r="E151" s="100">
        <f>IF(OR($A151="",$A151&gt;SUM(Data_Analitik!$AD$2:$AD$351)),"",IFERROR(INDEX(Data_Analitik!$E$2:$E$351,MATCH($A151,Data_Analitik!$AE$2:$AE$351,0)),""))</f>
        <v>1.26</v>
      </c>
      <c r="F151" s="97">
        <f>IF(OR($A151="",$A151&gt;SUM(Data_Analitik!$AD$2:$AD$351)),"",IFERROR(INDEX(Data_Analitik!$Z$2:$Z$351,MATCH($A151,Data_Analitik!$AE$2:$AE$351,0)),""))</f>
        <v>0.44444444633665536</v>
      </c>
      <c r="G151" s="97">
        <f>IF(OR($A151="",$A151&gt;SUM(Data_Analitik!$AD$2:$AD$351)),"",IFERROR(INDEX(Data_Analitik!$AA$2:$AA$351,MATCH($A151,Data_Analitik!$AE$2:$AE$351,0)),""))</f>
        <v>0.48809523383776349</v>
      </c>
      <c r="H151" s="100">
        <f>IF(OR($A151="",$A151&gt;SUM(Data_Analitik!$AD$2:$AD$351)),"",IFERROR(INDEX(Data_Analitik!$U$2:$U$351,MATCH($A151,Data_Analitik!$AE$2:$AE$351,0)),""))</f>
        <v>0.25999999046325684</v>
      </c>
      <c r="I151" s="33" t="str">
        <f>IF(OR($A151="",$A151&gt;SUM(Data_Analitik!$AD$2:$AD$351)),"",IFERROR(INDEX(Data_Analitik!$AB$2:$AB$351,MATCH($A151,Data_Analitik!$AE$2:$AE$351,0)),""))</f>
        <v>Rusak Berat Dominan</v>
      </c>
    </row>
    <row r="152" spans="1:9" ht="21.95" customHeight="1" x14ac:dyDescent="0.25">
      <c r="A152" s="32">
        <f t="shared" si="2"/>
        <v>139</v>
      </c>
      <c r="B152" s="99" t="str">
        <f>IF(OR($A152="",$A152&gt;SUM(Data_Analitik!$AD$2:$AD$351)),"",IFERROR(INDEX(Data_Analitik!$B$2:$B$351,MATCH($A152,Data_Analitik!$AE$2:$AE$351,0)),""))</f>
        <v>090</v>
      </c>
      <c r="C152" s="101" t="str">
        <f>IF(OR($A152="",$A152&gt;SUM(Data_Analitik!$AD$2:$AD$351)),"",IFERROR(INDEX(Data_Analitik!$C$2:$C$351,MATCH($A152,Data_Analitik!$AE$2:$AE$351,0)),""))</f>
        <v>Taal Batang Kulur - Sp. 3 Muara Prg Agung</v>
      </c>
      <c r="D152" s="99" t="str">
        <f>IF(OR($A152="",$A152&gt;SUM(Data_Analitik!$AD$2:$AD$351)),"",IFERROR(INDEX(Data_Analitik!$D$2:$D$351,MATCH($A152,Data_Analitik!$AE$2:$AE$351,0)),""))</f>
        <v>Sungai Raya</v>
      </c>
      <c r="E152" s="100">
        <f>IF(OR($A152="",$A152&gt;SUM(Data_Analitik!$AD$2:$AD$351)),"",IFERROR(INDEX(Data_Analitik!$E$2:$E$351,MATCH($A152,Data_Analitik!$AE$2:$AE$351,0)),""))</f>
        <v>4.12</v>
      </c>
      <c r="F152" s="97">
        <f>IF(OR($A152="",$A152&gt;SUM(Data_Analitik!$AD$2:$AD$351)),"",IFERROR(INDEX(Data_Analitik!$Z$2:$Z$351,MATCH($A152,Data_Analitik!$AE$2:$AE$351,0)),""))</f>
        <v>0.44174757107947638</v>
      </c>
      <c r="G152" s="97">
        <f>IF(OR($A152="",$A152&gt;SUM(Data_Analitik!$AD$2:$AD$351)),"",IFERROR(INDEX(Data_Analitik!$AA$2:$AA$351,MATCH($A152,Data_Analitik!$AE$2:$AE$351,0)),""))</f>
        <v>0.47014562539683963</v>
      </c>
      <c r="H152" s="100">
        <f>IF(OR($A152="",$A152&gt;SUM(Data_Analitik!$AD$2:$AD$351)),"",IFERROR(INDEX(Data_Analitik!$U$2:$U$351,MATCH($A152,Data_Analitik!$AE$2:$AE$351,0)),""))</f>
        <v>0.80000001192092896</v>
      </c>
      <c r="I152" s="33" t="str">
        <f>IF(OR($A152="",$A152&gt;SUM(Data_Analitik!$AD$2:$AD$351)),"",IFERROR(INDEX(Data_Analitik!$AB$2:$AB$351,MATCH($A152,Data_Analitik!$AE$2:$AE$351,0)),""))</f>
        <v>Tidak Mantap Sedang</v>
      </c>
    </row>
    <row r="153" spans="1:9" ht="21.95" customHeight="1" x14ac:dyDescent="0.25">
      <c r="A153" s="32">
        <f t="shared" si="2"/>
        <v>140</v>
      </c>
      <c r="B153" s="99" t="str">
        <f>IF(OR($A153="",$A153&gt;SUM(Data_Analitik!$AD$2:$AD$351)),"",IFERROR(INDEX(Data_Analitik!$B$2:$B$351,MATCH($A153,Data_Analitik!$AE$2:$AE$351,0)),""))</f>
        <v>169</v>
      </c>
      <c r="C153" s="101" t="str">
        <f>IF(OR($A153="",$A153&gt;SUM(Data_Analitik!$AD$2:$AD$351)),"",IFERROR(INDEX(Data_Analitik!$C$2:$C$351,MATCH($A153,Data_Analitik!$AE$2:$AE$351,0)),""))</f>
        <v>Bakarung -Tabihi - Karang Jawa</v>
      </c>
      <c r="D153" s="99" t="str">
        <f>IF(OR($A153="",$A153&gt;SUM(Data_Analitik!$AD$2:$AD$351)),"",IFERROR(INDEX(Data_Analitik!$D$2:$D$351,MATCH($A153,Data_Analitik!$AE$2:$AE$351,0)),""))</f>
        <v>Angkinang - Padang Batung</v>
      </c>
      <c r="E153" s="100">
        <f>IF(OR($A153="",$A153&gt;SUM(Data_Analitik!$AD$2:$AD$351)),"",IFERROR(INDEX(Data_Analitik!$E$2:$E$351,MATCH($A153,Data_Analitik!$AE$2:$AE$351,0)),""))</f>
        <v>4.57</v>
      </c>
      <c r="F153" s="97">
        <f>IF(OR($A153="",$A153&gt;SUM(Data_Analitik!$AD$2:$AD$351)),"",IFERROR(INDEX(Data_Analitik!$Z$2:$Z$351,MATCH($A153,Data_Analitik!$AE$2:$AE$351,0)),""))</f>
        <v>0.43763676148796499</v>
      </c>
      <c r="G153" s="97">
        <f>IF(OR($A153="",$A153&gt;SUM(Data_Analitik!$AD$2:$AD$351)),"",IFERROR(INDEX(Data_Analitik!$AA$2:$AA$351,MATCH($A153,Data_Analitik!$AE$2:$AE$351,0)),""))</f>
        <v>0.403172862868862</v>
      </c>
      <c r="H153" s="100">
        <f>IF(OR($A153="",$A153&gt;SUM(Data_Analitik!$AD$2:$AD$351)),"",IFERROR(INDEX(Data_Analitik!$U$2:$U$351,MATCH($A153,Data_Analitik!$AE$2:$AE$351,0)),""))</f>
        <v>0</v>
      </c>
      <c r="I153" s="33" t="str">
        <f>IF(OR($A153="",$A153&gt;SUM(Data_Analitik!$AD$2:$AD$351)),"",IFERROR(INDEX(Data_Analitik!$AB$2:$AB$351,MATCH($A153,Data_Analitik!$AE$2:$AE$351,0)),""))</f>
        <v>Tidak Mantap Sedang</v>
      </c>
    </row>
    <row r="154" spans="1:9" ht="21.95" customHeight="1" x14ac:dyDescent="0.25">
      <c r="A154" s="32">
        <f t="shared" si="2"/>
        <v>141</v>
      </c>
      <c r="B154" s="99" t="str">
        <f>IF(OR($A154="",$A154&gt;SUM(Data_Analitik!$AD$2:$AD$351)),"",IFERROR(INDEX(Data_Analitik!$B$2:$B$351,MATCH($A154,Data_Analitik!$AE$2:$AE$351,0)),""))</f>
        <v>040</v>
      </c>
      <c r="C154" s="101" t="str">
        <f>IF(OR($A154="",$A154&gt;SUM(Data_Analitik!$AD$2:$AD$351)),"",IFERROR(INDEX(Data_Analitik!$C$2:$C$351,MATCH($A154,Data_Analitik!$AE$2:$AE$351,0)),""))</f>
        <v>Baluti - Jambu Hulu (Paku)</v>
      </c>
      <c r="D154" s="99" t="str">
        <f>IF(OR($A154="",$A154&gt;SUM(Data_Analitik!$AD$2:$AD$351)),"",IFERROR(INDEX(Data_Analitik!$D$2:$D$351,MATCH($A154,Data_Analitik!$AE$2:$AE$351,0)),""))</f>
        <v>Kandangan - Padang Batung</v>
      </c>
      <c r="E154" s="100">
        <f>IF(OR($A154="",$A154&gt;SUM(Data_Analitik!$AD$2:$AD$351)),"",IFERROR(INDEX(Data_Analitik!$E$2:$E$351,MATCH($A154,Data_Analitik!$AE$2:$AE$351,0)),""))</f>
        <v>4.07</v>
      </c>
      <c r="F154" s="97">
        <f>IF(OR($A154="",$A154&gt;SUM(Data_Analitik!$AD$2:$AD$351)),"",IFERROR(INDEX(Data_Analitik!$Z$2:$Z$351,MATCH($A154,Data_Analitik!$AE$2:$AE$351,0)),""))</f>
        <v>0.43488943020307458</v>
      </c>
      <c r="G154" s="97">
        <f>IF(OR($A154="",$A154&gt;SUM(Data_Analitik!$AD$2:$AD$351)),"",IFERROR(INDEX(Data_Analitik!$AA$2:$AA$351,MATCH($A154,Data_Analitik!$AE$2:$AE$351,0)),""))</f>
        <v>0.42063881489802935</v>
      </c>
      <c r="H154" s="100">
        <f>IF(OR($A154="",$A154&gt;SUM(Data_Analitik!$AD$2:$AD$351)),"",IFERROR(INDEX(Data_Analitik!$U$2:$U$351,MATCH($A154,Data_Analitik!$AE$2:$AE$351,0)),""))</f>
        <v>0.5</v>
      </c>
      <c r="I154" s="33" t="str">
        <f>IF(OR($A154="",$A154&gt;SUM(Data_Analitik!$AD$2:$AD$351)),"",IFERROR(INDEX(Data_Analitik!$AB$2:$AB$351,MATCH($A154,Data_Analitik!$AE$2:$AE$351,0)),""))</f>
        <v>Tidak Mantap Sedang</v>
      </c>
    </row>
    <row r="155" spans="1:9" ht="21.95" customHeight="1" x14ac:dyDescent="0.25">
      <c r="A155" s="32">
        <f t="shared" si="2"/>
        <v>142</v>
      </c>
      <c r="B155" s="99" t="str">
        <f>IF(OR($A155="",$A155&gt;SUM(Data_Analitik!$AD$2:$AD$351)),"",IFERROR(INDEX(Data_Analitik!$B$2:$B$351,MATCH($A155,Data_Analitik!$AE$2:$AE$351,0)),""))</f>
        <v>284</v>
      </c>
      <c r="C155" s="101" t="str">
        <f>IF(OR($A155="",$A155&gt;SUM(Data_Analitik!$AD$2:$AD$351)),"",IFERROR(INDEX(Data_Analitik!$C$2:$C$351,MATCH($A155,Data_Analitik!$AE$2:$AE$351,0)),""))</f>
        <v>Jl. Kacang Parang (Ulang) - Balai Mawak-Kias</v>
      </c>
      <c r="D155" s="99" t="str">
        <f>IF(OR($A155="",$A155&gt;SUM(Data_Analitik!$AD$2:$AD$351)),"",IFERROR(INDEX(Data_Analitik!$D$2:$D$351,MATCH($A155,Data_Analitik!$AE$2:$AE$351,0)),""))</f>
        <v>Loksado</v>
      </c>
      <c r="E155" s="100">
        <f>IF(OR($A155="",$A155&gt;SUM(Data_Analitik!$AD$2:$AD$351)),"",IFERROR(INDEX(Data_Analitik!$E$2:$E$351,MATCH($A155,Data_Analitik!$AE$2:$AE$351,0)),""))</f>
        <v>2.08</v>
      </c>
      <c r="F155" s="97">
        <f>IF(OR($A155="",$A155&gt;SUM(Data_Analitik!$AD$2:$AD$351)),"",IFERROR(INDEX(Data_Analitik!$Z$2:$Z$351,MATCH($A155,Data_Analitik!$AE$2:$AE$351,0)),""))</f>
        <v>0.43269231413992548</v>
      </c>
      <c r="G155" s="97">
        <f>IF(OR($A155="",$A155&gt;SUM(Data_Analitik!$AD$2:$AD$351)),"",IFERROR(INDEX(Data_Analitik!$AA$2:$AA$351,MATCH($A155,Data_Analitik!$AE$2:$AE$351,0)),""))</f>
        <v>0.42067307477387095</v>
      </c>
      <c r="H155" s="100">
        <f>IF(OR($A155="",$A155&gt;SUM(Data_Analitik!$AD$2:$AD$351)),"",IFERROR(INDEX(Data_Analitik!$U$2:$U$351,MATCH($A155,Data_Analitik!$AE$2:$AE$351,0)),""))</f>
        <v>0.10000000149011612</v>
      </c>
      <c r="I155" s="33" t="str">
        <f>IF(OR($A155="",$A155&gt;SUM(Data_Analitik!$AD$2:$AD$351)),"",IFERROR(INDEX(Data_Analitik!$AB$2:$AB$351,MATCH($A155,Data_Analitik!$AE$2:$AE$351,0)),""))</f>
        <v>Tidak Mantap Sedang</v>
      </c>
    </row>
    <row r="156" spans="1:9" ht="21.95" customHeight="1" x14ac:dyDescent="0.25">
      <c r="A156" s="32">
        <f t="shared" si="2"/>
        <v>143</v>
      </c>
      <c r="B156" s="99" t="str">
        <f>IF(OR($A156="",$A156&gt;SUM(Data_Analitik!$AD$2:$AD$351)),"",IFERROR(INDEX(Data_Analitik!$B$2:$B$351,MATCH($A156,Data_Analitik!$AE$2:$AE$351,0)),""))</f>
        <v>280</v>
      </c>
      <c r="C156" s="101" t="str">
        <f>IF(OR($A156="",$A156&gt;SUM(Data_Analitik!$AD$2:$AD$351)),"",IFERROR(INDEX(Data_Analitik!$C$2:$C$351,MATCH($A156,Data_Analitik!$AE$2:$AE$351,0)),""))</f>
        <v>Jl. Datar Belimbing - Muara Kitar</v>
      </c>
      <c r="D156" s="99" t="str">
        <f>IF(OR($A156="",$A156&gt;SUM(Data_Analitik!$AD$2:$AD$351)),"",IFERROR(INDEX(Data_Analitik!$D$2:$D$351,MATCH($A156,Data_Analitik!$AE$2:$AE$351,0)),""))</f>
        <v>Loksado</v>
      </c>
      <c r="E156" s="100">
        <f>IF(OR($A156="",$A156&gt;SUM(Data_Analitik!$AD$2:$AD$351)),"",IFERROR(INDEX(Data_Analitik!$E$2:$E$351,MATCH($A156,Data_Analitik!$AE$2:$AE$351,0)),""))</f>
        <v>4.8600000000000003</v>
      </c>
      <c r="F156" s="97">
        <f>IF(OR($A156="",$A156&gt;SUM(Data_Analitik!$AD$2:$AD$351)),"",IFERROR(INDEX(Data_Analitik!$Z$2:$Z$351,MATCH($A156,Data_Analitik!$AE$2:$AE$351,0)),""))</f>
        <v>0.43209875807350062</v>
      </c>
      <c r="G156" s="97">
        <f>IF(OR($A156="",$A156&gt;SUM(Data_Analitik!$AD$2:$AD$351)),"",IFERROR(INDEX(Data_Analitik!$AA$2:$AA$351,MATCH($A156,Data_Analitik!$AE$2:$AE$351,0)),""))</f>
        <v>0.5493827072190649</v>
      </c>
      <c r="H156" s="100">
        <f>IF(OR($A156="",$A156&gt;SUM(Data_Analitik!$AD$2:$AD$351)),"",IFERROR(INDEX(Data_Analitik!$U$2:$U$351,MATCH($A156,Data_Analitik!$AE$2:$AE$351,0)),""))</f>
        <v>1.7999999523162842</v>
      </c>
      <c r="I156" s="33" t="str">
        <f>IF(OR($A156="",$A156&gt;SUM(Data_Analitik!$AD$2:$AD$351)),"",IFERROR(INDEX(Data_Analitik!$AB$2:$AB$351,MATCH($A156,Data_Analitik!$AE$2:$AE$351,0)),""))</f>
        <v>Rusak Berat Dominan</v>
      </c>
    </row>
    <row r="157" spans="1:9" ht="21.95" customHeight="1" x14ac:dyDescent="0.25">
      <c r="A157" s="32">
        <f t="shared" si="2"/>
        <v>144</v>
      </c>
      <c r="B157" s="99" t="str">
        <f>IF(OR($A157="",$A157&gt;SUM(Data_Analitik!$AD$2:$AD$351)),"",IFERROR(INDEX(Data_Analitik!$B$2:$B$351,MATCH($A157,Data_Analitik!$AE$2:$AE$351,0)),""))</f>
        <v>142</v>
      </c>
      <c r="C157" s="101" t="str">
        <f>IF(OR($A157="",$A157&gt;SUM(Data_Analitik!$AD$2:$AD$351)),"",IFERROR(INDEX(Data_Analitik!$C$2:$C$351,MATCH($A157,Data_Analitik!$AE$2:$AE$351,0)),""))</f>
        <v>Mawangi - Bukuanin - Telaga Langsat</v>
      </c>
      <c r="D157" s="99" t="str">
        <f>IF(OR($A157="",$A157&gt;SUM(Data_Analitik!$AD$2:$AD$351)),"",IFERROR(INDEX(Data_Analitik!$D$2:$D$351,MATCH($A157,Data_Analitik!$AE$2:$AE$351,0)),""))</f>
        <v>Padang Batung - Telaga Langsat</v>
      </c>
      <c r="E157" s="100">
        <f>IF(OR($A157="",$A157&gt;SUM(Data_Analitik!$AD$2:$AD$351)),"",IFERROR(INDEX(Data_Analitik!$E$2:$E$351,MATCH($A157,Data_Analitik!$AE$2:$AE$351,0)),""))</f>
        <v>14.22</v>
      </c>
      <c r="F157" s="97">
        <f>IF(OR($A157="",$A157&gt;SUM(Data_Analitik!$AD$2:$AD$351)),"",IFERROR(INDEX(Data_Analitik!$Z$2:$Z$351,MATCH($A157,Data_Analitik!$AE$2:$AE$351,0)),""))</f>
        <v>0.42897327036797245</v>
      </c>
      <c r="G157" s="97">
        <f>IF(OR($A157="",$A157&gt;SUM(Data_Analitik!$AD$2:$AD$351)),"",IFERROR(INDEX(Data_Analitik!$AA$2:$AA$351,MATCH($A157,Data_Analitik!$AE$2:$AE$351,0)),""))</f>
        <v>0.4423347337671808</v>
      </c>
      <c r="H157" s="100">
        <f>IF(OR($A157="",$A157&gt;SUM(Data_Analitik!$AD$2:$AD$351)),"",IFERROR(INDEX(Data_Analitik!$U$2:$U$351,MATCH($A157,Data_Analitik!$AE$2:$AE$351,0)),""))</f>
        <v>1.5</v>
      </c>
      <c r="I157" s="33" t="str">
        <f>IF(OR($A157="",$A157&gt;SUM(Data_Analitik!$AD$2:$AD$351)),"",IFERROR(INDEX(Data_Analitik!$AB$2:$AB$351,MATCH($A157,Data_Analitik!$AE$2:$AE$351,0)),""))</f>
        <v>Tidak Mantap Sedang</v>
      </c>
    </row>
    <row r="158" spans="1:9" ht="21.95" customHeight="1" x14ac:dyDescent="0.25">
      <c r="A158" s="32">
        <f t="shared" si="2"/>
        <v>145</v>
      </c>
      <c r="B158" s="99" t="str">
        <f>IF(OR($A158="",$A158&gt;SUM(Data_Analitik!$AD$2:$AD$351)),"",IFERROR(INDEX(Data_Analitik!$B$2:$B$351,MATCH($A158,Data_Analitik!$AE$2:$AE$351,0)),""))</f>
        <v>190</v>
      </c>
      <c r="C158" s="101" t="str">
        <f>IF(OR($A158="",$A158&gt;SUM(Data_Analitik!$AD$2:$AD$351)),"",IFERROR(INDEX(Data_Analitik!$C$2:$C$351,MATCH($A158,Data_Analitik!$AE$2:$AE$351,0)),""))</f>
        <v>Kayu Abang - Paya</v>
      </c>
      <c r="D158" s="99" t="str">
        <f>IF(OR($A158="",$A158&gt;SUM(Data_Analitik!$AD$2:$AD$351)),"",IFERROR(INDEX(Data_Analitik!$D$2:$D$351,MATCH($A158,Data_Analitik!$AE$2:$AE$351,0)),""))</f>
        <v>Angkinang</v>
      </c>
      <c r="E158" s="100">
        <f>IF(OR($A158="",$A158&gt;SUM(Data_Analitik!$AD$2:$AD$351)),"",IFERROR(INDEX(Data_Analitik!$E$2:$E$351,MATCH($A158,Data_Analitik!$AE$2:$AE$351,0)),""))</f>
        <v>0.7</v>
      </c>
      <c r="F158" s="97">
        <f>IF(OR($A158="",$A158&gt;SUM(Data_Analitik!$AD$2:$AD$351)),"",IFERROR(INDEX(Data_Analitik!$Z$2:$Z$351,MATCH($A158,Data_Analitik!$AE$2:$AE$351,0)),""))</f>
        <v>0.42857143495764055</v>
      </c>
      <c r="G158" s="97">
        <f>IF(OR($A158="",$A158&gt;SUM(Data_Analitik!$AD$2:$AD$351)),"",IFERROR(INDEX(Data_Analitik!$AA$2:$AA$351,MATCH($A158,Data_Analitik!$AE$2:$AE$351,0)),""))</f>
        <v>0.42142858036926811</v>
      </c>
      <c r="H158" s="100">
        <f>IF(OR($A158="",$A158&gt;SUM(Data_Analitik!$AD$2:$AD$351)),"",IFERROR(INDEX(Data_Analitik!$U$2:$U$351,MATCH($A158,Data_Analitik!$AE$2:$AE$351,0)),""))</f>
        <v>0.10000000149011612</v>
      </c>
      <c r="I158" s="33" t="str">
        <f>IF(OR($A158="",$A158&gt;SUM(Data_Analitik!$AD$2:$AD$351)),"",IFERROR(INDEX(Data_Analitik!$AB$2:$AB$351,MATCH($A158,Data_Analitik!$AE$2:$AE$351,0)),""))</f>
        <v>Tidak Mantap Sedang</v>
      </c>
    </row>
    <row r="159" spans="1:9" ht="21.95" customHeight="1" x14ac:dyDescent="0.25">
      <c r="A159" s="32">
        <f t="shared" si="2"/>
        <v>146</v>
      </c>
      <c r="B159" s="99" t="str">
        <f>IF(OR($A159="",$A159&gt;SUM(Data_Analitik!$AD$2:$AD$351)),"",IFERROR(INDEX(Data_Analitik!$B$2:$B$351,MATCH($A159,Data_Analitik!$AE$2:$AE$351,0)),""))</f>
        <v>164</v>
      </c>
      <c r="C159" s="101" t="str">
        <f>IF(OR($A159="",$A159&gt;SUM(Data_Analitik!$AD$2:$AD$351)),"",IFERROR(INDEX(Data_Analitik!$C$2:$C$351,MATCH($A159,Data_Analitik!$AE$2:$AE$351,0)),""))</f>
        <v>Jl. Samping Mesjid Mandapai</v>
      </c>
      <c r="D159" s="99" t="str">
        <f>IF(OR($A159="",$A159&gt;SUM(Data_Analitik!$AD$2:$AD$351)),"",IFERROR(INDEX(Data_Analitik!$D$2:$D$351,MATCH($A159,Data_Analitik!$AE$2:$AE$351,0)),""))</f>
        <v>Padang Batung</v>
      </c>
      <c r="E159" s="100">
        <f>IF(OR($A159="",$A159&gt;SUM(Data_Analitik!$AD$2:$AD$351)),"",IFERROR(INDEX(Data_Analitik!$E$2:$E$351,MATCH($A159,Data_Analitik!$AE$2:$AE$351,0)),""))</f>
        <v>0.24</v>
      </c>
      <c r="F159" s="97">
        <f>IF(OR($A159="",$A159&gt;SUM(Data_Analitik!$AD$2:$AD$351)),"",IFERROR(INDEX(Data_Analitik!$Z$2:$Z$351,MATCH($A159,Data_Analitik!$AE$2:$AE$351,0)),""))</f>
        <v>0.41666667287548387</v>
      </c>
      <c r="G159" s="97">
        <f>IF(OR($A159="",$A159&gt;SUM(Data_Analitik!$AD$2:$AD$351)),"",IFERROR(INDEX(Data_Analitik!$AA$2:$AA$351,MATCH($A159,Data_Analitik!$AE$2:$AE$351,0)),""))</f>
        <v>0.39583333767950535</v>
      </c>
      <c r="H159" s="100">
        <f>IF(OR($A159="",$A159&gt;SUM(Data_Analitik!$AD$2:$AD$351)),"",IFERROR(INDEX(Data_Analitik!$U$2:$U$351,MATCH($A159,Data_Analitik!$AE$2:$AE$351,0)),""))</f>
        <v>0</v>
      </c>
      <c r="I159" s="33" t="str">
        <f>IF(OR($A159="",$A159&gt;SUM(Data_Analitik!$AD$2:$AD$351)),"",IFERROR(INDEX(Data_Analitik!$AB$2:$AB$351,MATCH($A159,Data_Analitik!$AE$2:$AE$351,0)),""))</f>
        <v>Tidak Mantap Sedang</v>
      </c>
    </row>
    <row r="160" spans="1:9" ht="21.95" customHeight="1" x14ac:dyDescent="0.25">
      <c r="A160" s="32">
        <f t="shared" si="2"/>
        <v>147</v>
      </c>
      <c r="B160" s="99" t="str">
        <f>IF(OR($A160="",$A160&gt;SUM(Data_Analitik!$AD$2:$AD$351)),"",IFERROR(INDEX(Data_Analitik!$B$2:$B$351,MATCH($A160,Data_Analitik!$AE$2:$AE$351,0)),""))</f>
        <v>062</v>
      </c>
      <c r="C160" s="101" t="str">
        <f>IF(OR($A160="",$A160&gt;SUM(Data_Analitik!$AD$2:$AD$351)),"",IFERROR(INDEX(Data_Analitik!$C$2:$C$351,MATCH($A160,Data_Analitik!$AE$2:$AE$351,0)),""))</f>
        <v>Jangkang - Pantai Ulin</v>
      </c>
      <c r="D160" s="99" t="str">
        <f>IF(OR($A160="",$A160&gt;SUM(Data_Analitik!$AD$2:$AD$351)),"",IFERROR(INDEX(Data_Analitik!$D$2:$D$351,MATCH($A160,Data_Analitik!$AE$2:$AE$351,0)),""))</f>
        <v>Kandangan</v>
      </c>
      <c r="E160" s="100">
        <f>IF(OR($A160="",$A160&gt;SUM(Data_Analitik!$AD$2:$AD$351)),"",IFERROR(INDEX(Data_Analitik!$E$2:$E$351,MATCH($A160,Data_Analitik!$AE$2:$AE$351,0)),""))</f>
        <v>1.69</v>
      </c>
      <c r="F160" s="97">
        <f>IF(OR($A160="",$A160&gt;SUM(Data_Analitik!$AD$2:$AD$351)),"",IFERROR(INDEX(Data_Analitik!$Z$2:$Z$351,MATCH($A160,Data_Analitik!$AE$2:$AE$351,0)),""))</f>
        <v>0.40828400903199552</v>
      </c>
      <c r="G160" s="97">
        <f>IF(OR($A160="",$A160&gt;SUM(Data_Analitik!$AD$2:$AD$351)),"",IFERROR(INDEX(Data_Analitik!$AA$2:$AA$351,MATCH($A160,Data_Analitik!$AE$2:$AE$351,0)),""))</f>
        <v>0.38461536962605092</v>
      </c>
      <c r="H160" s="100">
        <f>IF(OR($A160="",$A160&gt;SUM(Data_Analitik!$AD$2:$AD$351)),"",IFERROR(INDEX(Data_Analitik!$U$2:$U$351,MATCH($A160,Data_Analitik!$AE$2:$AE$351,0)),""))</f>
        <v>0.5899999737739563</v>
      </c>
      <c r="I160" s="33" t="str">
        <f>IF(OR($A160="",$A160&gt;SUM(Data_Analitik!$AD$2:$AD$351)),"",IFERROR(INDEX(Data_Analitik!$AB$2:$AB$351,MATCH($A160,Data_Analitik!$AE$2:$AE$351,0)),""))</f>
        <v>Rusak Berat Dominan</v>
      </c>
    </row>
    <row r="161" spans="1:9" ht="21.95" customHeight="1" x14ac:dyDescent="0.25">
      <c r="A161" s="32">
        <f t="shared" si="2"/>
        <v>148</v>
      </c>
      <c r="B161" s="99" t="str">
        <f>IF(OR($A161="",$A161&gt;SUM(Data_Analitik!$AD$2:$AD$351)),"",IFERROR(INDEX(Data_Analitik!$B$2:$B$351,MATCH($A161,Data_Analitik!$AE$2:$AE$351,0)),""))</f>
        <v>185</v>
      </c>
      <c r="C161" s="101" t="str">
        <f>IF(OR($A161="",$A161&gt;SUM(Data_Analitik!$AD$2:$AD$351)),"",IFERROR(INDEX(Data_Analitik!$C$2:$C$351,MATCH($A161,Data_Analitik!$AE$2:$AE$351,0)),""))</f>
        <v>Jl. Kayu Abang - Ds. Anjiran</v>
      </c>
      <c r="D161" s="99" t="str">
        <f>IF(OR($A161="",$A161&gt;SUM(Data_Analitik!$AD$2:$AD$351)),"",IFERROR(INDEX(Data_Analitik!$D$2:$D$351,MATCH($A161,Data_Analitik!$AE$2:$AE$351,0)),""))</f>
        <v>Angkinang</v>
      </c>
      <c r="E161" s="100">
        <f>IF(OR($A161="",$A161&gt;SUM(Data_Analitik!$AD$2:$AD$351)),"",IFERROR(INDEX(Data_Analitik!$E$2:$E$351,MATCH($A161,Data_Analitik!$AE$2:$AE$351,0)),""))</f>
        <v>0.98</v>
      </c>
      <c r="F161" s="97">
        <f>IF(OR($A161="",$A161&gt;SUM(Data_Analitik!$AD$2:$AD$351)),"",IFERROR(INDEX(Data_Analitik!$Z$2:$Z$351,MATCH($A161,Data_Analitik!$AE$2:$AE$351,0)),""))</f>
        <v>0.40816327899086235</v>
      </c>
      <c r="G161" s="97">
        <f>IF(OR($A161="",$A161&gt;SUM(Data_Analitik!$AD$2:$AD$351)),"",IFERROR(INDEX(Data_Analitik!$AA$2:$AA$351,MATCH($A161,Data_Analitik!$AE$2:$AE$351,0)),""))</f>
        <v>0.51530613126803415</v>
      </c>
      <c r="H161" s="100">
        <f>IF(OR($A161="",$A161&gt;SUM(Data_Analitik!$AD$2:$AD$351)),"",IFERROR(INDEX(Data_Analitik!$U$2:$U$351,MATCH($A161,Data_Analitik!$AE$2:$AE$351,0)),""))</f>
        <v>0.30000001192092896</v>
      </c>
      <c r="I161" s="33" t="str">
        <f>IF(OR($A161="",$A161&gt;SUM(Data_Analitik!$AD$2:$AD$351)),"",IFERROR(INDEX(Data_Analitik!$AB$2:$AB$351,MATCH($A161,Data_Analitik!$AE$2:$AE$351,0)),""))</f>
        <v>Rusak Berat Dominan</v>
      </c>
    </row>
    <row r="162" spans="1:9" ht="21.95" customHeight="1" x14ac:dyDescent="0.25">
      <c r="A162" s="32">
        <f t="shared" si="2"/>
        <v>149</v>
      </c>
      <c r="B162" s="99" t="str">
        <f>IF(OR($A162="",$A162&gt;SUM(Data_Analitik!$AD$2:$AD$351)),"",IFERROR(INDEX(Data_Analitik!$B$2:$B$351,MATCH($A162,Data_Analitik!$AE$2:$AE$351,0)),""))</f>
        <v>179</v>
      </c>
      <c r="C162" s="101" t="str">
        <f>IF(OR($A162="",$A162&gt;SUM(Data_Analitik!$AD$2:$AD$351)),"",IFERROR(INDEX(Data_Analitik!$C$2:$C$351,MATCH($A162,Data_Analitik!$AE$2:$AE$351,0)),""))</f>
        <v>Sp. Mandampa Tel. Sili-Sili - Sp. Sei. Bungur</v>
      </c>
      <c r="D162" s="99" t="str">
        <f>IF(OR($A162="",$A162&gt;SUM(Data_Analitik!$AD$2:$AD$351)),"",IFERROR(INDEX(Data_Analitik!$D$2:$D$351,MATCH($A162,Data_Analitik!$AE$2:$AE$351,0)),""))</f>
        <v>Angkinang - Padang Batung</v>
      </c>
      <c r="E162" s="100">
        <f>IF(OR($A162="",$A162&gt;SUM(Data_Analitik!$AD$2:$AD$351)),"",IFERROR(INDEX(Data_Analitik!$E$2:$E$351,MATCH($A162,Data_Analitik!$AE$2:$AE$351,0)),""))</f>
        <v>4.9000000000000004</v>
      </c>
      <c r="F162" s="97">
        <f>IF(OR($A162="",$A162&gt;SUM(Data_Analitik!$AD$2:$AD$351)),"",IFERROR(INDEX(Data_Analitik!$Z$2:$Z$351,MATCH($A162,Data_Analitik!$AE$2:$AE$351,0)),""))</f>
        <v>0.38775509717513101</v>
      </c>
      <c r="G162" s="97">
        <f>IF(OR($A162="",$A162&gt;SUM(Data_Analitik!$AD$2:$AD$351)),"",IFERROR(INDEX(Data_Analitik!$AA$2:$AA$351,MATCH($A162,Data_Analitik!$AE$2:$AE$351,0)),""))</f>
        <v>0.38571428279487452</v>
      </c>
      <c r="H162" s="100">
        <f>IF(OR($A162="",$A162&gt;SUM(Data_Analitik!$AD$2:$AD$351)),"",IFERROR(INDEX(Data_Analitik!$U$2:$U$351,MATCH($A162,Data_Analitik!$AE$2:$AE$351,0)),""))</f>
        <v>0</v>
      </c>
      <c r="I162" s="33" t="str">
        <f>IF(OR($A162="",$A162&gt;SUM(Data_Analitik!$AD$2:$AD$351)),"",IFERROR(INDEX(Data_Analitik!$AB$2:$AB$351,MATCH($A162,Data_Analitik!$AE$2:$AE$351,0)),""))</f>
        <v>Tidak Mantap Sedang</v>
      </c>
    </row>
    <row r="163" spans="1:9" ht="21.95" customHeight="1" x14ac:dyDescent="0.25">
      <c r="A163" s="32">
        <f t="shared" si="2"/>
        <v>150</v>
      </c>
      <c r="B163" s="99" t="str">
        <f>IF(OR($A163="",$A163&gt;SUM(Data_Analitik!$AD$2:$AD$351)),"",IFERROR(INDEX(Data_Analitik!$B$2:$B$351,MATCH($A163,Data_Analitik!$AE$2:$AE$351,0)),""))</f>
        <v>095</v>
      </c>
      <c r="C163" s="101" t="str">
        <f>IF(OR($A163="",$A163&gt;SUM(Data_Analitik!$AD$2:$AD$351)),"",IFERROR(INDEX(Data_Analitik!$C$2:$C$351,MATCH($A163,Data_Analitik!$AE$2:$AE$351,0)),""))</f>
        <v>Sungai Raya Selatan - Malutu - Goa Berangin</v>
      </c>
      <c r="D163" s="99" t="str">
        <f>IF(OR($A163="",$A163&gt;SUM(Data_Analitik!$AD$2:$AD$351)),"",IFERROR(INDEX(Data_Analitik!$D$2:$D$351,MATCH($A163,Data_Analitik!$AE$2:$AE$351,0)),""))</f>
        <v>Sungai Raya - Padang Batung</v>
      </c>
      <c r="E163" s="100">
        <f>IF(OR($A163="",$A163&gt;SUM(Data_Analitik!$AD$2:$AD$351)),"",IFERROR(INDEX(Data_Analitik!$E$2:$E$351,MATCH($A163,Data_Analitik!$AE$2:$AE$351,0)),""))</f>
        <v>6.35</v>
      </c>
      <c r="F163" s="97">
        <f>IF(OR($A163="",$A163&gt;SUM(Data_Analitik!$AD$2:$AD$351)),"",IFERROR(INDEX(Data_Analitik!$Z$2:$Z$351,MATCH($A163,Data_Analitik!$AE$2:$AE$351,0)),""))</f>
        <v>0.38582676508295255</v>
      </c>
      <c r="G163" s="97">
        <f>IF(OR($A163="",$A163&gt;SUM(Data_Analitik!$AD$2:$AD$351)),"",IFERROR(INDEX(Data_Analitik!$AA$2:$AA$351,MATCH($A163,Data_Analitik!$AE$2:$AE$351,0)),""))</f>
        <v>0.49055117227899747</v>
      </c>
      <c r="H163" s="100">
        <f>IF(OR($A163="",$A163&gt;SUM(Data_Analitik!$AD$2:$AD$351)),"",IFERROR(INDEX(Data_Analitik!$U$2:$U$351,MATCH($A163,Data_Analitik!$AE$2:$AE$351,0)),""))</f>
        <v>2.0499999523162842</v>
      </c>
      <c r="I163" s="33" t="str">
        <f>IF(OR($A163="",$A163&gt;SUM(Data_Analitik!$AD$2:$AD$351)),"",IFERROR(INDEX(Data_Analitik!$AB$2:$AB$351,MATCH($A163,Data_Analitik!$AE$2:$AE$351,0)),""))</f>
        <v>Rusak Berat Dominan</v>
      </c>
    </row>
    <row r="164" spans="1:9" ht="21.95" customHeight="1" x14ac:dyDescent="0.25">
      <c r="A164" s="32">
        <f t="shared" si="2"/>
        <v>151</v>
      </c>
      <c r="B164" s="99" t="str">
        <f>IF(OR($A164="",$A164&gt;SUM(Data_Analitik!$AD$2:$AD$351)),"",IFERROR(INDEX(Data_Analitik!$B$2:$B$351,MATCH($A164,Data_Analitik!$AE$2:$AE$351,0)),""))</f>
        <v>296</v>
      </c>
      <c r="C164" s="101" t="str">
        <f>IF(OR($A164="",$A164&gt;SUM(Data_Analitik!$AD$2:$AD$351)),"",IFERROR(INDEX(Data_Analitik!$C$2:$C$351,MATCH($A164,Data_Analitik!$AE$2:$AE$351,0)),""))</f>
        <v>Jl. Inst. PDAM Negara</v>
      </c>
      <c r="D164" s="99" t="str">
        <f>IF(OR($A164="",$A164&gt;SUM(Data_Analitik!$AD$2:$AD$351)),"",IFERROR(INDEX(Data_Analitik!$D$2:$D$351,MATCH($A164,Data_Analitik!$AE$2:$AE$351,0)),""))</f>
        <v>Daha Selatan</v>
      </c>
      <c r="E164" s="100">
        <f>IF(OR($A164="",$A164&gt;SUM(Data_Analitik!$AD$2:$AD$351)),"",IFERROR(INDEX(Data_Analitik!$E$2:$E$351,MATCH($A164,Data_Analitik!$AE$2:$AE$351,0)),""))</f>
        <v>0.26</v>
      </c>
      <c r="F164" s="97">
        <f>IF(OR($A164="",$A164&gt;SUM(Data_Analitik!$AD$2:$AD$351)),"",IFERROR(INDEX(Data_Analitik!$Z$2:$Z$351,MATCH($A164,Data_Analitik!$AE$2:$AE$351,0)),""))</f>
        <v>0.38461539034660047</v>
      </c>
      <c r="G164" s="97">
        <f>IF(OR($A164="",$A164&gt;SUM(Data_Analitik!$AD$2:$AD$351)),"",IFERROR(INDEX(Data_Analitik!$AA$2:$AA$351,MATCH($A164,Data_Analitik!$AE$2:$AE$351,0)),""))</f>
        <v>0.38461538461538458</v>
      </c>
      <c r="H164" s="100">
        <f>IF(OR($A164="",$A164&gt;SUM(Data_Analitik!$AD$2:$AD$351)),"",IFERROR(INDEX(Data_Analitik!$U$2:$U$351,MATCH($A164,Data_Analitik!$AE$2:$AE$351,0)),""))</f>
        <v>0</v>
      </c>
      <c r="I164" s="33" t="str">
        <f>IF(OR($A164="",$A164&gt;SUM(Data_Analitik!$AD$2:$AD$351)),"",IFERROR(INDEX(Data_Analitik!$AB$2:$AB$351,MATCH($A164,Data_Analitik!$AE$2:$AE$351,0)),""))</f>
        <v>Tidak Mantap Sedang</v>
      </c>
    </row>
    <row r="165" spans="1:9" ht="21.95" customHeight="1" x14ac:dyDescent="0.25">
      <c r="A165" s="32">
        <f t="shared" si="2"/>
        <v>152</v>
      </c>
      <c r="B165" s="99" t="str">
        <f>IF(OR($A165="",$A165&gt;SUM(Data_Analitik!$AD$2:$AD$351)),"",IFERROR(INDEX(Data_Analitik!$B$2:$B$351,MATCH($A165,Data_Analitik!$AE$2:$AE$351,0)),""))</f>
        <v>253</v>
      </c>
      <c r="C165" s="101" t="str">
        <f>IF(OR($A165="",$A165&gt;SUM(Data_Analitik!$AD$2:$AD$351)),"",IFERROR(INDEX(Data_Analitik!$C$2:$C$351,MATCH($A165,Data_Analitik!$AE$2:$AE$351,0)),""))</f>
        <v>Sirih - Pacakan</v>
      </c>
      <c r="D165" s="99" t="str">
        <f>IF(OR($A165="",$A165&gt;SUM(Data_Analitik!$AD$2:$AD$351)),"",IFERROR(INDEX(Data_Analitik!$D$2:$D$351,MATCH($A165,Data_Analitik!$AE$2:$AE$351,0)),""))</f>
        <v>Kalumpang</v>
      </c>
      <c r="E165" s="100">
        <f>IF(OR($A165="",$A165&gt;SUM(Data_Analitik!$AD$2:$AD$351)),"",IFERROR(INDEX(Data_Analitik!$E$2:$E$351,MATCH($A165,Data_Analitik!$AE$2:$AE$351,0)),""))</f>
        <v>0.64</v>
      </c>
      <c r="F165" s="97">
        <f>IF(OR($A165="",$A165&gt;SUM(Data_Analitik!$AD$2:$AD$351)),"",IFERROR(INDEX(Data_Analitik!$Z$2:$Z$351,MATCH($A165,Data_Analitik!$AE$2:$AE$351,0)),""))</f>
        <v>0.37500000325962901</v>
      </c>
      <c r="G165" s="97">
        <f>IF(OR($A165="",$A165&gt;SUM(Data_Analitik!$AD$2:$AD$351)),"",IFERROR(INDEX(Data_Analitik!$AA$2:$AA$351,MATCH($A165,Data_Analitik!$AE$2:$AE$351,0)),""))</f>
        <v>0.53125000558793545</v>
      </c>
      <c r="H165" s="100">
        <f>IF(OR($A165="",$A165&gt;SUM(Data_Analitik!$AD$2:$AD$351)),"",IFERROR(INDEX(Data_Analitik!$U$2:$U$351,MATCH($A165,Data_Analitik!$AE$2:$AE$351,0)),""))</f>
        <v>0.24000000208616257</v>
      </c>
      <c r="I165" s="33" t="str">
        <f>IF(OR($A165="",$A165&gt;SUM(Data_Analitik!$AD$2:$AD$351)),"",IFERROR(INDEX(Data_Analitik!$AB$2:$AB$351,MATCH($A165,Data_Analitik!$AE$2:$AE$351,0)),""))</f>
        <v>Rusak Berat Dominan</v>
      </c>
    </row>
    <row r="166" spans="1:9" ht="21.95" customHeight="1" x14ac:dyDescent="0.25">
      <c r="A166" s="32">
        <f t="shared" si="2"/>
        <v>153</v>
      </c>
      <c r="B166" s="99" t="str">
        <f>IF(OR($A166="",$A166&gt;SUM(Data_Analitik!$AD$2:$AD$351)),"",IFERROR(INDEX(Data_Analitik!$B$2:$B$351,MATCH($A166,Data_Analitik!$AE$2:$AE$351,0)),""))</f>
        <v>331</v>
      </c>
      <c r="C166" s="101" t="str">
        <f>IF(OR($A166="",$A166&gt;SUM(Data_Analitik!$AD$2:$AD$351)),"",IFERROR(INDEX(Data_Analitik!$C$2:$C$351,MATCH($A166,Data_Analitik!$AE$2:$AE$351,0)),""))</f>
        <v>Jl. Cangkingan Herman</v>
      </c>
      <c r="D166" s="99" t="str">
        <f>IF(OR($A166="",$A166&gt;SUM(Data_Analitik!$AD$2:$AD$351)),"",IFERROR(INDEX(Data_Analitik!$D$2:$D$351,MATCH($A166,Data_Analitik!$AE$2:$AE$351,0)),""))</f>
        <v>Daha Utara</v>
      </c>
      <c r="E166" s="100">
        <f>IF(OR($A166="",$A166&gt;SUM(Data_Analitik!$AD$2:$AD$351)),"",IFERROR(INDEX(Data_Analitik!$E$2:$E$351,MATCH($A166,Data_Analitik!$AE$2:$AE$351,0)),""))</f>
        <v>0.32</v>
      </c>
      <c r="F166" s="97">
        <f>IF(OR($A166="",$A166&gt;SUM(Data_Analitik!$AD$2:$AD$351)),"",IFERROR(INDEX(Data_Analitik!$Z$2:$Z$351,MATCH($A166,Data_Analitik!$AE$2:$AE$351,0)),""))</f>
        <v>0.37500000325962901</v>
      </c>
      <c r="G166" s="97">
        <f>IF(OR($A166="",$A166&gt;SUM(Data_Analitik!$AD$2:$AD$351)),"",IFERROR(INDEX(Data_Analitik!$AA$2:$AA$351,MATCH($A166,Data_Analitik!$AE$2:$AE$351,0)),""))</f>
        <v>0.4062500037252903</v>
      </c>
      <c r="H166" s="100">
        <f>IF(OR($A166="",$A166&gt;SUM(Data_Analitik!$AD$2:$AD$351)),"",IFERROR(INDEX(Data_Analitik!$U$2:$U$351,MATCH($A166,Data_Analitik!$AE$2:$AE$351,0)),""))</f>
        <v>1.9999999552965164E-2</v>
      </c>
      <c r="I166" s="33" t="str">
        <f>IF(OR($A166="",$A166&gt;SUM(Data_Analitik!$AD$2:$AD$351)),"",IFERROR(INDEX(Data_Analitik!$AB$2:$AB$351,MATCH($A166,Data_Analitik!$AE$2:$AE$351,0)),""))</f>
        <v>Tidak Mantap Sedang</v>
      </c>
    </row>
    <row r="167" spans="1:9" ht="21.95" customHeight="1" x14ac:dyDescent="0.25">
      <c r="A167" s="32">
        <f t="shared" si="2"/>
        <v>154</v>
      </c>
      <c r="B167" s="99" t="str">
        <f>IF(OR($A167="",$A167&gt;SUM(Data_Analitik!$AD$2:$AD$351)),"",IFERROR(INDEX(Data_Analitik!$B$2:$B$351,MATCH($A167,Data_Analitik!$AE$2:$AE$351,0)),""))</f>
        <v>029</v>
      </c>
      <c r="C167" s="101" t="str">
        <f>IF(OR($A167="",$A167&gt;SUM(Data_Analitik!$AD$2:$AD$351)),"",IFERROR(INDEX(Data_Analitik!$C$2:$C$351,MATCH($A167,Data_Analitik!$AE$2:$AE$351,0)),""))</f>
        <v>Jl. Jafri Zamzam</v>
      </c>
      <c r="D167" s="99" t="str">
        <f>IF(OR($A167="",$A167&gt;SUM(Data_Analitik!$AD$2:$AD$351)),"",IFERROR(INDEX(Data_Analitik!$D$2:$D$351,MATCH($A167,Data_Analitik!$AE$2:$AE$351,0)),""))</f>
        <v>Kandangan</v>
      </c>
      <c r="E167" s="100">
        <f>IF(OR($A167="",$A167&gt;SUM(Data_Analitik!$AD$2:$AD$351)),"",IFERROR(INDEX(Data_Analitik!$E$2:$E$351,MATCH($A167,Data_Analitik!$AE$2:$AE$351,0)),""))</f>
        <v>1.07</v>
      </c>
      <c r="F167" s="97">
        <f>IF(OR($A167="",$A167&gt;SUM(Data_Analitik!$AD$2:$AD$351)),"",IFERROR(INDEX(Data_Analitik!$Z$2:$Z$351,MATCH($A167,Data_Analitik!$AE$2:$AE$351,0)),""))</f>
        <v>0.3738317812714621</v>
      </c>
      <c r="G167" s="97">
        <f>IF(OR($A167="",$A167&gt;SUM(Data_Analitik!$AD$2:$AD$351)),"",IFERROR(INDEX(Data_Analitik!$AA$2:$AA$351,MATCH($A167,Data_Analitik!$AE$2:$AE$351,0)),""))</f>
        <v>0.45560748499130527</v>
      </c>
      <c r="H167" s="100">
        <f>IF(OR($A167="",$A167&gt;SUM(Data_Analitik!$AD$2:$AD$351)),"",IFERROR(INDEX(Data_Analitik!$U$2:$U$351,MATCH($A167,Data_Analitik!$AE$2:$AE$351,0)),""))</f>
        <v>0.20000000298023224</v>
      </c>
      <c r="I167" s="33" t="str">
        <f>IF(OR($A167="",$A167&gt;SUM(Data_Analitik!$AD$2:$AD$351)),"",IFERROR(INDEX(Data_Analitik!$AB$2:$AB$351,MATCH($A167,Data_Analitik!$AE$2:$AE$351,0)),""))</f>
        <v>Tidak Mantap Sedang</v>
      </c>
    </row>
    <row r="168" spans="1:9" ht="21.95" customHeight="1" x14ac:dyDescent="0.25">
      <c r="A168" s="32">
        <f t="shared" si="2"/>
        <v>155</v>
      </c>
      <c r="B168" s="99" t="str">
        <f>IF(OR($A168="",$A168&gt;SUM(Data_Analitik!$AD$2:$AD$351)),"",IFERROR(INDEX(Data_Analitik!$B$2:$B$351,MATCH($A168,Data_Analitik!$AE$2:$AE$351,0)),""))</f>
        <v>147</v>
      </c>
      <c r="C168" s="101" t="str">
        <f>IF(OR($A168="",$A168&gt;SUM(Data_Analitik!$AD$2:$AD$351)),"",IFERROR(INDEX(Data_Analitik!$C$2:$C$351,MATCH($A168,Data_Analitik!$AE$2:$AE$351,0)),""))</f>
        <v>Simpang Malutu - Tambak</v>
      </c>
      <c r="D168" s="99" t="str">
        <f>IF(OR($A168="",$A168&gt;SUM(Data_Analitik!$AD$2:$AD$351)),"",IFERROR(INDEX(Data_Analitik!$D$2:$D$351,MATCH($A168,Data_Analitik!$AE$2:$AE$351,0)),""))</f>
        <v>Padang Batung</v>
      </c>
      <c r="E168" s="100">
        <f>IF(OR($A168="",$A168&gt;SUM(Data_Analitik!$AD$2:$AD$351)),"",IFERROR(INDEX(Data_Analitik!$E$2:$E$351,MATCH($A168,Data_Analitik!$AE$2:$AE$351,0)),""))</f>
        <v>2.87</v>
      </c>
      <c r="F168" s="97">
        <f>IF(OR($A168="",$A168&gt;SUM(Data_Analitik!$AD$2:$AD$351)),"",IFERROR(INDEX(Data_Analitik!$Z$2:$Z$351,MATCH($A168,Data_Analitik!$AE$2:$AE$351,0)),""))</f>
        <v>0.37282229715938764</v>
      </c>
      <c r="G168" s="97">
        <f>IF(OR($A168="",$A168&gt;SUM(Data_Analitik!$AD$2:$AD$351)),"",IFERROR(INDEX(Data_Analitik!$AA$2:$AA$351,MATCH($A168,Data_Analitik!$AE$2:$AE$351,0)),""))</f>
        <v>0.3526132405842638</v>
      </c>
      <c r="H168" s="100">
        <f>IF(OR($A168="",$A168&gt;SUM(Data_Analitik!$AD$2:$AD$351)),"",IFERROR(INDEX(Data_Analitik!$U$2:$U$351,MATCH($A168,Data_Analitik!$AE$2:$AE$351,0)),""))</f>
        <v>0.30000001192092896</v>
      </c>
      <c r="I168" s="33" t="str">
        <f>IF(OR($A168="",$A168&gt;SUM(Data_Analitik!$AD$2:$AD$351)),"",IFERROR(INDEX(Data_Analitik!$AB$2:$AB$351,MATCH($A168,Data_Analitik!$AE$2:$AE$351,0)),""))</f>
        <v>Tidak Mantap Sedang</v>
      </c>
    </row>
    <row r="169" spans="1:9" ht="21.95" customHeight="1" x14ac:dyDescent="0.25">
      <c r="A169" s="32">
        <f t="shared" si="2"/>
        <v>156</v>
      </c>
      <c r="B169" s="99" t="str">
        <f>IF(OR($A169="",$A169&gt;SUM(Data_Analitik!$AD$2:$AD$351)),"",IFERROR(INDEX(Data_Analitik!$B$2:$B$351,MATCH($A169,Data_Analitik!$AE$2:$AE$351,0)),""))</f>
        <v>254</v>
      </c>
      <c r="C169" s="101" t="str">
        <f>IF(OR($A169="",$A169&gt;SUM(Data_Analitik!$AD$2:$AD$351)),"",IFERROR(INDEX(Data_Analitik!$C$2:$C$351,MATCH($A169,Data_Analitik!$AE$2:$AE$351,0)),""))</f>
        <v>SP.4 Mesjid Sirih - Sarang Nyamuk - Asam Tamiyang</v>
      </c>
      <c r="D169" s="99" t="str">
        <f>IF(OR($A169="",$A169&gt;SUM(Data_Analitik!$AD$2:$AD$351)),"",IFERROR(INDEX(Data_Analitik!$D$2:$D$351,MATCH($A169,Data_Analitik!$AE$2:$AE$351,0)),""))</f>
        <v>Kalumpang - Sungai Raya</v>
      </c>
      <c r="E169" s="100">
        <f>IF(OR($A169="",$A169&gt;SUM(Data_Analitik!$AD$2:$AD$351)),"",IFERROR(INDEX(Data_Analitik!$E$2:$E$351,MATCH($A169,Data_Analitik!$AE$2:$AE$351,0)),""))</f>
        <v>6.1</v>
      </c>
      <c r="F169" s="97">
        <f>IF(OR($A169="",$A169&gt;SUM(Data_Analitik!$AD$2:$AD$351)),"",IFERROR(INDEX(Data_Analitik!$Z$2:$Z$351,MATCH($A169,Data_Analitik!$AE$2:$AE$351,0)),""))</f>
        <v>0.36065573208644747</v>
      </c>
      <c r="G169" s="97">
        <f>IF(OR($A169="",$A169&gt;SUM(Data_Analitik!$AD$2:$AD$351)),"",IFERROR(INDEX(Data_Analitik!$AA$2:$AA$351,MATCH($A169,Data_Analitik!$AE$2:$AE$351,0)),""))</f>
        <v>0.36311474808903993</v>
      </c>
      <c r="H169" s="100">
        <f>IF(OR($A169="",$A169&gt;SUM(Data_Analitik!$AD$2:$AD$351)),"",IFERROR(INDEX(Data_Analitik!$U$2:$U$351,MATCH($A169,Data_Analitik!$AE$2:$AE$351,0)),""))</f>
        <v>0.79999998956918716</v>
      </c>
      <c r="I169" s="33" t="str">
        <f>IF(OR($A169="",$A169&gt;SUM(Data_Analitik!$AD$2:$AD$351)),"",IFERROR(INDEX(Data_Analitik!$AB$2:$AB$351,MATCH($A169,Data_Analitik!$AE$2:$AE$351,0)),""))</f>
        <v>Tidak Mantap Sedang</v>
      </c>
    </row>
    <row r="170" spans="1:9" ht="21.95" customHeight="1" x14ac:dyDescent="0.25">
      <c r="A170" s="32">
        <f t="shared" si="2"/>
        <v>157</v>
      </c>
      <c r="B170" s="99" t="str">
        <f>IF(OR($A170="",$A170&gt;SUM(Data_Analitik!$AD$2:$AD$351)),"",IFERROR(INDEX(Data_Analitik!$B$2:$B$351,MATCH($A170,Data_Analitik!$AE$2:$AE$351,0)),""))</f>
        <v>243</v>
      </c>
      <c r="C170" s="101" t="str">
        <f>IF(OR($A170="",$A170&gt;SUM(Data_Analitik!$AD$2:$AD$351)),"",IFERROR(INDEX(Data_Analitik!$C$2:$C$351,MATCH($A170,Data_Analitik!$AE$2:$AE$351,0)),""))</f>
        <v>Jl. Banua Kambang - Ds. Wasah Tengah</v>
      </c>
      <c r="D170" s="99" t="str">
        <f>IF(OR($A170="",$A170&gt;SUM(Data_Analitik!$AD$2:$AD$351)),"",IFERROR(INDEX(Data_Analitik!$D$2:$D$351,MATCH($A170,Data_Analitik!$AE$2:$AE$351,0)),""))</f>
        <v>Simpur</v>
      </c>
      <c r="E170" s="100">
        <f>IF(OR($A170="",$A170&gt;SUM(Data_Analitik!$AD$2:$AD$351)),"",IFERROR(INDEX(Data_Analitik!$E$2:$E$351,MATCH($A170,Data_Analitik!$AE$2:$AE$351,0)),""))</f>
        <v>1.39</v>
      </c>
      <c r="F170" s="97">
        <f>IF(OR($A170="",$A170&gt;SUM(Data_Analitik!$AD$2:$AD$351)),"",IFERROR(INDEX(Data_Analitik!$Z$2:$Z$351,MATCH($A170,Data_Analitik!$AE$2:$AE$351,0)),""))</f>
        <v>0.35971223021582738</v>
      </c>
      <c r="G170" s="97">
        <f>IF(OR($A170="",$A170&gt;SUM(Data_Analitik!$AD$2:$AD$351)),"",IFERROR(INDEX(Data_Analitik!$AA$2:$AA$351,MATCH($A170,Data_Analitik!$AE$2:$AE$351,0)),""))</f>
        <v>0.30395683624761571</v>
      </c>
      <c r="H170" s="100">
        <f>IF(OR($A170="",$A170&gt;SUM(Data_Analitik!$AD$2:$AD$351)),"",IFERROR(INDEX(Data_Analitik!$U$2:$U$351,MATCH($A170,Data_Analitik!$AE$2:$AE$351,0)),""))</f>
        <v>0</v>
      </c>
      <c r="I170" s="33" t="str">
        <f>IF(OR($A170="",$A170&gt;SUM(Data_Analitik!$AD$2:$AD$351)),"",IFERROR(INDEX(Data_Analitik!$AB$2:$AB$351,MATCH($A170,Data_Analitik!$AE$2:$AE$351,0)),""))</f>
        <v>Tidak Mantap Sedang</v>
      </c>
    </row>
    <row r="171" spans="1:9" ht="21.95" customHeight="1" x14ac:dyDescent="0.25">
      <c r="A171" s="32">
        <f t="shared" si="2"/>
        <v>158</v>
      </c>
      <c r="B171" s="99" t="str">
        <f>IF(OR($A171="",$A171&gt;SUM(Data_Analitik!$AD$2:$AD$351)),"",IFERROR(INDEX(Data_Analitik!$B$2:$B$351,MATCH($A171,Data_Analitik!$AE$2:$AE$351,0)),""))</f>
        <v>001</v>
      </c>
      <c r="C171" s="101" t="str">
        <f>IF(OR($A171="",$A171&gt;SUM(Data_Analitik!$AD$2:$AD$351)),"",IFERROR(INDEX(Data_Analitik!$C$2:$C$351,MATCH($A171,Data_Analitik!$AE$2:$AE$351,0)),""))</f>
        <v>Jl. Pangeran Antasari - Loklua</v>
      </c>
      <c r="D171" s="99" t="str">
        <f>IF(OR($A171="",$A171&gt;SUM(Data_Analitik!$AD$2:$AD$351)),"",IFERROR(INDEX(Data_Analitik!$D$2:$D$351,MATCH($A171,Data_Analitik!$AE$2:$AE$351,0)),""))</f>
        <v>Kandangan</v>
      </c>
      <c r="E171" s="100">
        <f>IF(OR($A171="",$A171&gt;SUM(Data_Analitik!$AD$2:$AD$351)),"",IFERROR(INDEX(Data_Analitik!$E$2:$E$351,MATCH($A171,Data_Analitik!$AE$2:$AE$351,0)),""))</f>
        <v>0.56000000000000005</v>
      </c>
      <c r="F171" s="97">
        <f>IF(OR($A171="",$A171&gt;SUM(Data_Analitik!$AD$2:$AD$351)),"",IFERROR(INDEX(Data_Analitik!$Z$2:$Z$351,MATCH($A171,Data_Analitik!$AE$2:$AE$351,0)),""))</f>
        <v>0.35714286246470039</v>
      </c>
      <c r="G171" s="97">
        <f>IF(OR($A171="",$A171&gt;SUM(Data_Analitik!$AD$2:$AD$351)),"",IFERROR(INDEX(Data_Analitik!$AA$2:$AA$351,MATCH($A171,Data_Analitik!$AE$2:$AE$351,0)),""))</f>
        <v>0.37500000957931789</v>
      </c>
      <c r="H171" s="100">
        <f>IF(OR($A171="",$A171&gt;SUM(Data_Analitik!$AD$2:$AD$351)),"",IFERROR(INDEX(Data_Analitik!$U$2:$U$351,MATCH($A171,Data_Analitik!$AE$2:$AE$351,0)),""))</f>
        <v>0</v>
      </c>
      <c r="I171" s="33" t="str">
        <f>IF(OR($A171="",$A171&gt;SUM(Data_Analitik!$AD$2:$AD$351)),"",IFERROR(INDEX(Data_Analitik!$AB$2:$AB$351,MATCH($A171,Data_Analitik!$AE$2:$AE$351,0)),""))</f>
        <v>Tidak Mantap Sedang</v>
      </c>
    </row>
    <row r="172" spans="1:9" ht="21.95" customHeight="1" x14ac:dyDescent="0.25">
      <c r="A172" s="32">
        <f t="shared" si="2"/>
        <v>159</v>
      </c>
      <c r="B172" s="99" t="str">
        <f>IF(OR($A172="",$A172&gt;SUM(Data_Analitik!$AD$2:$AD$351)),"",IFERROR(INDEX(Data_Analitik!$B$2:$B$351,MATCH($A172,Data_Analitik!$AE$2:$AE$351,0)),""))</f>
        <v>315</v>
      </c>
      <c r="C172" s="101" t="str">
        <f>IF(OR($A172="",$A172&gt;SUM(Data_Analitik!$AD$2:$AD$351)),"",IFERROR(INDEX(Data_Analitik!$C$2:$C$351,MATCH($A172,Data_Analitik!$AE$2:$AE$351,0)),""))</f>
        <v>Jl. Kenanga - Ds. Baruh Kambang</v>
      </c>
      <c r="D172" s="99" t="str">
        <f>IF(OR($A172="",$A172&gt;SUM(Data_Analitik!$AD$2:$AD$351)),"",IFERROR(INDEX(Data_Analitik!$D$2:$D$351,MATCH($A172,Data_Analitik!$AE$2:$AE$351,0)),""))</f>
        <v>Daha Utara</v>
      </c>
      <c r="E172" s="100">
        <f>IF(OR($A172="",$A172&gt;SUM(Data_Analitik!$AD$2:$AD$351)),"",IFERROR(INDEX(Data_Analitik!$E$2:$E$351,MATCH($A172,Data_Analitik!$AE$2:$AE$351,0)),""))</f>
        <v>0.31</v>
      </c>
      <c r="F172" s="97">
        <f>IF(OR($A172="",$A172&gt;SUM(Data_Analitik!$AD$2:$AD$351)),"",IFERROR(INDEX(Data_Analitik!$Z$2:$Z$351,MATCH($A172,Data_Analitik!$AE$2:$AE$351,0)),""))</f>
        <v>0.3548387077546889</v>
      </c>
      <c r="G172" s="97">
        <f>IF(OR($A172="",$A172&gt;SUM(Data_Analitik!$AD$2:$AD$351)),"",IFERROR(INDEX(Data_Analitik!$AA$2:$AA$351,MATCH($A172,Data_Analitik!$AE$2:$AE$351,0)),""))</f>
        <v>0.3548387077546889</v>
      </c>
      <c r="H172" s="100">
        <f>IF(OR($A172="",$A172&gt;SUM(Data_Analitik!$AD$2:$AD$351)),"",IFERROR(INDEX(Data_Analitik!$U$2:$U$351,MATCH($A172,Data_Analitik!$AE$2:$AE$351,0)),""))</f>
        <v>0.10999999940395355</v>
      </c>
      <c r="I172" s="33" t="str">
        <f>IF(OR($A172="",$A172&gt;SUM(Data_Analitik!$AD$2:$AD$351)),"",IFERROR(INDEX(Data_Analitik!$AB$2:$AB$351,MATCH($A172,Data_Analitik!$AE$2:$AE$351,0)),""))</f>
        <v>Rusak Berat Dominan</v>
      </c>
    </row>
    <row r="173" spans="1:9" ht="21.95" customHeight="1" x14ac:dyDescent="0.25">
      <c r="A173" s="32">
        <f t="shared" si="2"/>
        <v>160</v>
      </c>
      <c r="B173" s="99" t="str">
        <f>IF(OR($A173="",$A173&gt;SUM(Data_Analitik!$AD$2:$AD$351)),"",IFERROR(INDEX(Data_Analitik!$B$2:$B$351,MATCH($A173,Data_Analitik!$AE$2:$AE$351,0)),""))</f>
        <v>299</v>
      </c>
      <c r="C173" s="101" t="str">
        <f>IF(OR($A173="",$A173&gt;SUM(Data_Analitik!$AD$2:$AD$351)),"",IFERROR(INDEX(Data_Analitik!$C$2:$C$351,MATCH($A173,Data_Analitik!$AE$2:$AE$351,0)),""))</f>
        <v>Samuda - Bajayau</v>
      </c>
      <c r="D173" s="99" t="str">
        <f>IF(OR($A173="",$A173&gt;SUM(Data_Analitik!$AD$2:$AD$351)),"",IFERROR(INDEX(Data_Analitik!$D$2:$D$351,MATCH($A173,Data_Analitik!$AE$2:$AE$351,0)),""))</f>
        <v>Daha Selatan - Daha Barat</v>
      </c>
      <c r="E173" s="100">
        <f>IF(OR($A173="",$A173&gt;SUM(Data_Analitik!$AD$2:$AD$351)),"",IFERROR(INDEX(Data_Analitik!$E$2:$E$351,MATCH($A173,Data_Analitik!$AE$2:$AE$351,0)),""))</f>
        <v>8.5</v>
      </c>
      <c r="F173" s="97">
        <f>IF(OR($A173="",$A173&gt;SUM(Data_Analitik!$AD$2:$AD$351)),"",IFERROR(INDEX(Data_Analitik!$Z$2:$Z$351,MATCH($A173,Data_Analitik!$AE$2:$AE$351,0)),""))</f>
        <v>0.32941175208372231</v>
      </c>
      <c r="G173" s="97">
        <f>IF(OR($A173="",$A173&gt;SUM(Data_Analitik!$AD$2:$AD$351)),"",IFERROR(INDEX(Data_Analitik!$AA$2:$AA$351,MATCH($A173,Data_Analitik!$AE$2:$AE$351,0)),""))</f>
        <v>0.31705881111762102</v>
      </c>
      <c r="H173" s="100">
        <f>IF(OR($A173="",$A173&gt;SUM(Data_Analitik!$AD$2:$AD$351)),"",IFERROR(INDEX(Data_Analitik!$U$2:$U$351,MATCH($A173,Data_Analitik!$AE$2:$AE$351,0)),""))</f>
        <v>2.0999999046325684</v>
      </c>
      <c r="I173" s="33" t="str">
        <f>IF(OR($A173="",$A173&gt;SUM(Data_Analitik!$AD$2:$AD$351)),"",IFERROR(INDEX(Data_Analitik!$AB$2:$AB$351,MATCH($A173,Data_Analitik!$AE$2:$AE$351,0)),""))</f>
        <v>Rusak Berat Dominan</v>
      </c>
    </row>
    <row r="174" spans="1:9" ht="21.95" customHeight="1" x14ac:dyDescent="0.25">
      <c r="A174" s="32">
        <f t="shared" si="2"/>
        <v>161</v>
      </c>
      <c r="B174" s="99" t="str">
        <f>IF(OR($A174="",$A174&gt;SUM(Data_Analitik!$AD$2:$AD$351)),"",IFERROR(INDEX(Data_Analitik!$B$2:$B$351,MATCH($A174,Data_Analitik!$AE$2:$AE$351,0)),""))</f>
        <v>052</v>
      </c>
      <c r="C174" s="101" t="str">
        <f>IF(OR($A174="",$A174&gt;SUM(Data_Analitik!$AD$2:$AD$351)),"",IFERROR(INDEX(Data_Analitik!$C$2:$C$351,MATCH($A174,Data_Analitik!$AE$2:$AE$351,0)),""))</f>
        <v>Gambah Dalam - Rantauan</v>
      </c>
      <c r="D174" s="99" t="str">
        <f>IF(OR($A174="",$A174&gt;SUM(Data_Analitik!$AD$2:$AD$351)),"",IFERROR(INDEX(Data_Analitik!$D$2:$D$351,MATCH($A174,Data_Analitik!$AE$2:$AE$351,0)),""))</f>
        <v>Kandangan</v>
      </c>
      <c r="E174" s="100">
        <f>IF(OR($A174="",$A174&gt;SUM(Data_Analitik!$AD$2:$AD$351)),"",IFERROR(INDEX(Data_Analitik!$E$2:$E$351,MATCH($A174,Data_Analitik!$AE$2:$AE$351,0)),""))</f>
        <v>1.52</v>
      </c>
      <c r="F174" s="97">
        <f>IF(OR($A174="",$A174&gt;SUM(Data_Analitik!$AD$2:$AD$351)),"",IFERROR(INDEX(Data_Analitik!$Z$2:$Z$351,MATCH($A174,Data_Analitik!$AE$2:$AE$351,0)),""))</f>
        <v>0.32894736842105265</v>
      </c>
      <c r="G174" s="97">
        <f>IF(OR($A174="",$A174&gt;SUM(Data_Analitik!$AD$2:$AD$351)),"",IFERROR(INDEX(Data_Analitik!$AA$2:$AA$351,MATCH($A174,Data_Analitik!$AE$2:$AE$351,0)),""))</f>
        <v>0.36513157581028188</v>
      </c>
      <c r="H174" s="100">
        <f>IF(OR($A174="",$A174&gt;SUM(Data_Analitik!$AD$2:$AD$351)),"",IFERROR(INDEX(Data_Analitik!$U$2:$U$351,MATCH($A174,Data_Analitik!$AE$2:$AE$351,0)),""))</f>
        <v>0</v>
      </c>
      <c r="I174" s="33" t="str">
        <f>IF(OR($A174="",$A174&gt;SUM(Data_Analitik!$AD$2:$AD$351)),"",IFERROR(INDEX(Data_Analitik!$AB$2:$AB$351,MATCH($A174,Data_Analitik!$AE$2:$AE$351,0)),""))</f>
        <v>Tidak Mantap Sedang</v>
      </c>
    </row>
    <row r="175" spans="1:9" ht="21.95" customHeight="1" x14ac:dyDescent="0.25">
      <c r="A175" s="32">
        <f t="shared" si="2"/>
        <v>162</v>
      </c>
      <c r="B175" s="99" t="str">
        <f>IF(OR($A175="",$A175&gt;SUM(Data_Analitik!$AD$2:$AD$351)),"",IFERROR(INDEX(Data_Analitik!$B$2:$B$351,MATCH($A175,Data_Analitik!$AE$2:$AE$351,0)),""))</f>
        <v>273</v>
      </c>
      <c r="C175" s="101" t="str">
        <f>IF(OR($A175="",$A175&gt;SUM(Data_Analitik!$AD$2:$AD$351)),"",IFERROR(INDEX(Data_Analitik!$C$2:$C$351,MATCH($A175,Data_Analitik!$AE$2:$AE$351,0)),""))</f>
        <v>Hulu Banyu - Datar Mangkung - Tumingki</v>
      </c>
      <c r="D175" s="99" t="str">
        <f>IF(OR($A175="",$A175&gt;SUM(Data_Analitik!$AD$2:$AD$351)),"",IFERROR(INDEX(Data_Analitik!$D$2:$D$351,MATCH($A175,Data_Analitik!$AE$2:$AE$351,0)),""))</f>
        <v>Loksado</v>
      </c>
      <c r="E175" s="100">
        <f>IF(OR($A175="",$A175&gt;SUM(Data_Analitik!$AD$2:$AD$351)),"",IFERROR(INDEX(Data_Analitik!$E$2:$E$351,MATCH($A175,Data_Analitik!$AE$2:$AE$351,0)),""))</f>
        <v>7</v>
      </c>
      <c r="F175" s="97">
        <f>IF(OR($A175="",$A175&gt;SUM(Data_Analitik!$AD$2:$AD$351)),"",IFERROR(INDEX(Data_Analitik!$Z$2:$Z$351,MATCH($A175,Data_Analitik!$AE$2:$AE$351,0)),""))</f>
        <v>0.32857142601694378</v>
      </c>
      <c r="G175" s="97">
        <f>IF(OR($A175="",$A175&gt;SUM(Data_Analitik!$AD$2:$AD$351)),"",IFERROR(INDEX(Data_Analitik!$AA$2:$AA$351,MATCH($A175,Data_Analitik!$AE$2:$AE$351,0)),""))</f>
        <v>0.38785713485309059</v>
      </c>
      <c r="H175" s="100">
        <f>IF(OR($A175="",$A175&gt;SUM(Data_Analitik!$AD$2:$AD$351)),"",IFERROR(INDEX(Data_Analitik!$U$2:$U$351,MATCH($A175,Data_Analitik!$AE$2:$AE$351,0)),""))</f>
        <v>0.40000000596046448</v>
      </c>
      <c r="I175" s="33" t="str">
        <f>IF(OR($A175="",$A175&gt;SUM(Data_Analitik!$AD$2:$AD$351)),"",IFERROR(INDEX(Data_Analitik!$AB$2:$AB$351,MATCH($A175,Data_Analitik!$AE$2:$AE$351,0)),""))</f>
        <v>Tidak Mantap Sedang</v>
      </c>
    </row>
    <row r="176" spans="1:9" ht="21.95" customHeight="1" x14ac:dyDescent="0.25">
      <c r="A176" s="32">
        <f t="shared" si="2"/>
        <v>163</v>
      </c>
      <c r="B176" s="99" t="str">
        <f>IF(OR($A176="",$A176&gt;SUM(Data_Analitik!$AD$2:$AD$351)),"",IFERROR(INDEX(Data_Analitik!$B$2:$B$351,MATCH($A176,Data_Analitik!$AE$2:$AE$351,0)),""))</f>
        <v>250</v>
      </c>
      <c r="C176" s="101" t="str">
        <f>IF(OR($A176="",$A176&gt;SUM(Data_Analitik!$AD$2:$AD$351)),"",IFERROR(INDEX(Data_Analitik!$C$2:$C$351,MATCH($A176,Data_Analitik!$AE$2:$AE$351,0)),""))</f>
        <v>Binjai (Sirih Hulu) - Ds. Seranggan</v>
      </c>
      <c r="D176" s="99" t="str">
        <f>IF(OR($A176="",$A176&gt;SUM(Data_Analitik!$AD$2:$AD$351)),"",IFERROR(INDEX(Data_Analitik!$D$2:$D$351,MATCH($A176,Data_Analitik!$AE$2:$AE$351,0)),""))</f>
        <v>Kalumpang - Sungai Raya</v>
      </c>
      <c r="E176" s="100">
        <f>IF(OR($A176="",$A176&gt;SUM(Data_Analitik!$AD$2:$AD$351)),"",IFERROR(INDEX(Data_Analitik!$E$2:$E$351,MATCH($A176,Data_Analitik!$AE$2:$AE$351,0)),""))</f>
        <v>4.34</v>
      </c>
      <c r="F176" s="97">
        <f>IF(OR($A176="",$A176&gt;SUM(Data_Analitik!$AD$2:$AD$351)),"",IFERROR(INDEX(Data_Analitik!$Z$2:$Z$351,MATCH($A176,Data_Analitik!$AE$2:$AE$351,0)),""))</f>
        <v>0.32258063966777467</v>
      </c>
      <c r="G176" s="97">
        <f>IF(OR($A176="",$A176&gt;SUM(Data_Analitik!$AD$2:$AD$351)),"",IFERROR(INDEX(Data_Analitik!$AA$2:$AA$351,MATCH($A176,Data_Analitik!$AE$2:$AE$351,0)),""))</f>
        <v>0.27419354371760846</v>
      </c>
      <c r="H176" s="100">
        <f>IF(OR($A176="",$A176&gt;SUM(Data_Analitik!$AD$2:$AD$351)),"",IFERROR(INDEX(Data_Analitik!$U$2:$U$351,MATCH($A176,Data_Analitik!$AE$2:$AE$351,0)),""))</f>
        <v>0</v>
      </c>
      <c r="I176" s="33" t="str">
        <f>IF(OR($A176="",$A176&gt;SUM(Data_Analitik!$AD$2:$AD$351)),"",IFERROR(INDEX(Data_Analitik!$AB$2:$AB$351,MATCH($A176,Data_Analitik!$AE$2:$AE$351,0)),""))</f>
        <v>Tidak Mantap Sedang</v>
      </c>
    </row>
    <row r="177" spans="1:9" ht="21.95" customHeight="1" x14ac:dyDescent="0.25">
      <c r="A177" s="32">
        <f t="shared" si="2"/>
        <v>164</v>
      </c>
      <c r="B177" s="99" t="str">
        <f>IF(OR($A177="",$A177&gt;SUM(Data_Analitik!$AD$2:$AD$351)),"",IFERROR(INDEX(Data_Analitik!$B$2:$B$351,MATCH($A177,Data_Analitik!$AE$2:$AE$351,0)),""))</f>
        <v>096</v>
      </c>
      <c r="C177" s="101" t="str">
        <f>IF(OR($A177="",$A177&gt;SUM(Data_Analitik!$AD$2:$AD$351)),"",IFERROR(INDEX(Data_Analitik!$C$2:$C$351,MATCH($A177,Data_Analitik!$AE$2:$AE$351,0)),""))</f>
        <v>Sp. 4 Baru/Tampang - Sp. Bilui Pamujaan</v>
      </c>
      <c r="D177" s="99" t="str">
        <f>IF(OR($A177="",$A177&gt;SUM(Data_Analitik!$AD$2:$AD$351)),"",IFERROR(INDEX(Data_Analitik!$D$2:$D$351,MATCH($A177,Data_Analitik!$AE$2:$AE$351,0)),""))</f>
        <v>Sungai Raya - Simpur</v>
      </c>
      <c r="E177" s="100">
        <f>IF(OR($A177="",$A177&gt;SUM(Data_Analitik!$AD$2:$AD$351)),"",IFERROR(INDEX(Data_Analitik!$E$2:$E$351,MATCH($A177,Data_Analitik!$AE$2:$AE$351,0)),""))</f>
        <v>3.77</v>
      </c>
      <c r="F177" s="97">
        <f>IF(OR($A177="",$A177&gt;SUM(Data_Analitik!$AD$2:$AD$351)),"",IFERROR(INDEX(Data_Analitik!$Z$2:$Z$351,MATCH($A177,Data_Analitik!$AE$2:$AE$351,0)),""))</f>
        <v>0.31830239398726101</v>
      </c>
      <c r="G177" s="97">
        <f>IF(OR($A177="",$A177&gt;SUM(Data_Analitik!$AD$2:$AD$351)),"",IFERROR(INDEX(Data_Analitik!$AA$2:$AA$351,MATCH($A177,Data_Analitik!$AE$2:$AE$351,0)),""))</f>
        <v>0.37201591488220959</v>
      </c>
      <c r="H177" s="100">
        <f>IF(OR($A177="",$A177&gt;SUM(Data_Analitik!$AD$2:$AD$351)),"",IFERROR(INDEX(Data_Analitik!$U$2:$U$351,MATCH($A177,Data_Analitik!$AE$2:$AE$351,0)),""))</f>
        <v>0.10000000149011612</v>
      </c>
      <c r="I177" s="33" t="str">
        <f>IF(OR($A177="",$A177&gt;SUM(Data_Analitik!$AD$2:$AD$351)),"",IFERROR(INDEX(Data_Analitik!$AB$2:$AB$351,MATCH($A177,Data_Analitik!$AE$2:$AE$351,0)),""))</f>
        <v>Tidak Mantap Sedang</v>
      </c>
    </row>
    <row r="178" spans="1:9" ht="21.95" customHeight="1" x14ac:dyDescent="0.25">
      <c r="A178" s="32">
        <f t="shared" si="2"/>
        <v>165</v>
      </c>
      <c r="B178" s="99" t="str">
        <f>IF(OR($A178="",$A178&gt;SUM(Data_Analitik!$AD$2:$AD$351)),"",IFERROR(INDEX(Data_Analitik!$B$2:$B$351,MATCH($A178,Data_Analitik!$AE$2:$AE$351,0)),""))</f>
        <v>258</v>
      </c>
      <c r="C178" s="101" t="str">
        <f>IF(OR($A178="",$A178&gt;SUM(Data_Analitik!$AD$2:$AD$351)),"",IFERROR(INDEX(Data_Analitik!$C$2:$C$351,MATCH($A178,Data_Analitik!$AE$2:$AE$351,0)),""))</f>
        <v>Tanuhi - Ulang</v>
      </c>
      <c r="D178" s="99" t="str">
        <f>IF(OR($A178="",$A178&gt;SUM(Data_Analitik!$AD$2:$AD$351)),"",IFERROR(INDEX(Data_Analitik!$D$2:$D$351,MATCH($A178,Data_Analitik!$AE$2:$AE$351,0)),""))</f>
        <v>Loksado</v>
      </c>
      <c r="E178" s="100">
        <f>IF(OR($A178="",$A178&gt;SUM(Data_Analitik!$AD$2:$AD$351)),"",IFERROR(INDEX(Data_Analitik!$E$2:$E$351,MATCH($A178,Data_Analitik!$AE$2:$AE$351,0)),""))</f>
        <v>7.65</v>
      </c>
      <c r="F178" s="97">
        <f>IF(OR($A178="",$A178&gt;SUM(Data_Analitik!$AD$2:$AD$351)),"",IFERROR(INDEX(Data_Analitik!$Z$2:$Z$351,MATCH($A178,Data_Analitik!$AE$2:$AE$351,0)),""))</f>
        <v>0.31372549097522412</v>
      </c>
      <c r="G178" s="97">
        <f>IF(OR($A178="",$A178&gt;SUM(Data_Analitik!$AD$2:$AD$351)),"",IFERROR(INDEX(Data_Analitik!$AA$2:$AA$351,MATCH($A178,Data_Analitik!$AE$2:$AE$351,0)),""))</f>
        <v>0.30882352863261897</v>
      </c>
      <c r="H178" s="100">
        <f>IF(OR($A178="",$A178&gt;SUM(Data_Analitik!$AD$2:$AD$351)),"",IFERROR(INDEX(Data_Analitik!$U$2:$U$351,MATCH($A178,Data_Analitik!$AE$2:$AE$351,0)),""))</f>
        <v>0.40000000596046448</v>
      </c>
      <c r="I178" s="33" t="str">
        <f>IF(OR($A178="",$A178&gt;SUM(Data_Analitik!$AD$2:$AD$351)),"",IFERROR(INDEX(Data_Analitik!$AB$2:$AB$351,MATCH($A178,Data_Analitik!$AE$2:$AE$351,0)),""))</f>
        <v>Tidak Mantap Sedang</v>
      </c>
    </row>
    <row r="179" spans="1:9" ht="21.95" customHeight="1" x14ac:dyDescent="0.25">
      <c r="A179" s="32">
        <f t="shared" si="2"/>
        <v>166</v>
      </c>
      <c r="B179" s="99" t="str">
        <f>IF(OR($A179="",$A179&gt;SUM(Data_Analitik!$AD$2:$AD$351)),"",IFERROR(INDEX(Data_Analitik!$B$2:$B$351,MATCH($A179,Data_Analitik!$AE$2:$AE$351,0)),""))</f>
        <v>220</v>
      </c>
      <c r="C179" s="101" t="str">
        <f>IF(OR($A179="",$A179&gt;SUM(Data_Analitik!$AD$2:$AD$351)),"",IFERROR(INDEX(Data_Analitik!$C$2:$C$351,MATCH($A179,Data_Analitik!$AE$2:$AE$351,0)),""))</f>
        <v>Garunggang - Hantamangu</v>
      </c>
      <c r="D179" s="99" t="str">
        <f>IF(OR($A179="",$A179&gt;SUM(Data_Analitik!$AD$2:$AD$351)),"",IFERROR(INDEX(Data_Analitik!$D$2:$D$351,MATCH($A179,Data_Analitik!$AE$2:$AE$351,0)),""))</f>
        <v>Simpur</v>
      </c>
      <c r="E179" s="100">
        <f>IF(OR($A179="",$A179&gt;SUM(Data_Analitik!$AD$2:$AD$351)),"",IFERROR(INDEX(Data_Analitik!$E$2:$E$351,MATCH($A179,Data_Analitik!$AE$2:$AE$351,0)),""))</f>
        <v>1.1599999999999999</v>
      </c>
      <c r="F179" s="97">
        <f>IF(OR($A179="",$A179&gt;SUM(Data_Analitik!$AD$2:$AD$351)),"",IFERROR(INDEX(Data_Analitik!$Z$2:$Z$351,MATCH($A179,Data_Analitik!$AE$2:$AE$351,0)),""))</f>
        <v>0.31034482707237376</v>
      </c>
      <c r="G179" s="97">
        <f>IF(OR($A179="",$A179&gt;SUM(Data_Analitik!$AD$2:$AD$351)),"",IFERROR(INDEX(Data_Analitik!$AA$2:$AA$351,MATCH($A179,Data_Analitik!$AE$2:$AE$351,0)),""))</f>
        <v>0.41379310447594214</v>
      </c>
      <c r="H179" s="100">
        <f>IF(OR($A179="",$A179&gt;SUM(Data_Analitik!$AD$2:$AD$351)),"",IFERROR(INDEX(Data_Analitik!$U$2:$U$351,MATCH($A179,Data_Analitik!$AE$2:$AE$351,0)),""))</f>
        <v>0.15999999642372131</v>
      </c>
      <c r="I179" s="33" t="str">
        <f>IF(OR($A179="",$A179&gt;SUM(Data_Analitik!$AD$2:$AD$351)),"",IFERROR(INDEX(Data_Analitik!$AB$2:$AB$351,MATCH($A179,Data_Analitik!$AE$2:$AE$351,0)),""))</f>
        <v>Tidak Mantap Sedang</v>
      </c>
    </row>
    <row r="180" spans="1:9" ht="21.95" customHeight="1" x14ac:dyDescent="0.25">
      <c r="A180" s="32">
        <f t="shared" si="2"/>
        <v>167</v>
      </c>
      <c r="B180" s="99" t="str">
        <f>IF(OR($A180="",$A180&gt;SUM(Data_Analitik!$AD$2:$AD$351)),"",IFERROR(INDEX(Data_Analitik!$B$2:$B$351,MATCH($A180,Data_Analitik!$AE$2:$AE$351,0)),""))</f>
        <v>152</v>
      </c>
      <c r="C180" s="101" t="str">
        <f>IF(OR($A180="",$A180&gt;SUM(Data_Analitik!$AD$2:$AD$351)),"",IFERROR(INDEX(Data_Analitik!$C$2:$C$351,MATCH($A180,Data_Analitik!$AE$2:$AE$351,0)),""))</f>
        <v>Madang - Ambutun</v>
      </c>
      <c r="D180" s="99" t="str">
        <f>IF(OR($A180="",$A180&gt;SUM(Data_Analitik!$AD$2:$AD$351)),"",IFERROR(INDEX(Data_Analitik!$D$2:$D$351,MATCH($A180,Data_Analitik!$AE$2:$AE$351,0)),""))</f>
        <v>Padang Batung - Telaga Langsat</v>
      </c>
      <c r="E180" s="100">
        <f>IF(OR($A180="",$A180&gt;SUM(Data_Analitik!$AD$2:$AD$351)),"",IFERROR(INDEX(Data_Analitik!$E$2:$E$351,MATCH($A180,Data_Analitik!$AE$2:$AE$351,0)),""))</f>
        <v>2.94</v>
      </c>
      <c r="F180" s="97">
        <f>IF(OR($A180="",$A180&gt;SUM(Data_Analitik!$AD$2:$AD$351)),"",IFERROR(INDEX(Data_Analitik!$Z$2:$Z$351,MATCH($A180,Data_Analitik!$AE$2:$AE$351,0)),""))</f>
        <v>0.30612245354117179</v>
      </c>
      <c r="G180" s="97">
        <f>IF(OR($A180="",$A180&gt;SUM(Data_Analitik!$AD$2:$AD$351)),"",IFERROR(INDEX(Data_Analitik!$AA$2:$AA$351,MATCH($A180,Data_Analitik!$AE$2:$AE$351,0)),""))</f>
        <v>0.37074829901562256</v>
      </c>
      <c r="H180" s="100">
        <f>IF(OR($A180="",$A180&gt;SUM(Data_Analitik!$AD$2:$AD$351)),"",IFERROR(INDEX(Data_Analitik!$U$2:$U$351,MATCH($A180,Data_Analitik!$AE$2:$AE$351,0)),""))</f>
        <v>0.10000000149011612</v>
      </c>
      <c r="I180" s="33" t="str">
        <f>IF(OR($A180="",$A180&gt;SUM(Data_Analitik!$AD$2:$AD$351)),"",IFERROR(INDEX(Data_Analitik!$AB$2:$AB$351,MATCH($A180,Data_Analitik!$AE$2:$AE$351,0)),""))</f>
        <v>Tidak Mantap Sedang</v>
      </c>
    </row>
    <row r="181" spans="1:9" ht="21.95" customHeight="1" x14ac:dyDescent="0.25">
      <c r="A181" s="32">
        <f t="shared" si="2"/>
        <v>168</v>
      </c>
      <c r="B181" s="99" t="str">
        <f>IF(OR($A181="",$A181&gt;SUM(Data_Analitik!$AD$2:$AD$351)),"",IFERROR(INDEX(Data_Analitik!$B$2:$B$351,MATCH($A181,Data_Analitik!$AE$2:$AE$351,0)),""))</f>
        <v>257</v>
      </c>
      <c r="C181" s="101" t="str">
        <f>IF(OR($A181="",$A181&gt;SUM(Data_Analitik!$AD$2:$AD$351)),"",IFERROR(INDEX(Data_Analitik!$C$2:$C$351,MATCH($A181,Data_Analitik!$AE$2:$AE$351,0)),""))</f>
        <v>Jl. Karya Bakti - Ds. Balimau</v>
      </c>
      <c r="D181" s="99" t="str">
        <f>IF(OR($A181="",$A181&gt;SUM(Data_Analitik!$AD$2:$AD$351)),"",IFERROR(INDEX(Data_Analitik!$D$2:$D$351,MATCH($A181,Data_Analitik!$AE$2:$AE$351,0)),""))</f>
        <v>Kalumpang</v>
      </c>
      <c r="E181" s="100">
        <f>IF(OR($A181="",$A181&gt;SUM(Data_Analitik!$AD$2:$AD$351)),"",IFERROR(INDEX(Data_Analitik!$E$2:$E$351,MATCH($A181,Data_Analitik!$AE$2:$AE$351,0)),""))</f>
        <v>0.86</v>
      </c>
      <c r="F181" s="97">
        <f>IF(OR($A181="",$A181&gt;SUM(Data_Analitik!$AD$2:$AD$351)),"",IFERROR(INDEX(Data_Analitik!$Z$2:$Z$351,MATCH($A181,Data_Analitik!$AE$2:$AE$351,0)),""))</f>
        <v>0.30232558330131132</v>
      </c>
      <c r="G181" s="97">
        <f>IF(OR($A181="",$A181&gt;SUM(Data_Analitik!$AD$2:$AD$351)),"",IFERROR(INDEX(Data_Analitik!$AA$2:$AA$351,MATCH($A181,Data_Analitik!$AE$2:$AE$351,0)),""))</f>
        <v>0.33139535117634505</v>
      </c>
      <c r="H181" s="100">
        <f>IF(OR($A181="",$A181&gt;SUM(Data_Analitik!$AD$2:$AD$351)),"",IFERROR(INDEX(Data_Analitik!$U$2:$U$351,MATCH($A181,Data_Analitik!$AE$2:$AE$351,0)),""))</f>
        <v>0.26000000163912773</v>
      </c>
      <c r="I181" s="33" t="str">
        <f>IF(OR($A181="",$A181&gt;SUM(Data_Analitik!$AD$2:$AD$351)),"",IFERROR(INDEX(Data_Analitik!$AB$2:$AB$351,MATCH($A181,Data_Analitik!$AE$2:$AE$351,0)),""))</f>
        <v>Rusak Berat Dominan</v>
      </c>
    </row>
    <row r="182" spans="1:9" ht="21.95" customHeight="1" x14ac:dyDescent="0.25">
      <c r="A182" s="32">
        <f t="shared" si="2"/>
        <v>169</v>
      </c>
      <c r="B182" s="99" t="str">
        <f>IF(OR($A182="",$A182&gt;SUM(Data_Analitik!$AD$2:$AD$351)),"",IFERROR(INDEX(Data_Analitik!$B$2:$B$351,MATCH($A182,Data_Analitik!$AE$2:$AE$351,0)),""))</f>
        <v>167</v>
      </c>
      <c r="C182" s="101" t="str">
        <f>IF(OR($A182="",$A182&gt;SUM(Data_Analitik!$AD$2:$AD$351)),"",IFERROR(INDEX(Data_Analitik!$C$2:$C$351,MATCH($A182,Data_Analitik!$AE$2:$AE$351,0)),""))</f>
        <v>Bakarung - Rantauan</v>
      </c>
      <c r="D182" s="99" t="str">
        <f>IF(OR($A182="",$A182&gt;SUM(Data_Analitik!$AD$2:$AD$351)),"",IFERROR(INDEX(Data_Analitik!$D$2:$D$351,MATCH($A182,Data_Analitik!$AE$2:$AE$351,0)),""))</f>
        <v>Angkinang</v>
      </c>
      <c r="E182" s="100">
        <f>IF(OR($A182="",$A182&gt;SUM(Data_Analitik!$AD$2:$AD$351)),"",IFERROR(INDEX(Data_Analitik!$E$2:$E$351,MATCH($A182,Data_Analitik!$AE$2:$AE$351,0)),""))</f>
        <v>3.03</v>
      </c>
      <c r="F182" s="97">
        <f>IF(OR($A182="",$A182&gt;SUM(Data_Analitik!$AD$2:$AD$351)),"",IFERROR(INDEX(Data_Analitik!$Z$2:$Z$351,MATCH($A182,Data_Analitik!$AE$2:$AE$351,0)),""))</f>
        <v>0.29702969510169708</v>
      </c>
      <c r="G182" s="97">
        <f>IF(OR($A182="",$A182&gt;SUM(Data_Analitik!$AD$2:$AD$351)),"",IFERROR(INDEX(Data_Analitik!$AA$2:$AA$351,MATCH($A182,Data_Analitik!$AE$2:$AE$351,0)),""))</f>
        <v>0.27145214009993146</v>
      </c>
      <c r="H182" s="100">
        <f>IF(OR($A182="",$A182&gt;SUM(Data_Analitik!$AD$2:$AD$351)),"",IFERROR(INDEX(Data_Analitik!$U$2:$U$351,MATCH($A182,Data_Analitik!$AE$2:$AE$351,0)),""))</f>
        <v>0</v>
      </c>
      <c r="I182" s="33" t="str">
        <f>IF(OR($A182="",$A182&gt;SUM(Data_Analitik!$AD$2:$AD$351)),"",IFERROR(INDEX(Data_Analitik!$AB$2:$AB$351,MATCH($A182,Data_Analitik!$AE$2:$AE$351,0)),""))</f>
        <v>Tidak Mantap Sedang</v>
      </c>
    </row>
    <row r="183" spans="1:9" ht="21.95" customHeight="1" x14ac:dyDescent="0.25">
      <c r="A183" s="32">
        <f t="shared" si="2"/>
        <v>170</v>
      </c>
      <c r="B183" s="99" t="str">
        <f>IF(OR($A183="",$A183&gt;SUM(Data_Analitik!$AD$2:$AD$351)),"",IFERROR(INDEX(Data_Analitik!$B$2:$B$351,MATCH($A183,Data_Analitik!$AE$2:$AE$351,0)),""))</f>
        <v>063</v>
      </c>
      <c r="C183" s="101" t="str">
        <f>IF(OR($A183="",$A183&gt;SUM(Data_Analitik!$AD$2:$AD$351)),"",IFERROR(INDEX(Data_Analitik!$C$2:$C$351,MATCH($A183,Data_Analitik!$AE$2:$AE$351,0)),""))</f>
        <v>Jl. Padang Palas</v>
      </c>
      <c r="D183" s="99" t="str">
        <f>IF(OR($A183="",$A183&gt;SUM(Data_Analitik!$AD$2:$AD$351)),"",IFERROR(INDEX(Data_Analitik!$D$2:$D$351,MATCH($A183,Data_Analitik!$AE$2:$AE$351,0)),""))</f>
        <v>Kandangan</v>
      </c>
      <c r="E183" s="100">
        <f>IF(OR($A183="",$A183&gt;SUM(Data_Analitik!$AD$2:$AD$351)),"",IFERROR(INDEX(Data_Analitik!$E$2:$E$351,MATCH($A183,Data_Analitik!$AE$2:$AE$351,0)),""))</f>
        <v>0.68</v>
      </c>
      <c r="F183" s="97">
        <f>IF(OR($A183="",$A183&gt;SUM(Data_Analitik!$AD$2:$AD$351)),"",IFERROR(INDEX(Data_Analitik!$Z$2:$Z$351,MATCH($A183,Data_Analitik!$AE$2:$AE$351,0)),""))</f>
        <v>0.29411765144151797</v>
      </c>
      <c r="G183" s="97">
        <f>IF(OR($A183="",$A183&gt;SUM(Data_Analitik!$AD$2:$AD$351)),"",IFERROR(INDEX(Data_Analitik!$AA$2:$AA$351,MATCH($A183,Data_Analitik!$AE$2:$AE$351,0)),""))</f>
        <v>0.35294117515577983</v>
      </c>
      <c r="H183" s="100">
        <f>IF(OR($A183="",$A183&gt;SUM(Data_Analitik!$AD$2:$AD$351)),"",IFERROR(INDEX(Data_Analitik!$U$2:$U$351,MATCH($A183,Data_Analitik!$AE$2:$AE$351,0)),""))</f>
        <v>0</v>
      </c>
      <c r="I183" s="33" t="str">
        <f>IF(OR($A183="",$A183&gt;SUM(Data_Analitik!$AD$2:$AD$351)),"",IFERROR(INDEX(Data_Analitik!$AB$2:$AB$351,MATCH($A183,Data_Analitik!$AE$2:$AE$351,0)),""))</f>
        <v>Tidak Mantap Sedang</v>
      </c>
    </row>
    <row r="184" spans="1:9" ht="21.95" customHeight="1" x14ac:dyDescent="0.25">
      <c r="A184" s="32">
        <f t="shared" si="2"/>
        <v>171</v>
      </c>
      <c r="B184" s="99" t="str">
        <f>IF(OR($A184="",$A184&gt;SUM(Data_Analitik!$AD$2:$AD$351)),"",IFERROR(INDEX(Data_Analitik!$B$2:$B$351,MATCH($A184,Data_Analitik!$AE$2:$AE$351,0)),""))</f>
        <v>100</v>
      </c>
      <c r="C184" s="101" t="str">
        <f>IF(OR($A184="",$A184&gt;SUM(Data_Analitik!$AD$2:$AD$351)),"",IFERROR(INDEX(Data_Analitik!$C$2:$C$351,MATCH($A184,Data_Analitik!$AE$2:$AE$351,0)),""))</f>
        <v>Simpang Hamalau - Teluk Pinang</v>
      </c>
      <c r="D184" s="99" t="str">
        <f>IF(OR($A184="",$A184&gt;SUM(Data_Analitik!$AD$2:$AD$351)),"",IFERROR(INDEX(Data_Analitik!$D$2:$D$351,MATCH($A184,Data_Analitik!$AE$2:$AE$351,0)),""))</f>
        <v>Sungai Raya</v>
      </c>
      <c r="E184" s="100">
        <f>IF(OR($A184="",$A184&gt;SUM(Data_Analitik!$AD$2:$AD$351)),"",IFERROR(INDEX(Data_Analitik!$E$2:$E$351,MATCH($A184,Data_Analitik!$AE$2:$AE$351,0)),""))</f>
        <v>0.68</v>
      </c>
      <c r="F184" s="97">
        <f>IF(OR($A184="",$A184&gt;SUM(Data_Analitik!$AD$2:$AD$351)),"",IFERROR(INDEX(Data_Analitik!$Z$2:$Z$351,MATCH($A184,Data_Analitik!$AE$2:$AE$351,0)),""))</f>
        <v>0.29411765144151797</v>
      </c>
      <c r="G184" s="97">
        <f>IF(OR($A184="",$A184&gt;SUM(Data_Analitik!$AD$2:$AD$351)),"",IFERROR(INDEX(Data_Analitik!$AA$2:$AA$351,MATCH($A184,Data_Analitik!$AE$2:$AE$351,0)),""))</f>
        <v>0.38235294687397336</v>
      </c>
      <c r="H184" s="100">
        <f>IF(OR($A184="",$A184&gt;SUM(Data_Analitik!$AD$2:$AD$351)),"",IFERROR(INDEX(Data_Analitik!$U$2:$U$351,MATCH($A184,Data_Analitik!$AE$2:$AE$351,0)),""))</f>
        <v>0.10000000149011612</v>
      </c>
      <c r="I184" s="33" t="str">
        <f>IF(OR($A184="",$A184&gt;SUM(Data_Analitik!$AD$2:$AD$351)),"",IFERROR(INDEX(Data_Analitik!$AB$2:$AB$351,MATCH($A184,Data_Analitik!$AE$2:$AE$351,0)),""))</f>
        <v>Tidak Mantap Sedang</v>
      </c>
    </row>
    <row r="185" spans="1:9" ht="21.95" customHeight="1" x14ac:dyDescent="0.25">
      <c r="A185" s="32">
        <f t="shared" si="2"/>
        <v>172</v>
      </c>
      <c r="B185" s="99" t="str">
        <f>IF(OR($A185="",$A185&gt;SUM(Data_Analitik!$AD$2:$AD$351)),"",IFERROR(INDEX(Data_Analitik!$B$2:$B$351,MATCH($A185,Data_Analitik!$AE$2:$AE$351,0)),""))</f>
        <v>054</v>
      </c>
      <c r="C185" s="101" t="str">
        <f>IF(OR($A185="",$A185&gt;SUM(Data_Analitik!$AD$2:$AD$351)),"",IFERROR(INDEX(Data_Analitik!$C$2:$C$351,MATCH($A185,Data_Analitik!$AE$2:$AE$351,0)),""))</f>
        <v>Pegangsaan Timur - Teluk Aman</v>
      </c>
      <c r="D185" s="99" t="str">
        <f>IF(OR($A185="",$A185&gt;SUM(Data_Analitik!$AD$2:$AD$351)),"",IFERROR(INDEX(Data_Analitik!$D$2:$D$351,MATCH($A185,Data_Analitik!$AE$2:$AE$351,0)),""))</f>
        <v>Kandangan</v>
      </c>
      <c r="E185" s="100">
        <f>IF(OR($A185="",$A185&gt;SUM(Data_Analitik!$AD$2:$AD$351)),"",IFERROR(INDEX(Data_Analitik!$E$2:$E$351,MATCH($A185,Data_Analitik!$AE$2:$AE$351,0)),""))</f>
        <v>1.05</v>
      </c>
      <c r="F185" s="97">
        <f>IF(OR($A185="",$A185&gt;SUM(Data_Analitik!$AD$2:$AD$351)),"",IFERROR(INDEX(Data_Analitik!$Z$2:$Z$351,MATCH($A185,Data_Analitik!$AE$2:$AE$351,0)),""))</f>
        <v>0.28571429706755136</v>
      </c>
      <c r="G185" s="97">
        <f>IF(OR($A185="",$A185&gt;SUM(Data_Analitik!$AD$2:$AD$351)),"",IFERROR(INDEX(Data_Analitik!$AA$2:$AA$351,MATCH($A185,Data_Analitik!$AE$2:$AE$351,0)),""))</f>
        <v>0.35000000681195942</v>
      </c>
      <c r="H185" s="100">
        <f>IF(OR($A185="",$A185&gt;SUM(Data_Analitik!$AD$2:$AD$351)),"",IFERROR(INDEX(Data_Analitik!$U$2:$U$351,MATCH($A185,Data_Analitik!$AE$2:$AE$351,0)),""))</f>
        <v>0</v>
      </c>
      <c r="I185" s="33" t="str">
        <f>IF(OR($A185="",$A185&gt;SUM(Data_Analitik!$AD$2:$AD$351)),"",IFERROR(INDEX(Data_Analitik!$AB$2:$AB$351,MATCH($A185,Data_Analitik!$AE$2:$AE$351,0)),""))</f>
        <v>Tidak Mantap Sedang</v>
      </c>
    </row>
    <row r="186" spans="1:9" ht="21.95" customHeight="1" x14ac:dyDescent="0.25">
      <c r="A186" s="32">
        <f t="shared" si="2"/>
        <v>173</v>
      </c>
      <c r="B186" s="99" t="str">
        <f>IF(OR($A186="",$A186&gt;SUM(Data_Analitik!$AD$2:$AD$351)),"",IFERROR(INDEX(Data_Analitik!$B$2:$B$351,MATCH($A186,Data_Analitik!$AE$2:$AE$351,0)),""))</f>
        <v>111</v>
      </c>
      <c r="C186" s="101" t="str">
        <f>IF(OR($A186="",$A186&gt;SUM(Data_Analitik!$AD$2:$AD$351)),"",IFERROR(INDEX(Data_Analitik!$C$2:$C$351,MATCH($A186,Data_Analitik!$AE$2:$AE$351,0)),""))</f>
        <v>Paharuangan - Sei. Raya Selatan</v>
      </c>
      <c r="D186" s="99" t="str">
        <f>IF(OR($A186="",$A186&gt;SUM(Data_Analitik!$AD$2:$AD$351)),"",IFERROR(INDEX(Data_Analitik!$D$2:$D$351,MATCH($A186,Data_Analitik!$AE$2:$AE$351,0)),""))</f>
        <v>Sungai Raya</v>
      </c>
      <c r="E186" s="100">
        <f>IF(OR($A186="",$A186&gt;SUM(Data_Analitik!$AD$2:$AD$351)),"",IFERROR(INDEX(Data_Analitik!$E$2:$E$351,MATCH($A186,Data_Analitik!$AE$2:$AE$351,0)),""))</f>
        <v>1.96</v>
      </c>
      <c r="F186" s="97">
        <f>IF(OR($A186="",$A186&gt;SUM(Data_Analitik!$AD$2:$AD$351)),"",IFERROR(INDEX(Data_Analitik!$Z$2:$Z$351,MATCH($A186,Data_Analitik!$AE$2:$AE$351,0)),""))</f>
        <v>0.28571429073202365</v>
      </c>
      <c r="G186" s="97">
        <f>IF(OR($A186="",$A186&gt;SUM(Data_Analitik!$AD$2:$AD$351)),"",IFERROR(INDEX(Data_Analitik!$AA$2:$AA$351,MATCH($A186,Data_Analitik!$AE$2:$AE$351,0)),""))</f>
        <v>0.29387755585568293</v>
      </c>
      <c r="H186" s="100">
        <f>IF(OR($A186="",$A186&gt;SUM(Data_Analitik!$AD$2:$AD$351)),"",IFERROR(INDEX(Data_Analitik!$U$2:$U$351,MATCH($A186,Data_Analitik!$AE$2:$AE$351,0)),""))</f>
        <v>0.10000000149011612</v>
      </c>
      <c r="I186" s="33" t="str">
        <f>IF(OR($A186="",$A186&gt;SUM(Data_Analitik!$AD$2:$AD$351)),"",IFERROR(INDEX(Data_Analitik!$AB$2:$AB$351,MATCH($A186,Data_Analitik!$AE$2:$AE$351,0)),""))</f>
        <v>Tidak Mantap Sedang</v>
      </c>
    </row>
    <row r="187" spans="1:9" ht="21.95" customHeight="1" x14ac:dyDescent="0.25">
      <c r="A187" s="32">
        <f t="shared" si="2"/>
        <v>174</v>
      </c>
      <c r="B187" s="99" t="str">
        <f>IF(OR($A187="",$A187&gt;SUM(Data_Analitik!$AD$2:$AD$351)),"",IFERROR(INDEX(Data_Analitik!$B$2:$B$351,MATCH($A187,Data_Analitik!$AE$2:$AE$351,0)),""))</f>
        <v>310</v>
      </c>
      <c r="C187" s="101" t="str">
        <f>IF(OR($A187="",$A187&gt;SUM(Data_Analitik!$AD$2:$AD$351)),"",IFERROR(INDEX(Data_Analitik!$C$2:$C$351,MATCH($A187,Data_Analitik!$AE$2:$AE$351,0)),""))</f>
        <v>Pandak Daun - Baruh Jaya - Samuda</v>
      </c>
      <c r="D187" s="99" t="str">
        <f>IF(OR($A187="",$A187&gt;SUM(Data_Analitik!$AD$2:$AD$351)),"",IFERROR(INDEX(Data_Analitik!$D$2:$D$351,MATCH($A187,Data_Analitik!$AE$2:$AE$351,0)),""))</f>
        <v>Daha Utara - Daha Selatan</v>
      </c>
      <c r="E187" s="100">
        <f>IF(OR($A187="",$A187&gt;SUM(Data_Analitik!$AD$2:$AD$351)),"",IFERROR(INDEX(Data_Analitik!$E$2:$E$351,MATCH($A187,Data_Analitik!$AE$2:$AE$351,0)),""))</f>
        <v>7.33</v>
      </c>
      <c r="F187" s="97">
        <f>IF(OR($A187="",$A187&gt;SUM(Data_Analitik!$AD$2:$AD$351)),"",IFERROR(INDEX(Data_Analitik!$Z$2:$Z$351,MATCH($A187,Data_Analitik!$AE$2:$AE$351,0)),""))</f>
        <v>0.27694406158114193</v>
      </c>
      <c r="G187" s="97">
        <f>IF(OR($A187="",$A187&gt;SUM(Data_Analitik!$AD$2:$AD$351)),"",IFERROR(INDEX(Data_Analitik!$AA$2:$AA$351,MATCH($A187,Data_Analitik!$AE$2:$AE$351,0)),""))</f>
        <v>0.3673942645282407</v>
      </c>
      <c r="H187" s="100">
        <f>IF(OR($A187="",$A187&gt;SUM(Data_Analitik!$AD$2:$AD$351)),"",IFERROR(INDEX(Data_Analitik!$U$2:$U$351,MATCH($A187,Data_Analitik!$AE$2:$AE$351,0)),""))</f>
        <v>0.5</v>
      </c>
      <c r="I187" s="33" t="str">
        <f>IF(OR($A187="",$A187&gt;SUM(Data_Analitik!$AD$2:$AD$351)),"",IFERROR(INDEX(Data_Analitik!$AB$2:$AB$351,MATCH($A187,Data_Analitik!$AE$2:$AE$351,0)),""))</f>
        <v>Tidak Mantap Sedang</v>
      </c>
    </row>
    <row r="188" spans="1:9" ht="21.95" customHeight="1" x14ac:dyDescent="0.25">
      <c r="A188" s="32">
        <f t="shared" si="2"/>
        <v>175</v>
      </c>
      <c r="B188" s="99" t="str">
        <f>IF(OR($A188="",$A188&gt;SUM(Data_Analitik!$AD$2:$AD$351)),"",IFERROR(INDEX(Data_Analitik!$B$2:$B$351,MATCH($A188,Data_Analitik!$AE$2:$AE$351,0)),""))</f>
        <v>282</v>
      </c>
      <c r="C188" s="101" t="str">
        <f>IF(OR($A188="",$A188&gt;SUM(Data_Analitik!$AD$2:$AD$351)),"",IFERROR(INDEX(Data_Analitik!$C$2:$C$351,MATCH($A188,Data_Analitik!$AE$2:$AE$351,0)),""))</f>
        <v>Jl. Tataian - (Ds. Ulang) - Loksado</v>
      </c>
      <c r="D188" s="99" t="str">
        <f>IF(OR($A188="",$A188&gt;SUM(Data_Analitik!$AD$2:$AD$351)),"",IFERROR(INDEX(Data_Analitik!$D$2:$D$351,MATCH($A188,Data_Analitik!$AE$2:$AE$351,0)),""))</f>
        <v>Loksado</v>
      </c>
      <c r="E188" s="100">
        <f>IF(OR($A188="",$A188&gt;SUM(Data_Analitik!$AD$2:$AD$351)),"",IFERROR(INDEX(Data_Analitik!$E$2:$E$351,MATCH($A188,Data_Analitik!$AE$2:$AE$351,0)),""))</f>
        <v>0.4</v>
      </c>
      <c r="F188" s="97">
        <f>IF(OR($A188="",$A188&gt;SUM(Data_Analitik!$AD$2:$AD$351)),"",IFERROR(INDEX(Data_Analitik!$Z$2:$Z$351,MATCH($A188,Data_Analitik!$AE$2:$AE$351,0)),""))</f>
        <v>0.2500000037252903</v>
      </c>
      <c r="G188" s="97">
        <f>IF(OR($A188="",$A188&gt;SUM(Data_Analitik!$AD$2:$AD$351)),"",IFERROR(INDEX(Data_Analitik!$AA$2:$AA$351,MATCH($A188,Data_Analitik!$AE$2:$AE$351,0)),""))</f>
        <v>0.4375000111758709</v>
      </c>
      <c r="H188" s="100">
        <f>IF(OR($A188="",$A188&gt;SUM(Data_Analitik!$AD$2:$AD$351)),"",IFERROR(INDEX(Data_Analitik!$U$2:$U$351,MATCH($A188,Data_Analitik!$AE$2:$AE$351,0)),""))</f>
        <v>0.10000000149011612</v>
      </c>
      <c r="I188" s="33" t="str">
        <f>IF(OR($A188="",$A188&gt;SUM(Data_Analitik!$AD$2:$AD$351)),"",IFERROR(INDEX(Data_Analitik!$AB$2:$AB$351,MATCH($A188,Data_Analitik!$AE$2:$AE$351,0)),""))</f>
        <v>Rusak Berat Dominan</v>
      </c>
    </row>
    <row r="189" spans="1:9" ht="21.95" customHeight="1" x14ac:dyDescent="0.25">
      <c r="A189" s="32">
        <f t="shared" si="2"/>
        <v>176</v>
      </c>
      <c r="B189" s="99" t="str">
        <f>IF(OR($A189="",$A189&gt;SUM(Data_Analitik!$AD$2:$AD$351)),"",IFERROR(INDEX(Data_Analitik!$B$2:$B$351,MATCH($A189,Data_Analitik!$AE$2:$AE$351,0)),""))</f>
        <v>136</v>
      </c>
      <c r="C189" s="101" t="str">
        <f>IF(OR($A189="",$A189&gt;SUM(Data_Analitik!$AD$2:$AD$351)),"",IFERROR(INDEX(Data_Analitik!$C$2:$C$351,MATCH($A189,Data_Analitik!$AE$2:$AE$351,0)),""))</f>
        <v>Tanayung - Simp. Ambarai</v>
      </c>
      <c r="D189" s="99" t="str">
        <f>IF(OR($A189="",$A189&gt;SUM(Data_Analitik!$AD$2:$AD$351)),"",IFERROR(INDEX(Data_Analitik!$D$2:$D$351,MATCH($A189,Data_Analitik!$AE$2:$AE$351,0)),""))</f>
        <v>Padang Batung</v>
      </c>
      <c r="E189" s="100">
        <f>IF(OR($A189="",$A189&gt;SUM(Data_Analitik!$AD$2:$AD$351)),"",IFERROR(INDEX(Data_Analitik!$E$2:$E$351,MATCH($A189,Data_Analitik!$AE$2:$AE$351,0)),""))</f>
        <v>1.61</v>
      </c>
      <c r="F189" s="97">
        <f>IF(OR($A189="",$A189&gt;SUM(Data_Analitik!$AD$2:$AD$351)),"",IFERROR(INDEX(Data_Analitik!$Z$2:$Z$351,MATCH($A189,Data_Analitik!$AE$2:$AE$351,0)),""))</f>
        <v>0.24844721329878575</v>
      </c>
      <c r="G189" s="97">
        <f>IF(OR($A189="",$A189&gt;SUM(Data_Analitik!$AD$2:$AD$351)),"",IFERROR(INDEX(Data_Analitik!$AA$2:$AA$351,MATCH($A189,Data_Analitik!$AE$2:$AE$351,0)),""))</f>
        <v>0.36180125352758796</v>
      </c>
      <c r="H189" s="100">
        <f>IF(OR($A189="",$A189&gt;SUM(Data_Analitik!$AD$2:$AD$351)),"",IFERROR(INDEX(Data_Analitik!$U$2:$U$351,MATCH($A189,Data_Analitik!$AE$2:$AE$351,0)),""))</f>
        <v>0.10000000149011612</v>
      </c>
      <c r="I189" s="33" t="str">
        <f>IF(OR($A189="",$A189&gt;SUM(Data_Analitik!$AD$2:$AD$351)),"",IFERROR(INDEX(Data_Analitik!$AB$2:$AB$351,MATCH($A189,Data_Analitik!$AE$2:$AE$351,0)),""))</f>
        <v>Tidak Mantap Sedang</v>
      </c>
    </row>
    <row r="190" spans="1:9" ht="21.95" customHeight="1" x14ac:dyDescent="0.25">
      <c r="A190" s="32">
        <f t="shared" si="2"/>
        <v>177</v>
      </c>
      <c r="B190" s="99" t="str">
        <f>IF(OR($A190="",$A190&gt;SUM(Data_Analitik!$AD$2:$AD$351)),"",IFERROR(INDEX(Data_Analitik!$B$2:$B$351,MATCH($A190,Data_Analitik!$AE$2:$AE$351,0)),""))</f>
        <v>249</v>
      </c>
      <c r="C190" s="101" t="str">
        <f>IF(OR($A190="",$A190&gt;SUM(Data_Analitik!$AD$2:$AD$351)),"",IFERROR(INDEX(Data_Analitik!$C$2:$C$351,MATCH($A190,Data_Analitik!$AE$2:$AE$351,0)),""))</f>
        <v>Bago Tanggul - Katilang - Teratai</v>
      </c>
      <c r="D190" s="99" t="str">
        <f>IF(OR($A190="",$A190&gt;SUM(Data_Analitik!$AD$2:$AD$351)),"",IFERROR(INDEX(Data_Analitik!$D$2:$D$351,MATCH($A190,Data_Analitik!$AE$2:$AE$351,0)),""))</f>
        <v>Kalumpang</v>
      </c>
      <c r="E190" s="100">
        <f>IF(OR($A190="",$A190&gt;SUM(Data_Analitik!$AD$2:$AD$351)),"",IFERROR(INDEX(Data_Analitik!$E$2:$E$351,MATCH($A190,Data_Analitik!$AE$2:$AE$351,0)),""))</f>
        <v>9.7100000000000009</v>
      </c>
      <c r="F190" s="97">
        <f>IF(OR($A190="",$A190&gt;SUM(Data_Analitik!$AD$2:$AD$351)),"",IFERROR(INDEX(Data_Analitik!$Z$2:$Z$351,MATCH($A190,Data_Analitik!$AE$2:$AE$351,0)),""))</f>
        <v>0.24819774313395349</v>
      </c>
      <c r="G190" s="97">
        <f>IF(OR($A190="",$A190&gt;SUM(Data_Analitik!$AD$2:$AD$351)),"",IFERROR(INDEX(Data_Analitik!$AA$2:$AA$351,MATCH($A190,Data_Analitik!$AE$2:$AE$351,0)),""))</f>
        <v>0.26622039988161239</v>
      </c>
      <c r="H190" s="100">
        <f>IF(OR($A190="",$A190&gt;SUM(Data_Analitik!$AD$2:$AD$351)),"",IFERROR(INDEX(Data_Analitik!$U$2:$U$351,MATCH($A190,Data_Analitik!$AE$2:$AE$351,0)),""))</f>
        <v>2.4100000858306885</v>
      </c>
      <c r="I190" s="33" t="str">
        <f>IF(OR($A190="",$A190&gt;SUM(Data_Analitik!$AD$2:$AD$351)),"",IFERROR(INDEX(Data_Analitik!$AB$2:$AB$351,MATCH($A190,Data_Analitik!$AE$2:$AE$351,0)),""))</f>
        <v>Rusak Berat Dominan</v>
      </c>
    </row>
    <row r="191" spans="1:9" ht="21.95" customHeight="1" x14ac:dyDescent="0.25">
      <c r="A191" s="32">
        <f t="shared" si="2"/>
        <v>178</v>
      </c>
      <c r="B191" s="99" t="str">
        <f>IF(OR($A191="",$A191&gt;SUM(Data_Analitik!$AD$2:$AD$351)),"",IFERROR(INDEX(Data_Analitik!$B$2:$B$351,MATCH($A191,Data_Analitik!$AE$2:$AE$351,0)),""))</f>
        <v>196</v>
      </c>
      <c r="C191" s="101" t="str">
        <f>IF(OR($A191="",$A191&gt;SUM(Data_Analitik!$AD$2:$AD$351)),"",IFERROR(INDEX(Data_Analitik!$C$2:$C$351,MATCH($A191,Data_Analitik!$AE$2:$AE$351,0)),""))</f>
        <v>Gumbil - Masimpan</v>
      </c>
      <c r="D191" s="99" t="str">
        <f>IF(OR($A191="",$A191&gt;SUM(Data_Analitik!$AD$2:$AD$351)),"",IFERROR(INDEX(Data_Analitik!$D$2:$D$351,MATCH($A191,Data_Analitik!$AE$2:$AE$351,0)),""))</f>
        <v>Telaga Langsat</v>
      </c>
      <c r="E191" s="100">
        <f>IF(OR($A191="",$A191&gt;SUM(Data_Analitik!$AD$2:$AD$351)),"",IFERROR(INDEX(Data_Analitik!$E$2:$E$351,MATCH($A191,Data_Analitik!$AE$2:$AE$351,0)),""))</f>
        <v>5</v>
      </c>
      <c r="F191" s="97">
        <f>IF(OR($A191="",$A191&gt;SUM(Data_Analitik!$AD$2:$AD$351)),"",IFERROR(INDEX(Data_Analitik!$Z$2:$Z$351,MATCH($A191,Data_Analitik!$AE$2:$AE$351,0)),""))</f>
        <v>0.24000000506639479</v>
      </c>
      <c r="G191" s="97">
        <f>IF(OR($A191="",$A191&gt;SUM(Data_Analitik!$AD$2:$AD$351)),"",IFERROR(INDEX(Data_Analitik!$AA$2:$AA$351,MATCH($A191,Data_Analitik!$AE$2:$AE$351,0)),""))</f>
        <v>0.34200000077486042</v>
      </c>
      <c r="H191" s="100">
        <f>IF(OR($A191="",$A191&gt;SUM(Data_Analitik!$AD$2:$AD$351)),"",IFERROR(INDEX(Data_Analitik!$U$2:$U$351,MATCH($A191,Data_Analitik!$AE$2:$AE$351,0)),""))</f>
        <v>0.10000000149011612</v>
      </c>
      <c r="I191" s="33" t="str">
        <f>IF(OR($A191="",$A191&gt;SUM(Data_Analitik!$AD$2:$AD$351)),"",IFERROR(INDEX(Data_Analitik!$AB$2:$AB$351,MATCH($A191,Data_Analitik!$AE$2:$AE$351,0)),""))</f>
        <v>Tidak Mantap Sedang</v>
      </c>
    </row>
    <row r="192" spans="1:9" ht="21.95" customHeight="1" x14ac:dyDescent="0.25">
      <c r="A192" s="32">
        <f t="shared" si="2"/>
        <v>179</v>
      </c>
      <c r="B192" s="99" t="str">
        <f>IF(OR($A192="",$A192&gt;SUM(Data_Analitik!$AD$2:$AD$351)),"",IFERROR(INDEX(Data_Analitik!$B$2:$B$351,MATCH($A192,Data_Analitik!$AE$2:$AE$351,0)),""))</f>
        <v>197</v>
      </c>
      <c r="C192" s="101" t="str">
        <f>IF(OR($A192="",$A192&gt;SUM(Data_Analitik!$AD$2:$AD$351)),"",IFERROR(INDEX(Data_Analitik!$C$2:$C$351,MATCH($A192,Data_Analitik!$AE$2:$AE$351,0)),""))</f>
        <v>Hamak Timur - Umpaya</v>
      </c>
      <c r="D192" s="99" t="str">
        <f>IF(OR($A192="",$A192&gt;SUM(Data_Analitik!$AD$2:$AD$351)),"",IFERROR(INDEX(Data_Analitik!$D$2:$D$351,MATCH($A192,Data_Analitik!$AE$2:$AE$351,0)),""))</f>
        <v>Telaga Langsat</v>
      </c>
      <c r="E192" s="100">
        <f>IF(OR($A192="",$A192&gt;SUM(Data_Analitik!$AD$2:$AD$351)),"",IFERROR(INDEX(Data_Analitik!$E$2:$E$351,MATCH($A192,Data_Analitik!$AE$2:$AE$351,0)),""))</f>
        <v>4.1900000000000004</v>
      </c>
      <c r="F192" s="97">
        <f>IF(OR($A192="",$A192&gt;SUM(Data_Analitik!$AD$2:$AD$351)),"",IFERROR(INDEX(Data_Analitik!$Z$2:$Z$351,MATCH($A192,Data_Analitik!$AE$2:$AE$351,0)),""))</f>
        <v>0.2386634844868735</v>
      </c>
      <c r="G192" s="97">
        <f>IF(OR($A192="",$A192&gt;SUM(Data_Analitik!$AD$2:$AD$351)),"",IFERROR(INDEX(Data_Analitik!$AA$2:$AA$351,MATCH($A192,Data_Analitik!$AE$2:$AE$351,0)),""))</f>
        <v>0.29176611035422095</v>
      </c>
      <c r="H192" s="100">
        <f>IF(OR($A192="",$A192&gt;SUM(Data_Analitik!$AD$2:$AD$351)),"",IFERROR(INDEX(Data_Analitik!$U$2:$U$351,MATCH($A192,Data_Analitik!$AE$2:$AE$351,0)),""))</f>
        <v>0</v>
      </c>
      <c r="I192" s="33" t="str">
        <f>IF(OR($A192="",$A192&gt;SUM(Data_Analitik!$AD$2:$AD$351)),"",IFERROR(INDEX(Data_Analitik!$AB$2:$AB$351,MATCH($A192,Data_Analitik!$AE$2:$AE$351,0)),""))</f>
        <v>Tidak Mantap Sedang</v>
      </c>
    </row>
    <row r="193" spans="1:9" ht="21.95" customHeight="1" x14ac:dyDescent="0.25">
      <c r="A193" s="32">
        <f t="shared" si="2"/>
        <v>180</v>
      </c>
      <c r="B193" s="99" t="str">
        <f>IF(OR($A193="",$A193&gt;SUM(Data_Analitik!$AD$2:$AD$351)),"",IFERROR(INDEX(Data_Analitik!$B$2:$B$351,MATCH($A193,Data_Analitik!$AE$2:$AE$351,0)),""))</f>
        <v>105</v>
      </c>
      <c r="C193" s="101" t="str">
        <f>IF(OR($A193="",$A193&gt;SUM(Data_Analitik!$AD$2:$AD$351)),"",IFERROR(INDEX(Data_Analitik!$C$2:$C$351,MATCH($A193,Data_Analitik!$AE$2:$AE$351,0)),""))</f>
        <v>Sarang Halang Padang - Sp. Batang Kulur</v>
      </c>
      <c r="D193" s="99" t="str">
        <f>IF(OR($A193="",$A193&gt;SUM(Data_Analitik!$AD$2:$AD$351)),"",IFERROR(INDEX(Data_Analitik!$D$2:$D$351,MATCH($A193,Data_Analitik!$AE$2:$AE$351,0)),""))</f>
        <v>Sungai Raya</v>
      </c>
      <c r="E193" s="100">
        <f>IF(OR($A193="",$A193&gt;SUM(Data_Analitik!$AD$2:$AD$351)),"",IFERROR(INDEX(Data_Analitik!$E$2:$E$351,MATCH($A193,Data_Analitik!$AE$2:$AE$351,0)),""))</f>
        <v>2.11</v>
      </c>
      <c r="F193" s="97">
        <f>IF(OR($A193="",$A193&gt;SUM(Data_Analitik!$AD$2:$AD$351)),"",IFERROR(INDEX(Data_Analitik!$Z$2:$Z$351,MATCH($A193,Data_Analitik!$AE$2:$AE$351,0)),""))</f>
        <v>0.23696683170671148</v>
      </c>
      <c r="G193" s="97">
        <f>IF(OR($A193="",$A193&gt;SUM(Data_Analitik!$AD$2:$AD$351)),"",IFERROR(INDEX(Data_Analitik!$AA$2:$AA$351,MATCH($A193,Data_Analitik!$AE$2:$AE$351,0)),""))</f>
        <v>0.33056872857125452</v>
      </c>
      <c r="H193" s="100">
        <f>IF(OR($A193="",$A193&gt;SUM(Data_Analitik!$AD$2:$AD$351)),"",IFERROR(INDEX(Data_Analitik!$U$2:$U$351,MATCH($A193,Data_Analitik!$AE$2:$AE$351,0)),""))</f>
        <v>0.30000001192092896</v>
      </c>
      <c r="I193" s="33" t="str">
        <f>IF(OR($A193="",$A193&gt;SUM(Data_Analitik!$AD$2:$AD$351)),"",IFERROR(INDEX(Data_Analitik!$AB$2:$AB$351,MATCH($A193,Data_Analitik!$AE$2:$AE$351,0)),""))</f>
        <v>Tidak Mantap Sedang</v>
      </c>
    </row>
    <row r="194" spans="1:9" ht="21.95" customHeight="1" x14ac:dyDescent="0.25">
      <c r="A194" s="32">
        <f t="shared" si="2"/>
        <v>181</v>
      </c>
      <c r="B194" s="99" t="str">
        <f>IF(OR($A194="",$A194&gt;SUM(Data_Analitik!$AD$2:$AD$351)),"",IFERROR(INDEX(Data_Analitik!$B$2:$B$351,MATCH($A194,Data_Analitik!$AE$2:$AE$351,0)),""))</f>
        <v>053</v>
      </c>
      <c r="C194" s="101" t="str">
        <f>IF(OR($A194="",$A194&gt;SUM(Data_Analitik!$AD$2:$AD$351)),"",IFERROR(INDEX(Data_Analitik!$C$2:$C$351,MATCH($A194,Data_Analitik!$AE$2:$AE$351,0)),""))</f>
        <v>Gambah Luar - Gambah Dalam</v>
      </c>
      <c r="D194" s="99" t="str">
        <f>IF(OR($A194="",$A194&gt;SUM(Data_Analitik!$AD$2:$AD$351)),"",IFERROR(INDEX(Data_Analitik!$D$2:$D$351,MATCH($A194,Data_Analitik!$AE$2:$AE$351,0)),""))</f>
        <v>Kandangan</v>
      </c>
      <c r="E194" s="100">
        <f>IF(OR($A194="",$A194&gt;SUM(Data_Analitik!$AD$2:$AD$351)),"",IFERROR(INDEX(Data_Analitik!$E$2:$E$351,MATCH($A194,Data_Analitik!$AE$2:$AE$351,0)),""))</f>
        <v>1.29</v>
      </c>
      <c r="F194" s="97">
        <f>IF(OR($A194="",$A194&gt;SUM(Data_Analitik!$AD$2:$AD$351)),"",IFERROR(INDEX(Data_Analitik!$Z$2:$Z$351,MATCH($A194,Data_Analitik!$AE$2:$AE$351,0)),""))</f>
        <v>0.23255814877591391</v>
      </c>
      <c r="G194" s="97">
        <f>IF(OR($A194="",$A194&gt;SUM(Data_Analitik!$AD$2:$AD$351)),"",IFERROR(INDEX(Data_Analitik!$AA$2:$AA$351,MATCH($A194,Data_Analitik!$AE$2:$AE$351,0)),""))</f>
        <v>0.33139535623003347</v>
      </c>
      <c r="H194" s="100">
        <f>IF(OR($A194="",$A194&gt;SUM(Data_Analitik!$AD$2:$AD$351)),"",IFERROR(INDEX(Data_Analitik!$U$2:$U$351,MATCH($A194,Data_Analitik!$AE$2:$AE$351,0)),""))</f>
        <v>0</v>
      </c>
      <c r="I194" s="33" t="str">
        <f>IF(OR($A194="",$A194&gt;SUM(Data_Analitik!$AD$2:$AD$351)),"",IFERROR(INDEX(Data_Analitik!$AB$2:$AB$351,MATCH($A194,Data_Analitik!$AE$2:$AE$351,0)),""))</f>
        <v>Tidak Mantap Sedang</v>
      </c>
    </row>
    <row r="195" spans="1:9" ht="21.95" customHeight="1" x14ac:dyDescent="0.25">
      <c r="A195" s="32">
        <f t="shared" si="2"/>
        <v>182</v>
      </c>
      <c r="B195" s="99" t="str">
        <f>IF(OR($A195="",$A195&gt;SUM(Data_Analitik!$AD$2:$AD$351)),"",IFERROR(INDEX(Data_Analitik!$B$2:$B$351,MATCH($A195,Data_Analitik!$AE$2:$AE$351,0)),""))</f>
        <v>091</v>
      </c>
      <c r="C195" s="101" t="str">
        <f>IF(OR($A195="",$A195&gt;SUM(Data_Analitik!$AD$2:$AD$351)),"",IFERROR(INDEX(Data_Analitik!$C$2:$C$351,MATCH($A195,Data_Analitik!$AE$2:$AE$351,0)),""))</f>
        <v>Batang Kulur Kanan - Sarangan</v>
      </c>
      <c r="D195" s="99" t="str">
        <f>IF(OR($A195="",$A195&gt;SUM(Data_Analitik!$AD$2:$AD$351)),"",IFERROR(INDEX(Data_Analitik!$D$2:$D$351,MATCH($A195,Data_Analitik!$AE$2:$AE$351,0)),""))</f>
        <v>Sungai Raya</v>
      </c>
      <c r="E195" s="100">
        <f>IF(OR($A195="",$A195&gt;SUM(Data_Analitik!$AD$2:$AD$351)),"",IFERROR(INDEX(Data_Analitik!$E$2:$E$351,MATCH($A195,Data_Analitik!$AE$2:$AE$351,0)),""))</f>
        <v>2.1800000000000002</v>
      </c>
      <c r="F195" s="97">
        <f>IF(OR($A195="",$A195&gt;SUM(Data_Analitik!$AD$2:$AD$351)),"",IFERROR(INDEX(Data_Analitik!$Z$2:$Z$351,MATCH($A195,Data_Analitik!$AE$2:$AE$351,0)),""))</f>
        <v>0.2293577981651376</v>
      </c>
      <c r="G195" s="97">
        <f>IF(OR($A195="",$A195&gt;SUM(Data_Analitik!$AD$2:$AD$351)),"",IFERROR(INDEX(Data_Analitik!$AA$2:$AA$351,MATCH($A195,Data_Analitik!$AE$2:$AE$351,0)),""))</f>
        <v>0.33027522334265047</v>
      </c>
      <c r="H195" s="100">
        <f>IF(OR($A195="",$A195&gt;SUM(Data_Analitik!$AD$2:$AD$351)),"",IFERROR(INDEX(Data_Analitik!$U$2:$U$351,MATCH($A195,Data_Analitik!$AE$2:$AE$351,0)),""))</f>
        <v>0</v>
      </c>
      <c r="I195" s="33" t="str">
        <f>IF(OR($A195="",$A195&gt;SUM(Data_Analitik!$AD$2:$AD$351)),"",IFERROR(INDEX(Data_Analitik!$AB$2:$AB$351,MATCH($A195,Data_Analitik!$AE$2:$AE$351,0)),""))</f>
        <v>Tidak Mantap Sedang</v>
      </c>
    </row>
    <row r="196" spans="1:9" ht="21.95" customHeight="1" x14ac:dyDescent="0.25">
      <c r="A196" s="32">
        <f t="shared" si="2"/>
        <v>183</v>
      </c>
      <c r="B196" s="99" t="str">
        <f>IF(OR($A196="",$A196&gt;SUM(Data_Analitik!$AD$2:$AD$351)),"",IFERROR(INDEX(Data_Analitik!$B$2:$B$351,MATCH($A196,Data_Analitik!$AE$2:$AE$351,0)),""))</f>
        <v>188</v>
      </c>
      <c r="C196" s="101" t="str">
        <f>IF(OR($A196="",$A196&gt;SUM(Data_Analitik!$AD$2:$AD$351)),"",IFERROR(INDEX(Data_Analitik!$C$2:$C$351,MATCH($A196,Data_Analitik!$AE$2:$AE$351,0)),""))</f>
        <v>Jl. Pandan Sari - Ds. Angkinang</v>
      </c>
      <c r="D196" s="99" t="str">
        <f>IF(OR($A196="",$A196&gt;SUM(Data_Analitik!$AD$2:$AD$351)),"",IFERROR(INDEX(Data_Analitik!$D$2:$D$351,MATCH($A196,Data_Analitik!$AE$2:$AE$351,0)),""))</f>
        <v>Angkinang</v>
      </c>
      <c r="E196" s="100">
        <f>IF(OR($A196="",$A196&gt;SUM(Data_Analitik!$AD$2:$AD$351)),"",IFERROR(INDEX(Data_Analitik!$E$2:$E$351,MATCH($A196,Data_Analitik!$AE$2:$AE$351,0)),""))</f>
        <v>0.44</v>
      </c>
      <c r="F196" s="97">
        <f>IF(OR($A196="",$A196&gt;SUM(Data_Analitik!$AD$2:$AD$351)),"",IFERROR(INDEX(Data_Analitik!$Z$2:$Z$351,MATCH($A196,Data_Analitik!$AE$2:$AE$351,0)),""))</f>
        <v>0.22727273065935483</v>
      </c>
      <c r="G196" s="97">
        <f>IF(OR($A196="",$A196&gt;SUM(Data_Analitik!$AD$2:$AD$351)),"",IFERROR(INDEX(Data_Analitik!$AA$2:$AA$351,MATCH($A196,Data_Analitik!$AE$2:$AE$351,0)),""))</f>
        <v>0.25000000287863344</v>
      </c>
      <c r="H196" s="100">
        <f>IF(OR($A196="",$A196&gt;SUM(Data_Analitik!$AD$2:$AD$351)),"",IFERROR(INDEX(Data_Analitik!$U$2:$U$351,MATCH($A196,Data_Analitik!$AE$2:$AE$351,0)),""))</f>
        <v>0.10000000149011612</v>
      </c>
      <c r="I196" s="33" t="str">
        <f>IF(OR($A196="",$A196&gt;SUM(Data_Analitik!$AD$2:$AD$351)),"",IFERROR(INDEX(Data_Analitik!$AB$2:$AB$351,MATCH($A196,Data_Analitik!$AE$2:$AE$351,0)),""))</f>
        <v>Rusak Berat Dominan</v>
      </c>
    </row>
    <row r="197" spans="1:9" ht="21.95" customHeight="1" x14ac:dyDescent="0.25">
      <c r="A197" s="32">
        <f t="shared" si="2"/>
        <v>184</v>
      </c>
      <c r="B197" s="99" t="str">
        <f>IF(OR($A197="",$A197&gt;SUM(Data_Analitik!$AD$2:$AD$351)),"",IFERROR(INDEX(Data_Analitik!$B$2:$B$351,MATCH($A197,Data_Analitik!$AE$2:$AE$351,0)),""))</f>
        <v>163</v>
      </c>
      <c r="C197" s="101" t="str">
        <f>IF(OR($A197="",$A197&gt;SUM(Data_Analitik!$AD$2:$AD$351)),"",IFERROR(INDEX(Data_Analitik!$C$2:$C$351,MATCH($A197,Data_Analitik!$AE$2:$AE$351,0)),""))</f>
        <v>Jl. Menuju SMPN Malilingin</v>
      </c>
      <c r="D197" s="99" t="str">
        <f>IF(OR($A197="",$A197&gt;SUM(Data_Analitik!$AD$2:$AD$351)),"",IFERROR(INDEX(Data_Analitik!$D$2:$D$351,MATCH($A197,Data_Analitik!$AE$2:$AE$351,0)),""))</f>
        <v>Padang Batung</v>
      </c>
      <c r="E197" s="100">
        <f>IF(OR($A197="",$A197&gt;SUM(Data_Analitik!$AD$2:$AD$351)),"",IFERROR(INDEX(Data_Analitik!$E$2:$E$351,MATCH($A197,Data_Analitik!$AE$2:$AE$351,0)),""))</f>
        <v>0.45</v>
      </c>
      <c r="F197" s="97">
        <f>IF(OR($A197="",$A197&gt;SUM(Data_Analitik!$AD$2:$AD$351)),"",IFERROR(INDEX(Data_Analitik!$Z$2:$Z$351,MATCH($A197,Data_Analitik!$AE$2:$AE$351,0)),""))</f>
        <v>0.22222222553359136</v>
      </c>
      <c r="G197" s="97">
        <f>IF(OR($A197="",$A197&gt;SUM(Data_Analitik!$AD$2:$AD$351)),"",IFERROR(INDEX(Data_Analitik!$AA$2:$AA$351,MATCH($A197,Data_Analitik!$AE$2:$AE$351,0)),""))</f>
        <v>0.32777777645323014</v>
      </c>
      <c r="H197" s="100">
        <f>IF(OR($A197="",$A197&gt;SUM(Data_Analitik!$AD$2:$AD$351)),"",IFERROR(INDEX(Data_Analitik!$U$2:$U$351,MATCH($A197,Data_Analitik!$AE$2:$AE$351,0)),""))</f>
        <v>0</v>
      </c>
      <c r="I197" s="33" t="str">
        <f>IF(OR($A197="",$A197&gt;SUM(Data_Analitik!$AD$2:$AD$351)),"",IFERROR(INDEX(Data_Analitik!$AB$2:$AB$351,MATCH($A197,Data_Analitik!$AE$2:$AE$351,0)),""))</f>
        <v>Tidak Mantap Sedang</v>
      </c>
    </row>
    <row r="198" spans="1:9" ht="21.95" customHeight="1" x14ac:dyDescent="0.25">
      <c r="A198" s="32">
        <f t="shared" si="2"/>
        <v>185</v>
      </c>
      <c r="B198" s="99" t="str">
        <f>IF(OR($A198="",$A198&gt;SUM(Data_Analitik!$AD$2:$AD$351)),"",IFERROR(INDEX(Data_Analitik!$B$2:$B$351,MATCH($A198,Data_Analitik!$AE$2:$AE$351,0)),""))</f>
        <v>277</v>
      </c>
      <c r="C198" s="101" t="str">
        <f>IF(OR($A198="",$A198&gt;SUM(Data_Analitik!$AD$2:$AD$351)),"",IFERROR(INDEX(Data_Analitik!$C$2:$C$351,MATCH($A198,Data_Analitik!$AE$2:$AE$351,0)),""))</f>
        <v>Jl. Haratai 2 (Balai Ujung Atas) SDN Haratai2</v>
      </c>
      <c r="D198" s="99" t="str">
        <f>IF(OR($A198="",$A198&gt;SUM(Data_Analitik!$AD$2:$AD$351)),"",IFERROR(INDEX(Data_Analitik!$D$2:$D$351,MATCH($A198,Data_Analitik!$AE$2:$AE$351,0)),""))</f>
        <v>Loksado</v>
      </c>
      <c r="E198" s="100">
        <f>IF(OR($A198="",$A198&gt;SUM(Data_Analitik!$AD$2:$AD$351)),"",IFERROR(INDEX(Data_Analitik!$E$2:$E$351,MATCH($A198,Data_Analitik!$AE$2:$AE$351,0)),""))</f>
        <v>2.7</v>
      </c>
      <c r="F198" s="97">
        <f>IF(OR($A198="",$A198&gt;SUM(Data_Analitik!$AD$2:$AD$351)),"",IFERROR(INDEX(Data_Analitik!$Z$2:$Z$351,MATCH($A198,Data_Analitik!$AE$2:$AE$351,0)),""))</f>
        <v>0.22222222553359136</v>
      </c>
      <c r="G198" s="97">
        <f>IF(OR($A198="",$A198&gt;SUM(Data_Analitik!$AD$2:$AD$351)),"",IFERROR(INDEX(Data_Analitik!$AA$2:$AA$351,MATCH($A198,Data_Analitik!$AE$2:$AE$351,0)),""))</f>
        <v>0.3870370310765725</v>
      </c>
      <c r="H198" s="100">
        <f>IF(OR($A198="",$A198&gt;SUM(Data_Analitik!$AD$2:$AD$351)),"",IFERROR(INDEX(Data_Analitik!$U$2:$U$351,MATCH($A198,Data_Analitik!$AE$2:$AE$351,0)),""))</f>
        <v>0.40000000596046448</v>
      </c>
      <c r="I198" s="33" t="str">
        <f>IF(OR($A198="",$A198&gt;SUM(Data_Analitik!$AD$2:$AD$351)),"",IFERROR(INDEX(Data_Analitik!$AB$2:$AB$351,MATCH($A198,Data_Analitik!$AE$2:$AE$351,0)),""))</f>
        <v>Tidak Mantap Sedang</v>
      </c>
    </row>
    <row r="199" spans="1:9" ht="21.95" customHeight="1" x14ac:dyDescent="0.25">
      <c r="A199" s="32">
        <f t="shared" si="2"/>
        <v>186</v>
      </c>
      <c r="B199" s="99" t="str">
        <f>IF(OR($A199="",$A199&gt;SUM(Data_Analitik!$AD$2:$AD$351)),"",IFERROR(INDEX(Data_Analitik!$B$2:$B$351,MATCH($A199,Data_Analitik!$AE$2:$AE$351,0)),""))</f>
        <v>141</v>
      </c>
      <c r="C199" s="101" t="str">
        <f>IF(OR($A199="",$A199&gt;SUM(Data_Analitik!$AD$2:$AD$351)),"",IFERROR(INDEX(Data_Analitik!$C$2:$C$351,MATCH($A199,Data_Analitik!$AE$2:$AE$351,0)),""))</f>
        <v>Malilingin - Lokbahan - Paniungan</v>
      </c>
      <c r="D199" s="99" t="str">
        <f>IF(OR($A199="",$A199&gt;SUM(Data_Analitik!$AD$2:$AD$351)),"",IFERROR(INDEX(Data_Analitik!$D$2:$D$351,MATCH($A199,Data_Analitik!$AE$2:$AE$351,0)),""))</f>
        <v>Padang Batung</v>
      </c>
      <c r="E199" s="100">
        <f>IF(OR($A199="",$A199&gt;SUM(Data_Analitik!$AD$2:$AD$351)),"",IFERROR(INDEX(Data_Analitik!$E$2:$E$351,MATCH($A199,Data_Analitik!$AE$2:$AE$351,0)),""))</f>
        <v>10.66</v>
      </c>
      <c r="F199" s="97">
        <f>IF(OR($A199="",$A199&gt;SUM(Data_Analitik!$AD$2:$AD$351)),"",IFERROR(INDEX(Data_Analitik!$Z$2:$Z$351,MATCH($A199,Data_Analitik!$AE$2:$AE$351,0)),""))</f>
        <v>0.22138837326534694</v>
      </c>
      <c r="G199" s="97">
        <f>IF(OR($A199="",$A199&gt;SUM(Data_Analitik!$AD$2:$AD$351)),"",IFERROR(INDEX(Data_Analitik!$AA$2:$AA$351,MATCH($A199,Data_Analitik!$AE$2:$AE$351,0)),""))</f>
        <v>0.25844278160000383</v>
      </c>
      <c r="H199" s="100">
        <f>IF(OR($A199="",$A199&gt;SUM(Data_Analitik!$AD$2:$AD$351)),"",IFERROR(INDEX(Data_Analitik!$U$2:$U$351,MATCH($A199,Data_Analitik!$AE$2:$AE$351,0)),""))</f>
        <v>2.1600000560283661</v>
      </c>
      <c r="I199" s="33" t="str">
        <f>IF(OR($A199="",$A199&gt;SUM(Data_Analitik!$AD$2:$AD$351)),"",IFERROR(INDEX(Data_Analitik!$AB$2:$AB$351,MATCH($A199,Data_Analitik!$AE$2:$AE$351,0)),""))</f>
        <v>Rusak Berat Dominan</v>
      </c>
    </row>
    <row r="200" spans="1:9" ht="21.95" customHeight="1" x14ac:dyDescent="0.25">
      <c r="A200" s="32">
        <f t="shared" si="2"/>
        <v>187</v>
      </c>
      <c r="B200" s="99" t="str">
        <f>IF(OR($A200="",$A200&gt;SUM(Data_Analitik!$AD$2:$AD$351)),"",IFERROR(INDEX(Data_Analitik!$B$2:$B$351,MATCH($A200,Data_Analitik!$AE$2:$AE$351,0)),""))</f>
        <v>032</v>
      </c>
      <c r="C200" s="101" t="str">
        <f>IF(OR($A200="",$A200&gt;SUM(Data_Analitik!$AD$2:$AD$351)),"",IFERROR(INDEX(Data_Analitik!$C$2:$C$351,MATCH($A200,Data_Analitik!$AE$2:$AE$351,0)),""))</f>
        <v>Amawang Kanan - Wasah Hulu</v>
      </c>
      <c r="D200" s="99" t="str">
        <f>IF(OR($A200="",$A200&gt;SUM(Data_Analitik!$AD$2:$AD$351)),"",IFERROR(INDEX(Data_Analitik!$D$2:$D$351,MATCH($A200,Data_Analitik!$AE$2:$AE$351,0)),""))</f>
        <v>Kandangan</v>
      </c>
      <c r="E200" s="100">
        <f>IF(OR($A200="",$A200&gt;SUM(Data_Analitik!$AD$2:$AD$351)),"",IFERROR(INDEX(Data_Analitik!$E$2:$E$351,MATCH($A200,Data_Analitik!$AE$2:$AE$351,0)),""))</f>
        <v>3.17</v>
      </c>
      <c r="F200" s="97">
        <f>IF(OR($A200="",$A200&gt;SUM(Data_Analitik!$AD$2:$AD$351)),"",IFERROR(INDEX(Data_Analitik!$Z$2:$Z$351,MATCH($A200,Data_Analitik!$AE$2:$AE$351,0)),""))</f>
        <v>0.22082018551390253</v>
      </c>
      <c r="G200" s="97">
        <f>IF(OR($A200="",$A200&gt;SUM(Data_Analitik!$AD$2:$AD$351)),"",IFERROR(INDEX(Data_Analitik!$AA$2:$AA$351,MATCH($A200,Data_Analitik!$AE$2:$AE$351,0)),""))</f>
        <v>0.32728706624605675</v>
      </c>
      <c r="H200" s="100">
        <f>IF(OR($A200="",$A200&gt;SUM(Data_Analitik!$AD$2:$AD$351)),"",IFERROR(INDEX(Data_Analitik!$U$2:$U$351,MATCH($A200,Data_Analitik!$AE$2:$AE$351,0)),""))</f>
        <v>0</v>
      </c>
      <c r="I200" s="33" t="str">
        <f>IF(OR($A200="",$A200&gt;SUM(Data_Analitik!$AD$2:$AD$351)),"",IFERROR(INDEX(Data_Analitik!$AB$2:$AB$351,MATCH($A200,Data_Analitik!$AE$2:$AE$351,0)),""))</f>
        <v>Tidak Mantap Sedang</v>
      </c>
    </row>
    <row r="201" spans="1:9" ht="21.95" customHeight="1" x14ac:dyDescent="0.25">
      <c r="A201" s="32">
        <f t="shared" si="2"/>
        <v>188</v>
      </c>
      <c r="B201" s="99" t="str">
        <f>IF(OR($A201="",$A201&gt;SUM(Data_Analitik!$AD$2:$AD$351)),"",IFERROR(INDEX(Data_Analitik!$B$2:$B$351,MATCH($A201,Data_Analitik!$AE$2:$AE$351,0)),""))</f>
        <v>175</v>
      </c>
      <c r="C201" s="101" t="str">
        <f>IF(OR($A201="",$A201&gt;SUM(Data_Analitik!$AD$2:$AD$351)),"",IFERROR(INDEX(Data_Analitik!$C$2:$C$351,MATCH($A201,Data_Analitik!$AE$2:$AE$351,0)),""))</f>
        <v>Angkinang - Telaga Langsat</v>
      </c>
      <c r="D201" s="99" t="str">
        <f>IF(OR($A201="",$A201&gt;SUM(Data_Analitik!$AD$2:$AD$351)),"",IFERROR(INDEX(Data_Analitik!$D$2:$D$351,MATCH($A201,Data_Analitik!$AE$2:$AE$351,0)),""))</f>
        <v>Angkinang - Telaga Langsat</v>
      </c>
      <c r="E201" s="100">
        <f>IF(OR($A201="",$A201&gt;SUM(Data_Analitik!$AD$2:$AD$351)),"",IFERROR(INDEX(Data_Analitik!$E$2:$E$351,MATCH($A201,Data_Analitik!$AE$2:$AE$351,0)),""))</f>
        <v>5.58</v>
      </c>
      <c r="F201" s="97">
        <f>IF(OR($A201="",$A201&gt;SUM(Data_Analitik!$AD$2:$AD$351)),"",IFERROR(INDEX(Data_Analitik!$Z$2:$Z$351,MATCH($A201,Data_Analitik!$AE$2:$AE$351,0)),""))</f>
        <v>0.215053771986329</v>
      </c>
      <c r="G201" s="97">
        <f>IF(OR($A201="",$A201&gt;SUM(Data_Analitik!$AD$2:$AD$351)),"",IFERROR(INDEX(Data_Analitik!$AA$2:$AA$351,MATCH($A201,Data_Analitik!$AE$2:$AE$351,0)),""))</f>
        <v>0.30734767623272419</v>
      </c>
      <c r="H201" s="100">
        <f>IF(OR($A201="",$A201&gt;SUM(Data_Analitik!$AD$2:$AD$351)),"",IFERROR(INDEX(Data_Analitik!$U$2:$U$351,MATCH($A201,Data_Analitik!$AE$2:$AE$351,0)),""))</f>
        <v>0</v>
      </c>
      <c r="I201" s="33" t="str">
        <f>IF(OR($A201="",$A201&gt;SUM(Data_Analitik!$AD$2:$AD$351)),"",IFERROR(INDEX(Data_Analitik!$AB$2:$AB$351,MATCH($A201,Data_Analitik!$AE$2:$AE$351,0)),""))</f>
        <v>Tidak Mantap Sedang</v>
      </c>
    </row>
    <row r="202" spans="1:9" ht="21.95" customHeight="1" x14ac:dyDescent="0.25">
      <c r="A202" s="32">
        <f t="shared" si="2"/>
        <v>189</v>
      </c>
      <c r="B202" s="99" t="str">
        <f>IF(OR($A202="",$A202&gt;SUM(Data_Analitik!$AD$2:$AD$351)),"",IFERROR(INDEX(Data_Analitik!$B$2:$B$351,MATCH($A202,Data_Analitik!$AE$2:$AE$351,0)),""))</f>
        <v>148</v>
      </c>
      <c r="C202" s="101" t="str">
        <f>IF(OR($A202="",$A202&gt;SUM(Data_Analitik!$AD$2:$AD$351)),"",IFERROR(INDEX(Data_Analitik!$C$2:$C$351,MATCH($A202,Data_Analitik!$AE$2:$AE$351,0)),""))</f>
        <v>Pagat Batu - Muara Hariang</v>
      </c>
      <c r="D202" s="99" t="str">
        <f>IF(OR($A202="",$A202&gt;SUM(Data_Analitik!$AD$2:$AD$351)),"",IFERROR(INDEX(Data_Analitik!$D$2:$D$351,MATCH($A202,Data_Analitik!$AE$2:$AE$351,0)),""))</f>
        <v>Padang Batung</v>
      </c>
      <c r="E202" s="100">
        <f>IF(OR($A202="",$A202&gt;SUM(Data_Analitik!$AD$2:$AD$351)),"",IFERROR(INDEX(Data_Analitik!$E$2:$E$351,MATCH($A202,Data_Analitik!$AE$2:$AE$351,0)),""))</f>
        <v>3.27</v>
      </c>
      <c r="F202" s="97">
        <f>IF(OR($A202="",$A202&gt;SUM(Data_Analitik!$AD$2:$AD$351)),"",IFERROR(INDEX(Data_Analitik!$Z$2:$Z$351,MATCH($A202,Data_Analitik!$AE$2:$AE$351,0)),""))</f>
        <v>0.21406728603424283</v>
      </c>
      <c r="G202" s="97">
        <f>IF(OR($A202="",$A202&gt;SUM(Data_Analitik!$AD$2:$AD$351)),"",IFERROR(INDEX(Data_Analitik!$AA$2:$AA$351,MATCH($A202,Data_Analitik!$AE$2:$AE$351,0)),""))</f>
        <v>0.37385321219397616</v>
      </c>
      <c r="H202" s="100">
        <f>IF(OR($A202="",$A202&gt;SUM(Data_Analitik!$AD$2:$AD$351)),"",IFERROR(INDEX(Data_Analitik!$U$2:$U$351,MATCH($A202,Data_Analitik!$AE$2:$AE$351,0)),""))</f>
        <v>0.40000001341104507</v>
      </c>
      <c r="I202" s="33" t="str">
        <f>IF(OR($A202="",$A202&gt;SUM(Data_Analitik!$AD$2:$AD$351)),"",IFERROR(INDEX(Data_Analitik!$AB$2:$AB$351,MATCH($A202,Data_Analitik!$AE$2:$AE$351,0)),""))</f>
        <v>Tidak Mantap Sedang</v>
      </c>
    </row>
    <row r="203" spans="1:9" ht="21.95" customHeight="1" x14ac:dyDescent="0.25">
      <c r="A203" s="32">
        <f t="shared" si="2"/>
        <v>190</v>
      </c>
      <c r="B203" s="99" t="str">
        <f>IF(OR($A203="",$A203&gt;SUM(Data_Analitik!$AD$2:$AD$351)),"",IFERROR(INDEX(Data_Analitik!$B$2:$B$351,MATCH($A203,Data_Analitik!$AE$2:$AE$351,0)),""))</f>
        <v>092</v>
      </c>
      <c r="C203" s="101" t="str">
        <f>IF(OR($A203="",$A203&gt;SUM(Data_Analitik!$AD$2:$AD$351)),"",IFERROR(INDEX(Data_Analitik!$C$2:$C$351,MATCH($A203,Data_Analitik!$AE$2:$AE$351,0)),""))</f>
        <v>Bumi Berkat - Mungkur Galah</v>
      </c>
      <c r="D203" s="99" t="str">
        <f>IF(OR($A203="",$A203&gt;SUM(Data_Analitik!$AD$2:$AD$351)),"",IFERROR(INDEX(Data_Analitik!$D$2:$D$351,MATCH($A203,Data_Analitik!$AE$2:$AE$351,0)),""))</f>
        <v>Sungai Raya</v>
      </c>
      <c r="E203" s="100">
        <f>IF(OR($A203="",$A203&gt;SUM(Data_Analitik!$AD$2:$AD$351)),"",IFERROR(INDEX(Data_Analitik!$E$2:$E$351,MATCH($A203,Data_Analitik!$AE$2:$AE$351,0)),""))</f>
        <v>1.51</v>
      </c>
      <c r="F203" s="97">
        <f>IF(OR($A203="",$A203&gt;SUM(Data_Analitik!$AD$2:$AD$351)),"",IFERROR(INDEX(Data_Analitik!$Z$2:$Z$351,MATCH($A203,Data_Analitik!$AE$2:$AE$351,0)),""))</f>
        <v>0.20529801482396409</v>
      </c>
      <c r="G203" s="97">
        <f>IF(OR($A203="",$A203&gt;SUM(Data_Analitik!$AD$2:$AD$351)),"",IFERROR(INDEX(Data_Analitik!$AA$2:$AA$351,MATCH($A203,Data_Analitik!$AE$2:$AE$351,0)),""))</f>
        <v>0.3218543134777751</v>
      </c>
      <c r="H203" s="100">
        <f>IF(OR($A203="",$A203&gt;SUM(Data_Analitik!$AD$2:$AD$351)),"",IFERROR(INDEX(Data_Analitik!$U$2:$U$351,MATCH($A203,Data_Analitik!$AE$2:$AE$351,0)),""))</f>
        <v>0</v>
      </c>
      <c r="I203" s="33" t="str">
        <f>IF(OR($A203="",$A203&gt;SUM(Data_Analitik!$AD$2:$AD$351)),"",IFERROR(INDEX(Data_Analitik!$AB$2:$AB$351,MATCH($A203,Data_Analitik!$AE$2:$AE$351,0)),""))</f>
        <v>Tidak Mantap Sedang</v>
      </c>
    </row>
    <row r="204" spans="1:9" ht="21.95" customHeight="1" x14ac:dyDescent="0.25">
      <c r="A204" s="32">
        <f t="shared" si="2"/>
        <v>191</v>
      </c>
      <c r="B204" s="99" t="str">
        <f>IF(OR($A204="",$A204&gt;SUM(Data_Analitik!$AD$2:$AD$351)),"",IFERROR(INDEX(Data_Analitik!$B$2:$B$351,MATCH($A204,Data_Analitik!$AE$2:$AE$351,0)),""))</f>
        <v>071</v>
      </c>
      <c r="C204" s="101" t="str">
        <f>IF(OR($A204="",$A204&gt;SUM(Data_Analitik!$AD$2:$AD$351)),"",IFERROR(INDEX(Data_Analitik!$C$2:$C$351,MATCH($A204,Data_Analitik!$AE$2:$AE$351,0)),""))</f>
        <v>Jl. Tembok Baru (Asam Cangkok)</v>
      </c>
      <c r="D204" s="99" t="str">
        <f>IF(OR($A204="",$A204&gt;SUM(Data_Analitik!$AD$2:$AD$351)),"",IFERROR(INDEX(Data_Analitik!$D$2:$D$351,MATCH($A204,Data_Analitik!$AE$2:$AE$351,0)),""))</f>
        <v>Kandangan</v>
      </c>
      <c r="E204" s="100">
        <f>IF(OR($A204="",$A204&gt;SUM(Data_Analitik!$AD$2:$AD$351)),"",IFERROR(INDEX(Data_Analitik!$E$2:$E$351,MATCH($A204,Data_Analitik!$AE$2:$AE$351,0)),""))</f>
        <v>0.5</v>
      </c>
      <c r="F204" s="97">
        <f>IF(OR($A204="",$A204&gt;SUM(Data_Analitik!$AD$2:$AD$351)),"",IFERROR(INDEX(Data_Analitik!$Z$2:$Z$351,MATCH($A204,Data_Analitik!$AE$2:$AE$351,0)),""))</f>
        <v>0.20000000298023224</v>
      </c>
      <c r="G204" s="97">
        <f>IF(OR($A204="",$A204&gt;SUM(Data_Analitik!$AD$2:$AD$351)),"",IFERROR(INDEX(Data_Analitik!$AA$2:$AA$351,MATCH($A204,Data_Analitik!$AE$2:$AE$351,0)),""))</f>
        <v>0.32000000476837159</v>
      </c>
      <c r="H204" s="100">
        <f>IF(OR($A204="",$A204&gt;SUM(Data_Analitik!$AD$2:$AD$351)),"",IFERROR(INDEX(Data_Analitik!$U$2:$U$351,MATCH($A204,Data_Analitik!$AE$2:$AE$351,0)),""))</f>
        <v>0</v>
      </c>
      <c r="I204" s="33" t="str">
        <f>IF(OR($A204="",$A204&gt;SUM(Data_Analitik!$AD$2:$AD$351)),"",IFERROR(INDEX(Data_Analitik!$AB$2:$AB$351,MATCH($A204,Data_Analitik!$AE$2:$AE$351,0)),""))</f>
        <v>Tidak Mantap Sedang</v>
      </c>
    </row>
    <row r="205" spans="1:9" ht="21.95" customHeight="1" x14ac:dyDescent="0.25">
      <c r="A205" s="32">
        <f t="shared" si="2"/>
        <v>192</v>
      </c>
      <c r="B205" s="99" t="str">
        <f>IF(OR($A205="",$A205&gt;SUM(Data_Analitik!$AD$2:$AD$351)),"",IFERROR(INDEX(Data_Analitik!$B$2:$B$351,MATCH($A205,Data_Analitik!$AE$2:$AE$351,0)),""))</f>
        <v/>
      </c>
      <c r="C205" s="101" t="str">
        <f>IF(OR($A205="",$A205&gt;SUM(Data_Analitik!$AD$2:$AD$351)),"",IFERROR(INDEX(Data_Analitik!$C$2:$C$351,MATCH($A205,Data_Analitik!$AE$2:$AE$351,0)),""))</f>
        <v/>
      </c>
      <c r="D205" s="99" t="str">
        <f>IF(OR($A205="",$A205&gt;SUM(Data_Analitik!$AD$2:$AD$351)),"",IFERROR(INDEX(Data_Analitik!$D$2:$D$351,MATCH($A205,Data_Analitik!$AE$2:$AE$351,0)),""))</f>
        <v/>
      </c>
      <c r="E205" s="100" t="str">
        <f>IF(OR($A205="",$A205&gt;SUM(Data_Analitik!$AD$2:$AD$351)),"",IFERROR(INDEX(Data_Analitik!$E$2:$E$351,MATCH($A205,Data_Analitik!$AE$2:$AE$351,0)),""))</f>
        <v/>
      </c>
      <c r="F205" s="97" t="str">
        <f>IF(OR($A205="",$A205&gt;SUM(Data_Analitik!$AD$2:$AD$351)),"",IFERROR(INDEX(Data_Analitik!$Z$2:$Z$351,MATCH($A205,Data_Analitik!$AE$2:$AE$351,0)),""))</f>
        <v/>
      </c>
      <c r="G205" s="97" t="str">
        <f>IF(OR($A205="",$A205&gt;SUM(Data_Analitik!$AD$2:$AD$351)),"",IFERROR(INDEX(Data_Analitik!$AA$2:$AA$351,MATCH($A205,Data_Analitik!$AE$2:$AE$351,0)),""))</f>
        <v/>
      </c>
      <c r="H205" s="100" t="str">
        <f>IF(OR($A205="",$A205&gt;SUM(Data_Analitik!$AD$2:$AD$351)),"",IFERROR(INDEX(Data_Analitik!$U$2:$U$351,MATCH($A205,Data_Analitik!$AE$2:$AE$351,0)),""))</f>
        <v/>
      </c>
      <c r="I205" s="33" t="str">
        <f>IF(OR($A205="",$A205&gt;SUM(Data_Analitik!$AD$2:$AD$351)),"",IFERROR(INDEX(Data_Analitik!$AB$2:$AB$351,MATCH($A205,Data_Analitik!$AE$2:$AE$351,0)),""))</f>
        <v/>
      </c>
    </row>
    <row r="206" spans="1:9" ht="21.95" customHeight="1" x14ac:dyDescent="0.25">
      <c r="A206" s="32">
        <f t="shared" si="2"/>
        <v>193</v>
      </c>
      <c r="B206" s="99" t="str">
        <f>IF(OR($A206="",$A206&gt;SUM(Data_Analitik!$AD$2:$AD$351)),"",IFERROR(INDEX(Data_Analitik!$B$2:$B$351,MATCH($A206,Data_Analitik!$AE$2:$AE$351,0)),""))</f>
        <v/>
      </c>
      <c r="C206" s="101" t="str">
        <f>IF(OR($A206="",$A206&gt;SUM(Data_Analitik!$AD$2:$AD$351)),"",IFERROR(INDEX(Data_Analitik!$C$2:$C$351,MATCH($A206,Data_Analitik!$AE$2:$AE$351,0)),""))</f>
        <v/>
      </c>
      <c r="D206" s="99" t="str">
        <f>IF(OR($A206="",$A206&gt;SUM(Data_Analitik!$AD$2:$AD$351)),"",IFERROR(INDEX(Data_Analitik!$D$2:$D$351,MATCH($A206,Data_Analitik!$AE$2:$AE$351,0)),""))</f>
        <v/>
      </c>
      <c r="E206" s="100" t="str">
        <f>IF(OR($A206="",$A206&gt;SUM(Data_Analitik!$AD$2:$AD$351)),"",IFERROR(INDEX(Data_Analitik!$E$2:$E$351,MATCH($A206,Data_Analitik!$AE$2:$AE$351,0)),""))</f>
        <v/>
      </c>
      <c r="F206" s="97" t="str">
        <f>IF(OR($A206="",$A206&gt;SUM(Data_Analitik!$AD$2:$AD$351)),"",IFERROR(INDEX(Data_Analitik!$Z$2:$Z$351,MATCH($A206,Data_Analitik!$AE$2:$AE$351,0)),""))</f>
        <v/>
      </c>
      <c r="G206" s="97" t="str">
        <f>IF(OR($A206="",$A206&gt;SUM(Data_Analitik!$AD$2:$AD$351)),"",IFERROR(INDEX(Data_Analitik!$AA$2:$AA$351,MATCH($A206,Data_Analitik!$AE$2:$AE$351,0)),""))</f>
        <v/>
      </c>
      <c r="H206" s="100" t="str">
        <f>IF(OR($A206="",$A206&gt;SUM(Data_Analitik!$AD$2:$AD$351)),"",IFERROR(INDEX(Data_Analitik!$U$2:$U$351,MATCH($A206,Data_Analitik!$AE$2:$AE$351,0)),""))</f>
        <v/>
      </c>
      <c r="I206" s="33" t="str">
        <f>IF(OR($A206="",$A206&gt;SUM(Data_Analitik!$AD$2:$AD$351)),"",IFERROR(INDEX(Data_Analitik!$AB$2:$AB$351,MATCH($A206,Data_Analitik!$AE$2:$AE$351,0)),""))</f>
        <v/>
      </c>
    </row>
    <row r="207" spans="1:9" ht="21.95" customHeight="1" x14ac:dyDescent="0.25">
      <c r="A207" s="32">
        <f t="shared" si="2"/>
        <v>194</v>
      </c>
      <c r="B207" s="99" t="str">
        <f>IF(OR($A207="",$A207&gt;SUM(Data_Analitik!$AD$2:$AD$351)),"",IFERROR(INDEX(Data_Analitik!$B$2:$B$351,MATCH($A207,Data_Analitik!$AE$2:$AE$351,0)),""))</f>
        <v/>
      </c>
      <c r="C207" s="101" t="str">
        <f>IF(OR($A207="",$A207&gt;SUM(Data_Analitik!$AD$2:$AD$351)),"",IFERROR(INDEX(Data_Analitik!$C$2:$C$351,MATCH($A207,Data_Analitik!$AE$2:$AE$351,0)),""))</f>
        <v/>
      </c>
      <c r="D207" s="99" t="str">
        <f>IF(OR($A207="",$A207&gt;SUM(Data_Analitik!$AD$2:$AD$351)),"",IFERROR(INDEX(Data_Analitik!$D$2:$D$351,MATCH($A207,Data_Analitik!$AE$2:$AE$351,0)),""))</f>
        <v/>
      </c>
      <c r="E207" s="100" t="str">
        <f>IF(OR($A207="",$A207&gt;SUM(Data_Analitik!$AD$2:$AD$351)),"",IFERROR(INDEX(Data_Analitik!$E$2:$E$351,MATCH($A207,Data_Analitik!$AE$2:$AE$351,0)),""))</f>
        <v/>
      </c>
      <c r="F207" s="97" t="str">
        <f>IF(OR($A207="",$A207&gt;SUM(Data_Analitik!$AD$2:$AD$351)),"",IFERROR(INDEX(Data_Analitik!$Z$2:$Z$351,MATCH($A207,Data_Analitik!$AE$2:$AE$351,0)),""))</f>
        <v/>
      </c>
      <c r="G207" s="97" t="str">
        <f>IF(OR($A207="",$A207&gt;SUM(Data_Analitik!$AD$2:$AD$351)),"",IFERROR(INDEX(Data_Analitik!$AA$2:$AA$351,MATCH($A207,Data_Analitik!$AE$2:$AE$351,0)),""))</f>
        <v/>
      </c>
      <c r="H207" s="100" t="str">
        <f>IF(OR($A207="",$A207&gt;SUM(Data_Analitik!$AD$2:$AD$351)),"",IFERROR(INDEX(Data_Analitik!$U$2:$U$351,MATCH($A207,Data_Analitik!$AE$2:$AE$351,0)),""))</f>
        <v/>
      </c>
      <c r="I207" s="33" t="str">
        <f>IF(OR($A207="",$A207&gt;SUM(Data_Analitik!$AD$2:$AD$351)),"",IFERROR(INDEX(Data_Analitik!$AB$2:$AB$351,MATCH($A207,Data_Analitik!$AE$2:$AE$351,0)),""))</f>
        <v/>
      </c>
    </row>
    <row r="208" spans="1:9" ht="21.95" customHeight="1" x14ac:dyDescent="0.25">
      <c r="A208" s="32">
        <f t="shared" si="2"/>
        <v>195</v>
      </c>
      <c r="B208" s="99" t="str">
        <f>IF(OR($A208="",$A208&gt;SUM(Data_Analitik!$AD$2:$AD$351)),"",IFERROR(INDEX(Data_Analitik!$B$2:$B$351,MATCH($A208,Data_Analitik!$AE$2:$AE$351,0)),""))</f>
        <v/>
      </c>
      <c r="C208" s="101" t="str">
        <f>IF(OR($A208="",$A208&gt;SUM(Data_Analitik!$AD$2:$AD$351)),"",IFERROR(INDEX(Data_Analitik!$C$2:$C$351,MATCH($A208,Data_Analitik!$AE$2:$AE$351,0)),""))</f>
        <v/>
      </c>
      <c r="D208" s="99" t="str">
        <f>IF(OR($A208="",$A208&gt;SUM(Data_Analitik!$AD$2:$AD$351)),"",IFERROR(INDEX(Data_Analitik!$D$2:$D$351,MATCH($A208,Data_Analitik!$AE$2:$AE$351,0)),""))</f>
        <v/>
      </c>
      <c r="E208" s="100" t="str">
        <f>IF(OR($A208="",$A208&gt;SUM(Data_Analitik!$AD$2:$AD$351)),"",IFERROR(INDEX(Data_Analitik!$E$2:$E$351,MATCH($A208,Data_Analitik!$AE$2:$AE$351,0)),""))</f>
        <v/>
      </c>
      <c r="F208" s="97" t="str">
        <f>IF(OR($A208="",$A208&gt;SUM(Data_Analitik!$AD$2:$AD$351)),"",IFERROR(INDEX(Data_Analitik!$Z$2:$Z$351,MATCH($A208,Data_Analitik!$AE$2:$AE$351,0)),""))</f>
        <v/>
      </c>
      <c r="G208" s="97" t="str">
        <f>IF(OR($A208="",$A208&gt;SUM(Data_Analitik!$AD$2:$AD$351)),"",IFERROR(INDEX(Data_Analitik!$AA$2:$AA$351,MATCH($A208,Data_Analitik!$AE$2:$AE$351,0)),""))</f>
        <v/>
      </c>
      <c r="H208" s="100" t="str">
        <f>IF(OR($A208="",$A208&gt;SUM(Data_Analitik!$AD$2:$AD$351)),"",IFERROR(INDEX(Data_Analitik!$U$2:$U$351,MATCH($A208,Data_Analitik!$AE$2:$AE$351,0)),""))</f>
        <v/>
      </c>
      <c r="I208" s="33" t="str">
        <f>IF(OR($A208="",$A208&gt;SUM(Data_Analitik!$AD$2:$AD$351)),"",IFERROR(INDEX(Data_Analitik!$AB$2:$AB$351,MATCH($A208,Data_Analitik!$AE$2:$AE$351,0)),""))</f>
        <v/>
      </c>
    </row>
    <row r="209" spans="1:9" ht="21.95" customHeight="1" x14ac:dyDescent="0.25">
      <c r="A209" s="32">
        <f t="shared" ref="A209:A272" si="3">IF(ROW()-13&lt;=$B$11,ROW()-13,"")</f>
        <v>196</v>
      </c>
      <c r="B209" s="99" t="str">
        <f>IF(OR($A209="",$A209&gt;SUM(Data_Analitik!$AD$2:$AD$351)),"",IFERROR(INDEX(Data_Analitik!$B$2:$B$351,MATCH($A209,Data_Analitik!$AE$2:$AE$351,0)),""))</f>
        <v/>
      </c>
      <c r="C209" s="101" t="str">
        <f>IF(OR($A209="",$A209&gt;SUM(Data_Analitik!$AD$2:$AD$351)),"",IFERROR(INDEX(Data_Analitik!$C$2:$C$351,MATCH($A209,Data_Analitik!$AE$2:$AE$351,0)),""))</f>
        <v/>
      </c>
      <c r="D209" s="99" t="str">
        <f>IF(OR($A209="",$A209&gt;SUM(Data_Analitik!$AD$2:$AD$351)),"",IFERROR(INDEX(Data_Analitik!$D$2:$D$351,MATCH($A209,Data_Analitik!$AE$2:$AE$351,0)),""))</f>
        <v/>
      </c>
      <c r="E209" s="100" t="str">
        <f>IF(OR($A209="",$A209&gt;SUM(Data_Analitik!$AD$2:$AD$351)),"",IFERROR(INDEX(Data_Analitik!$E$2:$E$351,MATCH($A209,Data_Analitik!$AE$2:$AE$351,0)),""))</f>
        <v/>
      </c>
      <c r="F209" s="97" t="str">
        <f>IF(OR($A209="",$A209&gt;SUM(Data_Analitik!$AD$2:$AD$351)),"",IFERROR(INDEX(Data_Analitik!$Z$2:$Z$351,MATCH($A209,Data_Analitik!$AE$2:$AE$351,0)),""))</f>
        <v/>
      </c>
      <c r="G209" s="97" t="str">
        <f>IF(OR($A209="",$A209&gt;SUM(Data_Analitik!$AD$2:$AD$351)),"",IFERROR(INDEX(Data_Analitik!$AA$2:$AA$351,MATCH($A209,Data_Analitik!$AE$2:$AE$351,0)),""))</f>
        <v/>
      </c>
      <c r="H209" s="100" t="str">
        <f>IF(OR($A209="",$A209&gt;SUM(Data_Analitik!$AD$2:$AD$351)),"",IFERROR(INDEX(Data_Analitik!$U$2:$U$351,MATCH($A209,Data_Analitik!$AE$2:$AE$351,0)),""))</f>
        <v/>
      </c>
      <c r="I209" s="33" t="str">
        <f>IF(OR($A209="",$A209&gt;SUM(Data_Analitik!$AD$2:$AD$351)),"",IFERROR(INDEX(Data_Analitik!$AB$2:$AB$351,MATCH($A209,Data_Analitik!$AE$2:$AE$351,0)),""))</f>
        <v/>
      </c>
    </row>
    <row r="210" spans="1:9" ht="21.95" customHeight="1" x14ac:dyDescent="0.25">
      <c r="A210" s="32">
        <f t="shared" si="3"/>
        <v>197</v>
      </c>
      <c r="B210" s="99" t="str">
        <f>IF(OR($A210="",$A210&gt;SUM(Data_Analitik!$AD$2:$AD$351)),"",IFERROR(INDEX(Data_Analitik!$B$2:$B$351,MATCH($A210,Data_Analitik!$AE$2:$AE$351,0)),""))</f>
        <v/>
      </c>
      <c r="C210" s="101" t="str">
        <f>IF(OR($A210="",$A210&gt;SUM(Data_Analitik!$AD$2:$AD$351)),"",IFERROR(INDEX(Data_Analitik!$C$2:$C$351,MATCH($A210,Data_Analitik!$AE$2:$AE$351,0)),""))</f>
        <v/>
      </c>
      <c r="D210" s="99" t="str">
        <f>IF(OR($A210="",$A210&gt;SUM(Data_Analitik!$AD$2:$AD$351)),"",IFERROR(INDEX(Data_Analitik!$D$2:$D$351,MATCH($A210,Data_Analitik!$AE$2:$AE$351,0)),""))</f>
        <v/>
      </c>
      <c r="E210" s="100" t="str">
        <f>IF(OR($A210="",$A210&gt;SUM(Data_Analitik!$AD$2:$AD$351)),"",IFERROR(INDEX(Data_Analitik!$E$2:$E$351,MATCH($A210,Data_Analitik!$AE$2:$AE$351,0)),""))</f>
        <v/>
      </c>
      <c r="F210" s="97" t="str">
        <f>IF(OR($A210="",$A210&gt;SUM(Data_Analitik!$AD$2:$AD$351)),"",IFERROR(INDEX(Data_Analitik!$Z$2:$Z$351,MATCH($A210,Data_Analitik!$AE$2:$AE$351,0)),""))</f>
        <v/>
      </c>
      <c r="G210" s="97" t="str">
        <f>IF(OR($A210="",$A210&gt;SUM(Data_Analitik!$AD$2:$AD$351)),"",IFERROR(INDEX(Data_Analitik!$AA$2:$AA$351,MATCH($A210,Data_Analitik!$AE$2:$AE$351,0)),""))</f>
        <v/>
      </c>
      <c r="H210" s="100" t="str">
        <f>IF(OR($A210="",$A210&gt;SUM(Data_Analitik!$AD$2:$AD$351)),"",IFERROR(INDEX(Data_Analitik!$U$2:$U$351,MATCH($A210,Data_Analitik!$AE$2:$AE$351,0)),""))</f>
        <v/>
      </c>
      <c r="I210" s="33" t="str">
        <f>IF(OR($A210="",$A210&gt;SUM(Data_Analitik!$AD$2:$AD$351)),"",IFERROR(INDEX(Data_Analitik!$AB$2:$AB$351,MATCH($A210,Data_Analitik!$AE$2:$AE$351,0)),""))</f>
        <v/>
      </c>
    </row>
    <row r="211" spans="1:9" ht="21.95" customHeight="1" x14ac:dyDescent="0.25">
      <c r="A211" s="32">
        <f t="shared" si="3"/>
        <v>198</v>
      </c>
      <c r="B211" s="99" t="str">
        <f>IF(OR($A211="",$A211&gt;SUM(Data_Analitik!$AD$2:$AD$351)),"",IFERROR(INDEX(Data_Analitik!$B$2:$B$351,MATCH($A211,Data_Analitik!$AE$2:$AE$351,0)),""))</f>
        <v/>
      </c>
      <c r="C211" s="101" t="str">
        <f>IF(OR($A211="",$A211&gt;SUM(Data_Analitik!$AD$2:$AD$351)),"",IFERROR(INDEX(Data_Analitik!$C$2:$C$351,MATCH($A211,Data_Analitik!$AE$2:$AE$351,0)),""))</f>
        <v/>
      </c>
      <c r="D211" s="99" t="str">
        <f>IF(OR($A211="",$A211&gt;SUM(Data_Analitik!$AD$2:$AD$351)),"",IFERROR(INDEX(Data_Analitik!$D$2:$D$351,MATCH($A211,Data_Analitik!$AE$2:$AE$351,0)),""))</f>
        <v/>
      </c>
      <c r="E211" s="100" t="str">
        <f>IF(OR($A211="",$A211&gt;SUM(Data_Analitik!$AD$2:$AD$351)),"",IFERROR(INDEX(Data_Analitik!$E$2:$E$351,MATCH($A211,Data_Analitik!$AE$2:$AE$351,0)),""))</f>
        <v/>
      </c>
      <c r="F211" s="97" t="str">
        <f>IF(OR($A211="",$A211&gt;SUM(Data_Analitik!$AD$2:$AD$351)),"",IFERROR(INDEX(Data_Analitik!$Z$2:$Z$351,MATCH($A211,Data_Analitik!$AE$2:$AE$351,0)),""))</f>
        <v/>
      </c>
      <c r="G211" s="97" t="str">
        <f>IF(OR($A211="",$A211&gt;SUM(Data_Analitik!$AD$2:$AD$351)),"",IFERROR(INDEX(Data_Analitik!$AA$2:$AA$351,MATCH($A211,Data_Analitik!$AE$2:$AE$351,0)),""))</f>
        <v/>
      </c>
      <c r="H211" s="100" t="str">
        <f>IF(OR($A211="",$A211&gt;SUM(Data_Analitik!$AD$2:$AD$351)),"",IFERROR(INDEX(Data_Analitik!$U$2:$U$351,MATCH($A211,Data_Analitik!$AE$2:$AE$351,0)),""))</f>
        <v/>
      </c>
      <c r="I211" s="33" t="str">
        <f>IF(OR($A211="",$A211&gt;SUM(Data_Analitik!$AD$2:$AD$351)),"",IFERROR(INDEX(Data_Analitik!$AB$2:$AB$351,MATCH($A211,Data_Analitik!$AE$2:$AE$351,0)),""))</f>
        <v/>
      </c>
    </row>
    <row r="212" spans="1:9" ht="21.95" customHeight="1" x14ac:dyDescent="0.25">
      <c r="A212" s="32">
        <f t="shared" si="3"/>
        <v>199</v>
      </c>
      <c r="B212" s="99" t="str">
        <f>IF(OR($A212="",$A212&gt;SUM(Data_Analitik!$AD$2:$AD$351)),"",IFERROR(INDEX(Data_Analitik!$B$2:$B$351,MATCH($A212,Data_Analitik!$AE$2:$AE$351,0)),""))</f>
        <v/>
      </c>
      <c r="C212" s="101" t="str">
        <f>IF(OR($A212="",$A212&gt;SUM(Data_Analitik!$AD$2:$AD$351)),"",IFERROR(INDEX(Data_Analitik!$C$2:$C$351,MATCH($A212,Data_Analitik!$AE$2:$AE$351,0)),""))</f>
        <v/>
      </c>
      <c r="D212" s="99" t="str">
        <f>IF(OR($A212="",$A212&gt;SUM(Data_Analitik!$AD$2:$AD$351)),"",IFERROR(INDEX(Data_Analitik!$D$2:$D$351,MATCH($A212,Data_Analitik!$AE$2:$AE$351,0)),""))</f>
        <v/>
      </c>
      <c r="E212" s="100" t="str">
        <f>IF(OR($A212="",$A212&gt;SUM(Data_Analitik!$AD$2:$AD$351)),"",IFERROR(INDEX(Data_Analitik!$E$2:$E$351,MATCH($A212,Data_Analitik!$AE$2:$AE$351,0)),""))</f>
        <v/>
      </c>
      <c r="F212" s="97" t="str">
        <f>IF(OR($A212="",$A212&gt;SUM(Data_Analitik!$AD$2:$AD$351)),"",IFERROR(INDEX(Data_Analitik!$Z$2:$Z$351,MATCH($A212,Data_Analitik!$AE$2:$AE$351,0)),""))</f>
        <v/>
      </c>
      <c r="G212" s="97" t="str">
        <f>IF(OR($A212="",$A212&gt;SUM(Data_Analitik!$AD$2:$AD$351)),"",IFERROR(INDEX(Data_Analitik!$AA$2:$AA$351,MATCH($A212,Data_Analitik!$AE$2:$AE$351,0)),""))</f>
        <v/>
      </c>
      <c r="H212" s="100" t="str">
        <f>IF(OR($A212="",$A212&gt;SUM(Data_Analitik!$AD$2:$AD$351)),"",IFERROR(INDEX(Data_Analitik!$U$2:$U$351,MATCH($A212,Data_Analitik!$AE$2:$AE$351,0)),""))</f>
        <v/>
      </c>
      <c r="I212" s="33" t="str">
        <f>IF(OR($A212="",$A212&gt;SUM(Data_Analitik!$AD$2:$AD$351)),"",IFERROR(INDEX(Data_Analitik!$AB$2:$AB$351,MATCH($A212,Data_Analitik!$AE$2:$AE$351,0)),""))</f>
        <v/>
      </c>
    </row>
    <row r="213" spans="1:9" ht="21.95" customHeight="1" x14ac:dyDescent="0.25">
      <c r="A213" s="32">
        <f t="shared" si="3"/>
        <v>200</v>
      </c>
      <c r="B213" s="99" t="str">
        <f>IF(OR($A213="",$A213&gt;SUM(Data_Analitik!$AD$2:$AD$351)),"",IFERROR(INDEX(Data_Analitik!$B$2:$B$351,MATCH($A213,Data_Analitik!$AE$2:$AE$351,0)),""))</f>
        <v/>
      </c>
      <c r="C213" s="101" t="str">
        <f>IF(OR($A213="",$A213&gt;SUM(Data_Analitik!$AD$2:$AD$351)),"",IFERROR(INDEX(Data_Analitik!$C$2:$C$351,MATCH($A213,Data_Analitik!$AE$2:$AE$351,0)),""))</f>
        <v/>
      </c>
      <c r="D213" s="99" t="str">
        <f>IF(OR($A213="",$A213&gt;SUM(Data_Analitik!$AD$2:$AD$351)),"",IFERROR(INDEX(Data_Analitik!$D$2:$D$351,MATCH($A213,Data_Analitik!$AE$2:$AE$351,0)),""))</f>
        <v/>
      </c>
      <c r="E213" s="100" t="str">
        <f>IF(OR($A213="",$A213&gt;SUM(Data_Analitik!$AD$2:$AD$351)),"",IFERROR(INDEX(Data_Analitik!$E$2:$E$351,MATCH($A213,Data_Analitik!$AE$2:$AE$351,0)),""))</f>
        <v/>
      </c>
      <c r="F213" s="97" t="str">
        <f>IF(OR($A213="",$A213&gt;SUM(Data_Analitik!$AD$2:$AD$351)),"",IFERROR(INDEX(Data_Analitik!$Z$2:$Z$351,MATCH($A213,Data_Analitik!$AE$2:$AE$351,0)),""))</f>
        <v/>
      </c>
      <c r="G213" s="97" t="str">
        <f>IF(OR($A213="",$A213&gt;SUM(Data_Analitik!$AD$2:$AD$351)),"",IFERROR(INDEX(Data_Analitik!$AA$2:$AA$351,MATCH($A213,Data_Analitik!$AE$2:$AE$351,0)),""))</f>
        <v/>
      </c>
      <c r="H213" s="100" t="str">
        <f>IF(OR($A213="",$A213&gt;SUM(Data_Analitik!$AD$2:$AD$351)),"",IFERROR(INDEX(Data_Analitik!$U$2:$U$351,MATCH($A213,Data_Analitik!$AE$2:$AE$351,0)),""))</f>
        <v/>
      </c>
      <c r="I213" s="33" t="str">
        <f>IF(OR($A213="",$A213&gt;SUM(Data_Analitik!$AD$2:$AD$351)),"",IFERROR(INDEX(Data_Analitik!$AB$2:$AB$351,MATCH($A213,Data_Analitik!$AE$2:$AE$351,0)),""))</f>
        <v/>
      </c>
    </row>
    <row r="214" spans="1:9" ht="21.95" customHeight="1" x14ac:dyDescent="0.25">
      <c r="A214" s="32">
        <f t="shared" si="3"/>
        <v>201</v>
      </c>
      <c r="B214" s="99" t="str">
        <f>IF(OR($A214="",$A214&gt;SUM(Data_Analitik!$AD$2:$AD$351)),"",IFERROR(INDEX(Data_Analitik!$B$2:$B$351,MATCH($A214,Data_Analitik!$AE$2:$AE$351,0)),""))</f>
        <v/>
      </c>
      <c r="C214" s="101" t="str">
        <f>IF(OR($A214="",$A214&gt;SUM(Data_Analitik!$AD$2:$AD$351)),"",IFERROR(INDEX(Data_Analitik!$C$2:$C$351,MATCH($A214,Data_Analitik!$AE$2:$AE$351,0)),""))</f>
        <v/>
      </c>
      <c r="D214" s="99" t="str">
        <f>IF(OR($A214="",$A214&gt;SUM(Data_Analitik!$AD$2:$AD$351)),"",IFERROR(INDEX(Data_Analitik!$D$2:$D$351,MATCH($A214,Data_Analitik!$AE$2:$AE$351,0)),""))</f>
        <v/>
      </c>
      <c r="E214" s="100" t="str">
        <f>IF(OR($A214="",$A214&gt;SUM(Data_Analitik!$AD$2:$AD$351)),"",IFERROR(INDEX(Data_Analitik!$E$2:$E$351,MATCH($A214,Data_Analitik!$AE$2:$AE$351,0)),""))</f>
        <v/>
      </c>
      <c r="F214" s="97" t="str">
        <f>IF(OR($A214="",$A214&gt;SUM(Data_Analitik!$AD$2:$AD$351)),"",IFERROR(INDEX(Data_Analitik!$Z$2:$Z$351,MATCH($A214,Data_Analitik!$AE$2:$AE$351,0)),""))</f>
        <v/>
      </c>
      <c r="G214" s="97" t="str">
        <f>IF(OR($A214="",$A214&gt;SUM(Data_Analitik!$AD$2:$AD$351)),"",IFERROR(INDEX(Data_Analitik!$AA$2:$AA$351,MATCH($A214,Data_Analitik!$AE$2:$AE$351,0)),""))</f>
        <v/>
      </c>
      <c r="H214" s="100" t="str">
        <f>IF(OR($A214="",$A214&gt;SUM(Data_Analitik!$AD$2:$AD$351)),"",IFERROR(INDEX(Data_Analitik!$U$2:$U$351,MATCH($A214,Data_Analitik!$AE$2:$AE$351,0)),""))</f>
        <v/>
      </c>
      <c r="I214" s="33" t="str">
        <f>IF(OR($A214="",$A214&gt;SUM(Data_Analitik!$AD$2:$AD$351)),"",IFERROR(INDEX(Data_Analitik!$AB$2:$AB$351,MATCH($A214,Data_Analitik!$AE$2:$AE$351,0)),""))</f>
        <v/>
      </c>
    </row>
    <row r="215" spans="1:9" ht="21.95" customHeight="1" x14ac:dyDescent="0.25">
      <c r="A215" s="32">
        <f t="shared" si="3"/>
        <v>202</v>
      </c>
      <c r="B215" s="99" t="str">
        <f>IF(OR($A215="",$A215&gt;SUM(Data_Analitik!$AD$2:$AD$351)),"",IFERROR(INDEX(Data_Analitik!$B$2:$B$351,MATCH($A215,Data_Analitik!$AE$2:$AE$351,0)),""))</f>
        <v/>
      </c>
      <c r="C215" s="101" t="str">
        <f>IF(OR($A215="",$A215&gt;SUM(Data_Analitik!$AD$2:$AD$351)),"",IFERROR(INDEX(Data_Analitik!$C$2:$C$351,MATCH($A215,Data_Analitik!$AE$2:$AE$351,0)),""))</f>
        <v/>
      </c>
      <c r="D215" s="99" t="str">
        <f>IF(OR($A215="",$A215&gt;SUM(Data_Analitik!$AD$2:$AD$351)),"",IFERROR(INDEX(Data_Analitik!$D$2:$D$351,MATCH($A215,Data_Analitik!$AE$2:$AE$351,0)),""))</f>
        <v/>
      </c>
      <c r="E215" s="100" t="str">
        <f>IF(OR($A215="",$A215&gt;SUM(Data_Analitik!$AD$2:$AD$351)),"",IFERROR(INDEX(Data_Analitik!$E$2:$E$351,MATCH($A215,Data_Analitik!$AE$2:$AE$351,0)),""))</f>
        <v/>
      </c>
      <c r="F215" s="97" t="str">
        <f>IF(OR($A215="",$A215&gt;SUM(Data_Analitik!$AD$2:$AD$351)),"",IFERROR(INDEX(Data_Analitik!$Z$2:$Z$351,MATCH($A215,Data_Analitik!$AE$2:$AE$351,0)),""))</f>
        <v/>
      </c>
      <c r="G215" s="97" t="str">
        <f>IF(OR($A215="",$A215&gt;SUM(Data_Analitik!$AD$2:$AD$351)),"",IFERROR(INDEX(Data_Analitik!$AA$2:$AA$351,MATCH($A215,Data_Analitik!$AE$2:$AE$351,0)),""))</f>
        <v/>
      </c>
      <c r="H215" s="100" t="str">
        <f>IF(OR($A215="",$A215&gt;SUM(Data_Analitik!$AD$2:$AD$351)),"",IFERROR(INDEX(Data_Analitik!$U$2:$U$351,MATCH($A215,Data_Analitik!$AE$2:$AE$351,0)),""))</f>
        <v/>
      </c>
      <c r="I215" s="33" t="str">
        <f>IF(OR($A215="",$A215&gt;SUM(Data_Analitik!$AD$2:$AD$351)),"",IFERROR(INDEX(Data_Analitik!$AB$2:$AB$351,MATCH($A215,Data_Analitik!$AE$2:$AE$351,0)),""))</f>
        <v/>
      </c>
    </row>
    <row r="216" spans="1:9" ht="21.95" customHeight="1" x14ac:dyDescent="0.25">
      <c r="A216" s="32">
        <f t="shared" si="3"/>
        <v>203</v>
      </c>
      <c r="B216" s="99" t="str">
        <f>IF(OR($A216="",$A216&gt;SUM(Data_Analitik!$AD$2:$AD$351)),"",IFERROR(INDEX(Data_Analitik!$B$2:$B$351,MATCH($A216,Data_Analitik!$AE$2:$AE$351,0)),""))</f>
        <v/>
      </c>
      <c r="C216" s="101" t="str">
        <f>IF(OR($A216="",$A216&gt;SUM(Data_Analitik!$AD$2:$AD$351)),"",IFERROR(INDEX(Data_Analitik!$C$2:$C$351,MATCH($A216,Data_Analitik!$AE$2:$AE$351,0)),""))</f>
        <v/>
      </c>
      <c r="D216" s="99" t="str">
        <f>IF(OR($A216="",$A216&gt;SUM(Data_Analitik!$AD$2:$AD$351)),"",IFERROR(INDEX(Data_Analitik!$D$2:$D$351,MATCH($A216,Data_Analitik!$AE$2:$AE$351,0)),""))</f>
        <v/>
      </c>
      <c r="E216" s="100" t="str">
        <f>IF(OR($A216="",$A216&gt;SUM(Data_Analitik!$AD$2:$AD$351)),"",IFERROR(INDEX(Data_Analitik!$E$2:$E$351,MATCH($A216,Data_Analitik!$AE$2:$AE$351,0)),""))</f>
        <v/>
      </c>
      <c r="F216" s="97" t="str">
        <f>IF(OR($A216="",$A216&gt;SUM(Data_Analitik!$AD$2:$AD$351)),"",IFERROR(INDEX(Data_Analitik!$Z$2:$Z$351,MATCH($A216,Data_Analitik!$AE$2:$AE$351,0)),""))</f>
        <v/>
      </c>
      <c r="G216" s="97" t="str">
        <f>IF(OR($A216="",$A216&gt;SUM(Data_Analitik!$AD$2:$AD$351)),"",IFERROR(INDEX(Data_Analitik!$AA$2:$AA$351,MATCH($A216,Data_Analitik!$AE$2:$AE$351,0)),""))</f>
        <v/>
      </c>
      <c r="H216" s="100" t="str">
        <f>IF(OR($A216="",$A216&gt;SUM(Data_Analitik!$AD$2:$AD$351)),"",IFERROR(INDEX(Data_Analitik!$U$2:$U$351,MATCH($A216,Data_Analitik!$AE$2:$AE$351,0)),""))</f>
        <v/>
      </c>
      <c r="I216" s="33" t="str">
        <f>IF(OR($A216="",$A216&gt;SUM(Data_Analitik!$AD$2:$AD$351)),"",IFERROR(INDEX(Data_Analitik!$AB$2:$AB$351,MATCH($A216,Data_Analitik!$AE$2:$AE$351,0)),""))</f>
        <v/>
      </c>
    </row>
    <row r="217" spans="1:9" ht="21.95" customHeight="1" x14ac:dyDescent="0.25">
      <c r="A217" s="32">
        <f t="shared" si="3"/>
        <v>204</v>
      </c>
      <c r="B217" s="99" t="str">
        <f>IF(OR($A217="",$A217&gt;SUM(Data_Analitik!$AD$2:$AD$351)),"",IFERROR(INDEX(Data_Analitik!$B$2:$B$351,MATCH($A217,Data_Analitik!$AE$2:$AE$351,0)),""))</f>
        <v/>
      </c>
      <c r="C217" s="101" t="str">
        <f>IF(OR($A217="",$A217&gt;SUM(Data_Analitik!$AD$2:$AD$351)),"",IFERROR(INDEX(Data_Analitik!$C$2:$C$351,MATCH($A217,Data_Analitik!$AE$2:$AE$351,0)),""))</f>
        <v/>
      </c>
      <c r="D217" s="99" t="str">
        <f>IF(OR($A217="",$A217&gt;SUM(Data_Analitik!$AD$2:$AD$351)),"",IFERROR(INDEX(Data_Analitik!$D$2:$D$351,MATCH($A217,Data_Analitik!$AE$2:$AE$351,0)),""))</f>
        <v/>
      </c>
      <c r="E217" s="100" t="str">
        <f>IF(OR($A217="",$A217&gt;SUM(Data_Analitik!$AD$2:$AD$351)),"",IFERROR(INDEX(Data_Analitik!$E$2:$E$351,MATCH($A217,Data_Analitik!$AE$2:$AE$351,0)),""))</f>
        <v/>
      </c>
      <c r="F217" s="97" t="str">
        <f>IF(OR($A217="",$A217&gt;SUM(Data_Analitik!$AD$2:$AD$351)),"",IFERROR(INDEX(Data_Analitik!$Z$2:$Z$351,MATCH($A217,Data_Analitik!$AE$2:$AE$351,0)),""))</f>
        <v/>
      </c>
      <c r="G217" s="97" t="str">
        <f>IF(OR($A217="",$A217&gt;SUM(Data_Analitik!$AD$2:$AD$351)),"",IFERROR(INDEX(Data_Analitik!$AA$2:$AA$351,MATCH($A217,Data_Analitik!$AE$2:$AE$351,0)),""))</f>
        <v/>
      </c>
      <c r="H217" s="100" t="str">
        <f>IF(OR($A217="",$A217&gt;SUM(Data_Analitik!$AD$2:$AD$351)),"",IFERROR(INDEX(Data_Analitik!$U$2:$U$351,MATCH($A217,Data_Analitik!$AE$2:$AE$351,0)),""))</f>
        <v/>
      </c>
      <c r="I217" s="33" t="str">
        <f>IF(OR($A217="",$A217&gt;SUM(Data_Analitik!$AD$2:$AD$351)),"",IFERROR(INDEX(Data_Analitik!$AB$2:$AB$351,MATCH($A217,Data_Analitik!$AE$2:$AE$351,0)),""))</f>
        <v/>
      </c>
    </row>
    <row r="218" spans="1:9" ht="21.95" customHeight="1" x14ac:dyDescent="0.25">
      <c r="A218" s="32">
        <f t="shared" si="3"/>
        <v>205</v>
      </c>
      <c r="B218" s="99" t="str">
        <f>IF(OR($A218="",$A218&gt;SUM(Data_Analitik!$AD$2:$AD$351)),"",IFERROR(INDEX(Data_Analitik!$B$2:$B$351,MATCH($A218,Data_Analitik!$AE$2:$AE$351,0)),""))</f>
        <v/>
      </c>
      <c r="C218" s="101" t="str">
        <f>IF(OR($A218="",$A218&gt;SUM(Data_Analitik!$AD$2:$AD$351)),"",IFERROR(INDEX(Data_Analitik!$C$2:$C$351,MATCH($A218,Data_Analitik!$AE$2:$AE$351,0)),""))</f>
        <v/>
      </c>
      <c r="D218" s="99" t="str">
        <f>IF(OR($A218="",$A218&gt;SUM(Data_Analitik!$AD$2:$AD$351)),"",IFERROR(INDEX(Data_Analitik!$D$2:$D$351,MATCH($A218,Data_Analitik!$AE$2:$AE$351,0)),""))</f>
        <v/>
      </c>
      <c r="E218" s="100" t="str">
        <f>IF(OR($A218="",$A218&gt;SUM(Data_Analitik!$AD$2:$AD$351)),"",IFERROR(INDEX(Data_Analitik!$E$2:$E$351,MATCH($A218,Data_Analitik!$AE$2:$AE$351,0)),""))</f>
        <v/>
      </c>
      <c r="F218" s="97" t="str">
        <f>IF(OR($A218="",$A218&gt;SUM(Data_Analitik!$AD$2:$AD$351)),"",IFERROR(INDEX(Data_Analitik!$Z$2:$Z$351,MATCH($A218,Data_Analitik!$AE$2:$AE$351,0)),""))</f>
        <v/>
      </c>
      <c r="G218" s="97" t="str">
        <f>IF(OR($A218="",$A218&gt;SUM(Data_Analitik!$AD$2:$AD$351)),"",IFERROR(INDEX(Data_Analitik!$AA$2:$AA$351,MATCH($A218,Data_Analitik!$AE$2:$AE$351,0)),""))</f>
        <v/>
      </c>
      <c r="H218" s="100" t="str">
        <f>IF(OR($A218="",$A218&gt;SUM(Data_Analitik!$AD$2:$AD$351)),"",IFERROR(INDEX(Data_Analitik!$U$2:$U$351,MATCH($A218,Data_Analitik!$AE$2:$AE$351,0)),""))</f>
        <v/>
      </c>
      <c r="I218" s="33" t="str">
        <f>IF(OR($A218="",$A218&gt;SUM(Data_Analitik!$AD$2:$AD$351)),"",IFERROR(INDEX(Data_Analitik!$AB$2:$AB$351,MATCH($A218,Data_Analitik!$AE$2:$AE$351,0)),""))</f>
        <v/>
      </c>
    </row>
    <row r="219" spans="1:9" ht="21.95" customHeight="1" x14ac:dyDescent="0.25">
      <c r="A219" s="32">
        <f t="shared" si="3"/>
        <v>206</v>
      </c>
      <c r="B219" s="99" t="str">
        <f>IF(OR($A219="",$A219&gt;SUM(Data_Analitik!$AD$2:$AD$351)),"",IFERROR(INDEX(Data_Analitik!$B$2:$B$351,MATCH($A219,Data_Analitik!$AE$2:$AE$351,0)),""))</f>
        <v/>
      </c>
      <c r="C219" s="101" t="str">
        <f>IF(OR($A219="",$A219&gt;SUM(Data_Analitik!$AD$2:$AD$351)),"",IFERROR(INDEX(Data_Analitik!$C$2:$C$351,MATCH($A219,Data_Analitik!$AE$2:$AE$351,0)),""))</f>
        <v/>
      </c>
      <c r="D219" s="99" t="str">
        <f>IF(OR($A219="",$A219&gt;SUM(Data_Analitik!$AD$2:$AD$351)),"",IFERROR(INDEX(Data_Analitik!$D$2:$D$351,MATCH($A219,Data_Analitik!$AE$2:$AE$351,0)),""))</f>
        <v/>
      </c>
      <c r="E219" s="100" t="str">
        <f>IF(OR($A219="",$A219&gt;SUM(Data_Analitik!$AD$2:$AD$351)),"",IFERROR(INDEX(Data_Analitik!$E$2:$E$351,MATCH($A219,Data_Analitik!$AE$2:$AE$351,0)),""))</f>
        <v/>
      </c>
      <c r="F219" s="97" t="str">
        <f>IF(OR($A219="",$A219&gt;SUM(Data_Analitik!$AD$2:$AD$351)),"",IFERROR(INDEX(Data_Analitik!$Z$2:$Z$351,MATCH($A219,Data_Analitik!$AE$2:$AE$351,0)),""))</f>
        <v/>
      </c>
      <c r="G219" s="97" t="str">
        <f>IF(OR($A219="",$A219&gt;SUM(Data_Analitik!$AD$2:$AD$351)),"",IFERROR(INDEX(Data_Analitik!$AA$2:$AA$351,MATCH($A219,Data_Analitik!$AE$2:$AE$351,0)),""))</f>
        <v/>
      </c>
      <c r="H219" s="100" t="str">
        <f>IF(OR($A219="",$A219&gt;SUM(Data_Analitik!$AD$2:$AD$351)),"",IFERROR(INDEX(Data_Analitik!$U$2:$U$351,MATCH($A219,Data_Analitik!$AE$2:$AE$351,0)),""))</f>
        <v/>
      </c>
      <c r="I219" s="33" t="str">
        <f>IF(OR($A219="",$A219&gt;SUM(Data_Analitik!$AD$2:$AD$351)),"",IFERROR(INDEX(Data_Analitik!$AB$2:$AB$351,MATCH($A219,Data_Analitik!$AE$2:$AE$351,0)),""))</f>
        <v/>
      </c>
    </row>
    <row r="220" spans="1:9" ht="21.95" customHeight="1" x14ac:dyDescent="0.25">
      <c r="A220" s="32">
        <f t="shared" si="3"/>
        <v>207</v>
      </c>
      <c r="B220" s="99" t="str">
        <f>IF(OR($A220="",$A220&gt;SUM(Data_Analitik!$AD$2:$AD$351)),"",IFERROR(INDEX(Data_Analitik!$B$2:$B$351,MATCH($A220,Data_Analitik!$AE$2:$AE$351,0)),""))</f>
        <v/>
      </c>
      <c r="C220" s="101" t="str">
        <f>IF(OR($A220="",$A220&gt;SUM(Data_Analitik!$AD$2:$AD$351)),"",IFERROR(INDEX(Data_Analitik!$C$2:$C$351,MATCH($A220,Data_Analitik!$AE$2:$AE$351,0)),""))</f>
        <v/>
      </c>
      <c r="D220" s="99" t="str">
        <f>IF(OR($A220="",$A220&gt;SUM(Data_Analitik!$AD$2:$AD$351)),"",IFERROR(INDEX(Data_Analitik!$D$2:$D$351,MATCH($A220,Data_Analitik!$AE$2:$AE$351,0)),""))</f>
        <v/>
      </c>
      <c r="E220" s="100" t="str">
        <f>IF(OR($A220="",$A220&gt;SUM(Data_Analitik!$AD$2:$AD$351)),"",IFERROR(INDEX(Data_Analitik!$E$2:$E$351,MATCH($A220,Data_Analitik!$AE$2:$AE$351,0)),""))</f>
        <v/>
      </c>
      <c r="F220" s="97" t="str">
        <f>IF(OR($A220="",$A220&gt;SUM(Data_Analitik!$AD$2:$AD$351)),"",IFERROR(INDEX(Data_Analitik!$Z$2:$Z$351,MATCH($A220,Data_Analitik!$AE$2:$AE$351,0)),""))</f>
        <v/>
      </c>
      <c r="G220" s="97" t="str">
        <f>IF(OR($A220="",$A220&gt;SUM(Data_Analitik!$AD$2:$AD$351)),"",IFERROR(INDEX(Data_Analitik!$AA$2:$AA$351,MATCH($A220,Data_Analitik!$AE$2:$AE$351,0)),""))</f>
        <v/>
      </c>
      <c r="H220" s="100" t="str">
        <f>IF(OR($A220="",$A220&gt;SUM(Data_Analitik!$AD$2:$AD$351)),"",IFERROR(INDEX(Data_Analitik!$U$2:$U$351,MATCH($A220,Data_Analitik!$AE$2:$AE$351,0)),""))</f>
        <v/>
      </c>
      <c r="I220" s="33" t="str">
        <f>IF(OR($A220="",$A220&gt;SUM(Data_Analitik!$AD$2:$AD$351)),"",IFERROR(INDEX(Data_Analitik!$AB$2:$AB$351,MATCH($A220,Data_Analitik!$AE$2:$AE$351,0)),""))</f>
        <v/>
      </c>
    </row>
    <row r="221" spans="1:9" ht="21.95" customHeight="1" x14ac:dyDescent="0.25">
      <c r="A221" s="32">
        <f t="shared" si="3"/>
        <v>208</v>
      </c>
      <c r="B221" s="99" t="str">
        <f>IF(OR($A221="",$A221&gt;SUM(Data_Analitik!$AD$2:$AD$351)),"",IFERROR(INDEX(Data_Analitik!$B$2:$B$351,MATCH($A221,Data_Analitik!$AE$2:$AE$351,0)),""))</f>
        <v/>
      </c>
      <c r="C221" s="101" t="str">
        <f>IF(OR($A221="",$A221&gt;SUM(Data_Analitik!$AD$2:$AD$351)),"",IFERROR(INDEX(Data_Analitik!$C$2:$C$351,MATCH($A221,Data_Analitik!$AE$2:$AE$351,0)),""))</f>
        <v/>
      </c>
      <c r="D221" s="99" t="str">
        <f>IF(OR($A221="",$A221&gt;SUM(Data_Analitik!$AD$2:$AD$351)),"",IFERROR(INDEX(Data_Analitik!$D$2:$D$351,MATCH($A221,Data_Analitik!$AE$2:$AE$351,0)),""))</f>
        <v/>
      </c>
      <c r="E221" s="100" t="str">
        <f>IF(OR($A221="",$A221&gt;SUM(Data_Analitik!$AD$2:$AD$351)),"",IFERROR(INDEX(Data_Analitik!$E$2:$E$351,MATCH($A221,Data_Analitik!$AE$2:$AE$351,0)),""))</f>
        <v/>
      </c>
      <c r="F221" s="97" t="str">
        <f>IF(OR($A221="",$A221&gt;SUM(Data_Analitik!$AD$2:$AD$351)),"",IFERROR(INDEX(Data_Analitik!$Z$2:$Z$351,MATCH($A221,Data_Analitik!$AE$2:$AE$351,0)),""))</f>
        <v/>
      </c>
      <c r="G221" s="97" t="str">
        <f>IF(OR($A221="",$A221&gt;SUM(Data_Analitik!$AD$2:$AD$351)),"",IFERROR(INDEX(Data_Analitik!$AA$2:$AA$351,MATCH($A221,Data_Analitik!$AE$2:$AE$351,0)),""))</f>
        <v/>
      </c>
      <c r="H221" s="100" t="str">
        <f>IF(OR($A221="",$A221&gt;SUM(Data_Analitik!$AD$2:$AD$351)),"",IFERROR(INDEX(Data_Analitik!$U$2:$U$351,MATCH($A221,Data_Analitik!$AE$2:$AE$351,0)),""))</f>
        <v/>
      </c>
      <c r="I221" s="33" t="str">
        <f>IF(OR($A221="",$A221&gt;SUM(Data_Analitik!$AD$2:$AD$351)),"",IFERROR(INDEX(Data_Analitik!$AB$2:$AB$351,MATCH($A221,Data_Analitik!$AE$2:$AE$351,0)),""))</f>
        <v/>
      </c>
    </row>
    <row r="222" spans="1:9" ht="21.95" customHeight="1" x14ac:dyDescent="0.25">
      <c r="A222" s="32">
        <f t="shared" si="3"/>
        <v>209</v>
      </c>
      <c r="B222" s="99" t="str">
        <f>IF(OR($A222="",$A222&gt;SUM(Data_Analitik!$AD$2:$AD$351)),"",IFERROR(INDEX(Data_Analitik!$B$2:$B$351,MATCH($A222,Data_Analitik!$AE$2:$AE$351,0)),""))</f>
        <v/>
      </c>
      <c r="C222" s="101" t="str">
        <f>IF(OR($A222="",$A222&gt;SUM(Data_Analitik!$AD$2:$AD$351)),"",IFERROR(INDEX(Data_Analitik!$C$2:$C$351,MATCH($A222,Data_Analitik!$AE$2:$AE$351,0)),""))</f>
        <v/>
      </c>
      <c r="D222" s="99" t="str">
        <f>IF(OR($A222="",$A222&gt;SUM(Data_Analitik!$AD$2:$AD$351)),"",IFERROR(INDEX(Data_Analitik!$D$2:$D$351,MATCH($A222,Data_Analitik!$AE$2:$AE$351,0)),""))</f>
        <v/>
      </c>
      <c r="E222" s="100" t="str">
        <f>IF(OR($A222="",$A222&gt;SUM(Data_Analitik!$AD$2:$AD$351)),"",IFERROR(INDEX(Data_Analitik!$E$2:$E$351,MATCH($A222,Data_Analitik!$AE$2:$AE$351,0)),""))</f>
        <v/>
      </c>
      <c r="F222" s="97" t="str">
        <f>IF(OR($A222="",$A222&gt;SUM(Data_Analitik!$AD$2:$AD$351)),"",IFERROR(INDEX(Data_Analitik!$Z$2:$Z$351,MATCH($A222,Data_Analitik!$AE$2:$AE$351,0)),""))</f>
        <v/>
      </c>
      <c r="G222" s="97" t="str">
        <f>IF(OR($A222="",$A222&gt;SUM(Data_Analitik!$AD$2:$AD$351)),"",IFERROR(INDEX(Data_Analitik!$AA$2:$AA$351,MATCH($A222,Data_Analitik!$AE$2:$AE$351,0)),""))</f>
        <v/>
      </c>
      <c r="H222" s="100" t="str">
        <f>IF(OR($A222="",$A222&gt;SUM(Data_Analitik!$AD$2:$AD$351)),"",IFERROR(INDEX(Data_Analitik!$U$2:$U$351,MATCH($A222,Data_Analitik!$AE$2:$AE$351,0)),""))</f>
        <v/>
      </c>
      <c r="I222" s="33" t="str">
        <f>IF(OR($A222="",$A222&gt;SUM(Data_Analitik!$AD$2:$AD$351)),"",IFERROR(INDEX(Data_Analitik!$AB$2:$AB$351,MATCH($A222,Data_Analitik!$AE$2:$AE$351,0)),""))</f>
        <v/>
      </c>
    </row>
    <row r="223" spans="1:9" ht="21.95" customHeight="1" x14ac:dyDescent="0.25">
      <c r="A223" s="32">
        <f t="shared" si="3"/>
        <v>210</v>
      </c>
      <c r="B223" s="99" t="str">
        <f>IF(OR($A223="",$A223&gt;SUM(Data_Analitik!$AD$2:$AD$351)),"",IFERROR(INDEX(Data_Analitik!$B$2:$B$351,MATCH($A223,Data_Analitik!$AE$2:$AE$351,0)),""))</f>
        <v/>
      </c>
      <c r="C223" s="101" t="str">
        <f>IF(OR($A223="",$A223&gt;SUM(Data_Analitik!$AD$2:$AD$351)),"",IFERROR(INDEX(Data_Analitik!$C$2:$C$351,MATCH($A223,Data_Analitik!$AE$2:$AE$351,0)),""))</f>
        <v/>
      </c>
      <c r="D223" s="99" t="str">
        <f>IF(OR($A223="",$A223&gt;SUM(Data_Analitik!$AD$2:$AD$351)),"",IFERROR(INDEX(Data_Analitik!$D$2:$D$351,MATCH($A223,Data_Analitik!$AE$2:$AE$351,0)),""))</f>
        <v/>
      </c>
      <c r="E223" s="100" t="str">
        <f>IF(OR($A223="",$A223&gt;SUM(Data_Analitik!$AD$2:$AD$351)),"",IFERROR(INDEX(Data_Analitik!$E$2:$E$351,MATCH($A223,Data_Analitik!$AE$2:$AE$351,0)),""))</f>
        <v/>
      </c>
      <c r="F223" s="97" t="str">
        <f>IF(OR($A223="",$A223&gt;SUM(Data_Analitik!$AD$2:$AD$351)),"",IFERROR(INDEX(Data_Analitik!$Z$2:$Z$351,MATCH($A223,Data_Analitik!$AE$2:$AE$351,0)),""))</f>
        <v/>
      </c>
      <c r="G223" s="97" t="str">
        <f>IF(OR($A223="",$A223&gt;SUM(Data_Analitik!$AD$2:$AD$351)),"",IFERROR(INDEX(Data_Analitik!$AA$2:$AA$351,MATCH($A223,Data_Analitik!$AE$2:$AE$351,0)),""))</f>
        <v/>
      </c>
      <c r="H223" s="100" t="str">
        <f>IF(OR($A223="",$A223&gt;SUM(Data_Analitik!$AD$2:$AD$351)),"",IFERROR(INDEX(Data_Analitik!$U$2:$U$351,MATCH($A223,Data_Analitik!$AE$2:$AE$351,0)),""))</f>
        <v/>
      </c>
      <c r="I223" s="33" t="str">
        <f>IF(OR($A223="",$A223&gt;SUM(Data_Analitik!$AD$2:$AD$351)),"",IFERROR(INDEX(Data_Analitik!$AB$2:$AB$351,MATCH($A223,Data_Analitik!$AE$2:$AE$351,0)),""))</f>
        <v/>
      </c>
    </row>
    <row r="224" spans="1:9" ht="21.95" customHeight="1" x14ac:dyDescent="0.25">
      <c r="A224" s="32">
        <f t="shared" si="3"/>
        <v>211</v>
      </c>
      <c r="B224" s="99" t="str">
        <f>IF(OR($A224="",$A224&gt;SUM(Data_Analitik!$AD$2:$AD$351)),"",IFERROR(INDEX(Data_Analitik!$B$2:$B$351,MATCH($A224,Data_Analitik!$AE$2:$AE$351,0)),""))</f>
        <v/>
      </c>
      <c r="C224" s="101" t="str">
        <f>IF(OR($A224="",$A224&gt;SUM(Data_Analitik!$AD$2:$AD$351)),"",IFERROR(INDEX(Data_Analitik!$C$2:$C$351,MATCH($A224,Data_Analitik!$AE$2:$AE$351,0)),""))</f>
        <v/>
      </c>
      <c r="D224" s="99" t="str">
        <f>IF(OR($A224="",$A224&gt;SUM(Data_Analitik!$AD$2:$AD$351)),"",IFERROR(INDEX(Data_Analitik!$D$2:$D$351,MATCH($A224,Data_Analitik!$AE$2:$AE$351,0)),""))</f>
        <v/>
      </c>
      <c r="E224" s="100" t="str">
        <f>IF(OR($A224="",$A224&gt;SUM(Data_Analitik!$AD$2:$AD$351)),"",IFERROR(INDEX(Data_Analitik!$E$2:$E$351,MATCH($A224,Data_Analitik!$AE$2:$AE$351,0)),""))</f>
        <v/>
      </c>
      <c r="F224" s="97" t="str">
        <f>IF(OR($A224="",$A224&gt;SUM(Data_Analitik!$AD$2:$AD$351)),"",IFERROR(INDEX(Data_Analitik!$Z$2:$Z$351,MATCH($A224,Data_Analitik!$AE$2:$AE$351,0)),""))</f>
        <v/>
      </c>
      <c r="G224" s="97" t="str">
        <f>IF(OR($A224="",$A224&gt;SUM(Data_Analitik!$AD$2:$AD$351)),"",IFERROR(INDEX(Data_Analitik!$AA$2:$AA$351,MATCH($A224,Data_Analitik!$AE$2:$AE$351,0)),""))</f>
        <v/>
      </c>
      <c r="H224" s="100" t="str">
        <f>IF(OR($A224="",$A224&gt;SUM(Data_Analitik!$AD$2:$AD$351)),"",IFERROR(INDEX(Data_Analitik!$U$2:$U$351,MATCH($A224,Data_Analitik!$AE$2:$AE$351,0)),""))</f>
        <v/>
      </c>
      <c r="I224" s="33" t="str">
        <f>IF(OR($A224="",$A224&gt;SUM(Data_Analitik!$AD$2:$AD$351)),"",IFERROR(INDEX(Data_Analitik!$AB$2:$AB$351,MATCH($A224,Data_Analitik!$AE$2:$AE$351,0)),""))</f>
        <v/>
      </c>
    </row>
    <row r="225" spans="1:9" ht="21.95" customHeight="1" x14ac:dyDescent="0.25">
      <c r="A225" s="32">
        <f t="shared" si="3"/>
        <v>212</v>
      </c>
      <c r="B225" s="99" t="str">
        <f>IF(OR($A225="",$A225&gt;SUM(Data_Analitik!$AD$2:$AD$351)),"",IFERROR(INDEX(Data_Analitik!$B$2:$B$351,MATCH($A225,Data_Analitik!$AE$2:$AE$351,0)),""))</f>
        <v/>
      </c>
      <c r="C225" s="101" t="str">
        <f>IF(OR($A225="",$A225&gt;SUM(Data_Analitik!$AD$2:$AD$351)),"",IFERROR(INDEX(Data_Analitik!$C$2:$C$351,MATCH($A225,Data_Analitik!$AE$2:$AE$351,0)),""))</f>
        <v/>
      </c>
      <c r="D225" s="99" t="str">
        <f>IF(OR($A225="",$A225&gt;SUM(Data_Analitik!$AD$2:$AD$351)),"",IFERROR(INDEX(Data_Analitik!$D$2:$D$351,MATCH($A225,Data_Analitik!$AE$2:$AE$351,0)),""))</f>
        <v/>
      </c>
      <c r="E225" s="100" t="str">
        <f>IF(OR($A225="",$A225&gt;SUM(Data_Analitik!$AD$2:$AD$351)),"",IFERROR(INDEX(Data_Analitik!$E$2:$E$351,MATCH($A225,Data_Analitik!$AE$2:$AE$351,0)),""))</f>
        <v/>
      </c>
      <c r="F225" s="97" t="str">
        <f>IF(OR($A225="",$A225&gt;SUM(Data_Analitik!$AD$2:$AD$351)),"",IFERROR(INDEX(Data_Analitik!$Z$2:$Z$351,MATCH($A225,Data_Analitik!$AE$2:$AE$351,0)),""))</f>
        <v/>
      </c>
      <c r="G225" s="97" t="str">
        <f>IF(OR($A225="",$A225&gt;SUM(Data_Analitik!$AD$2:$AD$351)),"",IFERROR(INDEX(Data_Analitik!$AA$2:$AA$351,MATCH($A225,Data_Analitik!$AE$2:$AE$351,0)),""))</f>
        <v/>
      </c>
      <c r="H225" s="100" t="str">
        <f>IF(OR($A225="",$A225&gt;SUM(Data_Analitik!$AD$2:$AD$351)),"",IFERROR(INDEX(Data_Analitik!$U$2:$U$351,MATCH($A225,Data_Analitik!$AE$2:$AE$351,0)),""))</f>
        <v/>
      </c>
      <c r="I225" s="33" t="str">
        <f>IF(OR($A225="",$A225&gt;SUM(Data_Analitik!$AD$2:$AD$351)),"",IFERROR(INDEX(Data_Analitik!$AB$2:$AB$351,MATCH($A225,Data_Analitik!$AE$2:$AE$351,0)),""))</f>
        <v/>
      </c>
    </row>
    <row r="226" spans="1:9" ht="21.95" customHeight="1" x14ac:dyDescent="0.25">
      <c r="A226" s="32">
        <f t="shared" si="3"/>
        <v>213</v>
      </c>
      <c r="B226" s="99" t="str">
        <f>IF(OR($A226="",$A226&gt;SUM(Data_Analitik!$AD$2:$AD$351)),"",IFERROR(INDEX(Data_Analitik!$B$2:$B$351,MATCH($A226,Data_Analitik!$AE$2:$AE$351,0)),""))</f>
        <v/>
      </c>
      <c r="C226" s="101" t="str">
        <f>IF(OR($A226="",$A226&gt;SUM(Data_Analitik!$AD$2:$AD$351)),"",IFERROR(INDEX(Data_Analitik!$C$2:$C$351,MATCH($A226,Data_Analitik!$AE$2:$AE$351,0)),""))</f>
        <v/>
      </c>
      <c r="D226" s="99" t="str">
        <f>IF(OR($A226="",$A226&gt;SUM(Data_Analitik!$AD$2:$AD$351)),"",IFERROR(INDEX(Data_Analitik!$D$2:$D$351,MATCH($A226,Data_Analitik!$AE$2:$AE$351,0)),""))</f>
        <v/>
      </c>
      <c r="E226" s="100" t="str">
        <f>IF(OR($A226="",$A226&gt;SUM(Data_Analitik!$AD$2:$AD$351)),"",IFERROR(INDEX(Data_Analitik!$E$2:$E$351,MATCH($A226,Data_Analitik!$AE$2:$AE$351,0)),""))</f>
        <v/>
      </c>
      <c r="F226" s="97" t="str">
        <f>IF(OR($A226="",$A226&gt;SUM(Data_Analitik!$AD$2:$AD$351)),"",IFERROR(INDEX(Data_Analitik!$Z$2:$Z$351,MATCH($A226,Data_Analitik!$AE$2:$AE$351,0)),""))</f>
        <v/>
      </c>
      <c r="G226" s="97" t="str">
        <f>IF(OR($A226="",$A226&gt;SUM(Data_Analitik!$AD$2:$AD$351)),"",IFERROR(INDEX(Data_Analitik!$AA$2:$AA$351,MATCH($A226,Data_Analitik!$AE$2:$AE$351,0)),""))</f>
        <v/>
      </c>
      <c r="H226" s="100" t="str">
        <f>IF(OR($A226="",$A226&gt;SUM(Data_Analitik!$AD$2:$AD$351)),"",IFERROR(INDEX(Data_Analitik!$U$2:$U$351,MATCH($A226,Data_Analitik!$AE$2:$AE$351,0)),""))</f>
        <v/>
      </c>
      <c r="I226" s="33" t="str">
        <f>IF(OR($A226="",$A226&gt;SUM(Data_Analitik!$AD$2:$AD$351)),"",IFERROR(INDEX(Data_Analitik!$AB$2:$AB$351,MATCH($A226,Data_Analitik!$AE$2:$AE$351,0)),""))</f>
        <v/>
      </c>
    </row>
    <row r="227" spans="1:9" ht="21.95" customHeight="1" x14ac:dyDescent="0.25">
      <c r="A227" s="32">
        <f t="shared" si="3"/>
        <v>214</v>
      </c>
      <c r="B227" s="99" t="str">
        <f>IF(OR($A227="",$A227&gt;SUM(Data_Analitik!$AD$2:$AD$351)),"",IFERROR(INDEX(Data_Analitik!$B$2:$B$351,MATCH($A227,Data_Analitik!$AE$2:$AE$351,0)),""))</f>
        <v/>
      </c>
      <c r="C227" s="101" t="str">
        <f>IF(OR($A227="",$A227&gt;SUM(Data_Analitik!$AD$2:$AD$351)),"",IFERROR(INDEX(Data_Analitik!$C$2:$C$351,MATCH($A227,Data_Analitik!$AE$2:$AE$351,0)),""))</f>
        <v/>
      </c>
      <c r="D227" s="99" t="str">
        <f>IF(OR($A227="",$A227&gt;SUM(Data_Analitik!$AD$2:$AD$351)),"",IFERROR(INDEX(Data_Analitik!$D$2:$D$351,MATCH($A227,Data_Analitik!$AE$2:$AE$351,0)),""))</f>
        <v/>
      </c>
      <c r="E227" s="100" t="str">
        <f>IF(OR($A227="",$A227&gt;SUM(Data_Analitik!$AD$2:$AD$351)),"",IFERROR(INDEX(Data_Analitik!$E$2:$E$351,MATCH($A227,Data_Analitik!$AE$2:$AE$351,0)),""))</f>
        <v/>
      </c>
      <c r="F227" s="97" t="str">
        <f>IF(OR($A227="",$A227&gt;SUM(Data_Analitik!$AD$2:$AD$351)),"",IFERROR(INDEX(Data_Analitik!$Z$2:$Z$351,MATCH($A227,Data_Analitik!$AE$2:$AE$351,0)),""))</f>
        <v/>
      </c>
      <c r="G227" s="97" t="str">
        <f>IF(OR($A227="",$A227&gt;SUM(Data_Analitik!$AD$2:$AD$351)),"",IFERROR(INDEX(Data_Analitik!$AA$2:$AA$351,MATCH($A227,Data_Analitik!$AE$2:$AE$351,0)),""))</f>
        <v/>
      </c>
      <c r="H227" s="100" t="str">
        <f>IF(OR($A227="",$A227&gt;SUM(Data_Analitik!$AD$2:$AD$351)),"",IFERROR(INDEX(Data_Analitik!$U$2:$U$351,MATCH($A227,Data_Analitik!$AE$2:$AE$351,0)),""))</f>
        <v/>
      </c>
      <c r="I227" s="33" t="str">
        <f>IF(OR($A227="",$A227&gt;SUM(Data_Analitik!$AD$2:$AD$351)),"",IFERROR(INDEX(Data_Analitik!$AB$2:$AB$351,MATCH($A227,Data_Analitik!$AE$2:$AE$351,0)),""))</f>
        <v/>
      </c>
    </row>
    <row r="228" spans="1:9" ht="21.95" customHeight="1" x14ac:dyDescent="0.25">
      <c r="A228" s="32">
        <f t="shared" si="3"/>
        <v>215</v>
      </c>
      <c r="B228" s="99" t="str">
        <f>IF(OR($A228="",$A228&gt;SUM(Data_Analitik!$AD$2:$AD$351)),"",IFERROR(INDEX(Data_Analitik!$B$2:$B$351,MATCH($A228,Data_Analitik!$AE$2:$AE$351,0)),""))</f>
        <v/>
      </c>
      <c r="C228" s="101" t="str">
        <f>IF(OR($A228="",$A228&gt;SUM(Data_Analitik!$AD$2:$AD$351)),"",IFERROR(INDEX(Data_Analitik!$C$2:$C$351,MATCH($A228,Data_Analitik!$AE$2:$AE$351,0)),""))</f>
        <v/>
      </c>
      <c r="D228" s="99" t="str">
        <f>IF(OR($A228="",$A228&gt;SUM(Data_Analitik!$AD$2:$AD$351)),"",IFERROR(INDEX(Data_Analitik!$D$2:$D$351,MATCH($A228,Data_Analitik!$AE$2:$AE$351,0)),""))</f>
        <v/>
      </c>
      <c r="E228" s="100" t="str">
        <f>IF(OR($A228="",$A228&gt;SUM(Data_Analitik!$AD$2:$AD$351)),"",IFERROR(INDEX(Data_Analitik!$E$2:$E$351,MATCH($A228,Data_Analitik!$AE$2:$AE$351,0)),""))</f>
        <v/>
      </c>
      <c r="F228" s="97" t="str">
        <f>IF(OR($A228="",$A228&gt;SUM(Data_Analitik!$AD$2:$AD$351)),"",IFERROR(INDEX(Data_Analitik!$Z$2:$Z$351,MATCH($A228,Data_Analitik!$AE$2:$AE$351,0)),""))</f>
        <v/>
      </c>
      <c r="G228" s="97" t="str">
        <f>IF(OR($A228="",$A228&gt;SUM(Data_Analitik!$AD$2:$AD$351)),"",IFERROR(INDEX(Data_Analitik!$AA$2:$AA$351,MATCH($A228,Data_Analitik!$AE$2:$AE$351,0)),""))</f>
        <v/>
      </c>
      <c r="H228" s="100" t="str">
        <f>IF(OR($A228="",$A228&gt;SUM(Data_Analitik!$AD$2:$AD$351)),"",IFERROR(INDEX(Data_Analitik!$U$2:$U$351,MATCH($A228,Data_Analitik!$AE$2:$AE$351,0)),""))</f>
        <v/>
      </c>
      <c r="I228" s="33" t="str">
        <f>IF(OR($A228="",$A228&gt;SUM(Data_Analitik!$AD$2:$AD$351)),"",IFERROR(INDEX(Data_Analitik!$AB$2:$AB$351,MATCH($A228,Data_Analitik!$AE$2:$AE$351,0)),""))</f>
        <v/>
      </c>
    </row>
    <row r="229" spans="1:9" ht="21.95" customHeight="1" x14ac:dyDescent="0.25">
      <c r="A229" s="32">
        <f t="shared" si="3"/>
        <v>216</v>
      </c>
      <c r="B229" s="99" t="str">
        <f>IF(OR($A229="",$A229&gt;SUM(Data_Analitik!$AD$2:$AD$351)),"",IFERROR(INDEX(Data_Analitik!$B$2:$B$351,MATCH($A229,Data_Analitik!$AE$2:$AE$351,0)),""))</f>
        <v/>
      </c>
      <c r="C229" s="101" t="str">
        <f>IF(OR($A229="",$A229&gt;SUM(Data_Analitik!$AD$2:$AD$351)),"",IFERROR(INDEX(Data_Analitik!$C$2:$C$351,MATCH($A229,Data_Analitik!$AE$2:$AE$351,0)),""))</f>
        <v/>
      </c>
      <c r="D229" s="99" t="str">
        <f>IF(OR($A229="",$A229&gt;SUM(Data_Analitik!$AD$2:$AD$351)),"",IFERROR(INDEX(Data_Analitik!$D$2:$D$351,MATCH($A229,Data_Analitik!$AE$2:$AE$351,0)),""))</f>
        <v/>
      </c>
      <c r="E229" s="100" t="str">
        <f>IF(OR($A229="",$A229&gt;SUM(Data_Analitik!$AD$2:$AD$351)),"",IFERROR(INDEX(Data_Analitik!$E$2:$E$351,MATCH($A229,Data_Analitik!$AE$2:$AE$351,0)),""))</f>
        <v/>
      </c>
      <c r="F229" s="97" t="str">
        <f>IF(OR($A229="",$A229&gt;SUM(Data_Analitik!$AD$2:$AD$351)),"",IFERROR(INDEX(Data_Analitik!$Z$2:$Z$351,MATCH($A229,Data_Analitik!$AE$2:$AE$351,0)),""))</f>
        <v/>
      </c>
      <c r="G229" s="97" t="str">
        <f>IF(OR($A229="",$A229&gt;SUM(Data_Analitik!$AD$2:$AD$351)),"",IFERROR(INDEX(Data_Analitik!$AA$2:$AA$351,MATCH($A229,Data_Analitik!$AE$2:$AE$351,0)),""))</f>
        <v/>
      </c>
      <c r="H229" s="100" t="str">
        <f>IF(OR($A229="",$A229&gt;SUM(Data_Analitik!$AD$2:$AD$351)),"",IFERROR(INDEX(Data_Analitik!$U$2:$U$351,MATCH($A229,Data_Analitik!$AE$2:$AE$351,0)),""))</f>
        <v/>
      </c>
      <c r="I229" s="33" t="str">
        <f>IF(OR($A229="",$A229&gt;SUM(Data_Analitik!$AD$2:$AD$351)),"",IFERROR(INDEX(Data_Analitik!$AB$2:$AB$351,MATCH($A229,Data_Analitik!$AE$2:$AE$351,0)),""))</f>
        <v/>
      </c>
    </row>
    <row r="230" spans="1:9" ht="21.95" customHeight="1" x14ac:dyDescent="0.25">
      <c r="A230" s="32">
        <f t="shared" si="3"/>
        <v>217</v>
      </c>
      <c r="B230" s="99" t="str">
        <f>IF(OR($A230="",$A230&gt;SUM(Data_Analitik!$AD$2:$AD$351)),"",IFERROR(INDEX(Data_Analitik!$B$2:$B$351,MATCH($A230,Data_Analitik!$AE$2:$AE$351,0)),""))</f>
        <v/>
      </c>
      <c r="C230" s="101" t="str">
        <f>IF(OR($A230="",$A230&gt;SUM(Data_Analitik!$AD$2:$AD$351)),"",IFERROR(INDEX(Data_Analitik!$C$2:$C$351,MATCH($A230,Data_Analitik!$AE$2:$AE$351,0)),""))</f>
        <v/>
      </c>
      <c r="D230" s="99" t="str">
        <f>IF(OR($A230="",$A230&gt;SUM(Data_Analitik!$AD$2:$AD$351)),"",IFERROR(INDEX(Data_Analitik!$D$2:$D$351,MATCH($A230,Data_Analitik!$AE$2:$AE$351,0)),""))</f>
        <v/>
      </c>
      <c r="E230" s="100" t="str">
        <f>IF(OR($A230="",$A230&gt;SUM(Data_Analitik!$AD$2:$AD$351)),"",IFERROR(INDEX(Data_Analitik!$E$2:$E$351,MATCH($A230,Data_Analitik!$AE$2:$AE$351,0)),""))</f>
        <v/>
      </c>
      <c r="F230" s="97" t="str">
        <f>IF(OR($A230="",$A230&gt;SUM(Data_Analitik!$AD$2:$AD$351)),"",IFERROR(INDEX(Data_Analitik!$Z$2:$Z$351,MATCH($A230,Data_Analitik!$AE$2:$AE$351,0)),""))</f>
        <v/>
      </c>
      <c r="G230" s="97" t="str">
        <f>IF(OR($A230="",$A230&gt;SUM(Data_Analitik!$AD$2:$AD$351)),"",IFERROR(INDEX(Data_Analitik!$AA$2:$AA$351,MATCH($A230,Data_Analitik!$AE$2:$AE$351,0)),""))</f>
        <v/>
      </c>
      <c r="H230" s="100" t="str">
        <f>IF(OR($A230="",$A230&gt;SUM(Data_Analitik!$AD$2:$AD$351)),"",IFERROR(INDEX(Data_Analitik!$U$2:$U$351,MATCH($A230,Data_Analitik!$AE$2:$AE$351,0)),""))</f>
        <v/>
      </c>
      <c r="I230" s="33" t="str">
        <f>IF(OR($A230="",$A230&gt;SUM(Data_Analitik!$AD$2:$AD$351)),"",IFERROR(INDEX(Data_Analitik!$AB$2:$AB$351,MATCH($A230,Data_Analitik!$AE$2:$AE$351,0)),""))</f>
        <v/>
      </c>
    </row>
    <row r="231" spans="1:9" ht="21.95" customHeight="1" x14ac:dyDescent="0.25">
      <c r="A231" s="32">
        <f t="shared" si="3"/>
        <v>218</v>
      </c>
      <c r="B231" s="99" t="str">
        <f>IF(OR($A231="",$A231&gt;SUM(Data_Analitik!$AD$2:$AD$351)),"",IFERROR(INDEX(Data_Analitik!$B$2:$B$351,MATCH($A231,Data_Analitik!$AE$2:$AE$351,0)),""))</f>
        <v/>
      </c>
      <c r="C231" s="101" t="str">
        <f>IF(OR($A231="",$A231&gt;SUM(Data_Analitik!$AD$2:$AD$351)),"",IFERROR(INDEX(Data_Analitik!$C$2:$C$351,MATCH($A231,Data_Analitik!$AE$2:$AE$351,0)),""))</f>
        <v/>
      </c>
      <c r="D231" s="99" t="str">
        <f>IF(OR($A231="",$A231&gt;SUM(Data_Analitik!$AD$2:$AD$351)),"",IFERROR(INDEX(Data_Analitik!$D$2:$D$351,MATCH($A231,Data_Analitik!$AE$2:$AE$351,0)),""))</f>
        <v/>
      </c>
      <c r="E231" s="100" t="str">
        <f>IF(OR($A231="",$A231&gt;SUM(Data_Analitik!$AD$2:$AD$351)),"",IFERROR(INDEX(Data_Analitik!$E$2:$E$351,MATCH($A231,Data_Analitik!$AE$2:$AE$351,0)),""))</f>
        <v/>
      </c>
      <c r="F231" s="97" t="str">
        <f>IF(OR($A231="",$A231&gt;SUM(Data_Analitik!$AD$2:$AD$351)),"",IFERROR(INDEX(Data_Analitik!$Z$2:$Z$351,MATCH($A231,Data_Analitik!$AE$2:$AE$351,0)),""))</f>
        <v/>
      </c>
      <c r="G231" s="97" t="str">
        <f>IF(OR($A231="",$A231&gt;SUM(Data_Analitik!$AD$2:$AD$351)),"",IFERROR(INDEX(Data_Analitik!$AA$2:$AA$351,MATCH($A231,Data_Analitik!$AE$2:$AE$351,0)),""))</f>
        <v/>
      </c>
      <c r="H231" s="100" t="str">
        <f>IF(OR($A231="",$A231&gt;SUM(Data_Analitik!$AD$2:$AD$351)),"",IFERROR(INDEX(Data_Analitik!$U$2:$U$351,MATCH($A231,Data_Analitik!$AE$2:$AE$351,0)),""))</f>
        <v/>
      </c>
      <c r="I231" s="33" t="str">
        <f>IF(OR($A231="",$A231&gt;SUM(Data_Analitik!$AD$2:$AD$351)),"",IFERROR(INDEX(Data_Analitik!$AB$2:$AB$351,MATCH($A231,Data_Analitik!$AE$2:$AE$351,0)),""))</f>
        <v/>
      </c>
    </row>
    <row r="232" spans="1:9" ht="21.95" customHeight="1" x14ac:dyDescent="0.25">
      <c r="A232" s="32">
        <f t="shared" si="3"/>
        <v>219</v>
      </c>
      <c r="B232" s="99" t="str">
        <f>IF(OR($A232="",$A232&gt;SUM(Data_Analitik!$AD$2:$AD$351)),"",IFERROR(INDEX(Data_Analitik!$B$2:$B$351,MATCH($A232,Data_Analitik!$AE$2:$AE$351,0)),""))</f>
        <v/>
      </c>
      <c r="C232" s="101" t="str">
        <f>IF(OR($A232="",$A232&gt;SUM(Data_Analitik!$AD$2:$AD$351)),"",IFERROR(INDEX(Data_Analitik!$C$2:$C$351,MATCH($A232,Data_Analitik!$AE$2:$AE$351,0)),""))</f>
        <v/>
      </c>
      <c r="D232" s="99" t="str">
        <f>IF(OR($A232="",$A232&gt;SUM(Data_Analitik!$AD$2:$AD$351)),"",IFERROR(INDEX(Data_Analitik!$D$2:$D$351,MATCH($A232,Data_Analitik!$AE$2:$AE$351,0)),""))</f>
        <v/>
      </c>
      <c r="E232" s="100" t="str">
        <f>IF(OR($A232="",$A232&gt;SUM(Data_Analitik!$AD$2:$AD$351)),"",IFERROR(INDEX(Data_Analitik!$E$2:$E$351,MATCH($A232,Data_Analitik!$AE$2:$AE$351,0)),""))</f>
        <v/>
      </c>
      <c r="F232" s="97" t="str">
        <f>IF(OR($A232="",$A232&gt;SUM(Data_Analitik!$AD$2:$AD$351)),"",IFERROR(INDEX(Data_Analitik!$Z$2:$Z$351,MATCH($A232,Data_Analitik!$AE$2:$AE$351,0)),""))</f>
        <v/>
      </c>
      <c r="G232" s="97" t="str">
        <f>IF(OR($A232="",$A232&gt;SUM(Data_Analitik!$AD$2:$AD$351)),"",IFERROR(INDEX(Data_Analitik!$AA$2:$AA$351,MATCH($A232,Data_Analitik!$AE$2:$AE$351,0)),""))</f>
        <v/>
      </c>
      <c r="H232" s="100" t="str">
        <f>IF(OR($A232="",$A232&gt;SUM(Data_Analitik!$AD$2:$AD$351)),"",IFERROR(INDEX(Data_Analitik!$U$2:$U$351,MATCH($A232,Data_Analitik!$AE$2:$AE$351,0)),""))</f>
        <v/>
      </c>
      <c r="I232" s="33" t="str">
        <f>IF(OR($A232="",$A232&gt;SUM(Data_Analitik!$AD$2:$AD$351)),"",IFERROR(INDEX(Data_Analitik!$AB$2:$AB$351,MATCH($A232,Data_Analitik!$AE$2:$AE$351,0)),""))</f>
        <v/>
      </c>
    </row>
    <row r="233" spans="1:9" ht="21.95" customHeight="1" x14ac:dyDescent="0.25">
      <c r="A233" s="32">
        <f t="shared" si="3"/>
        <v>220</v>
      </c>
      <c r="B233" s="99" t="str">
        <f>IF(OR($A233="",$A233&gt;SUM(Data_Analitik!$AD$2:$AD$351)),"",IFERROR(INDEX(Data_Analitik!$B$2:$B$351,MATCH($A233,Data_Analitik!$AE$2:$AE$351,0)),""))</f>
        <v/>
      </c>
      <c r="C233" s="101" t="str">
        <f>IF(OR($A233="",$A233&gt;SUM(Data_Analitik!$AD$2:$AD$351)),"",IFERROR(INDEX(Data_Analitik!$C$2:$C$351,MATCH($A233,Data_Analitik!$AE$2:$AE$351,0)),""))</f>
        <v/>
      </c>
      <c r="D233" s="99" t="str">
        <f>IF(OR($A233="",$A233&gt;SUM(Data_Analitik!$AD$2:$AD$351)),"",IFERROR(INDEX(Data_Analitik!$D$2:$D$351,MATCH($A233,Data_Analitik!$AE$2:$AE$351,0)),""))</f>
        <v/>
      </c>
      <c r="E233" s="100" t="str">
        <f>IF(OR($A233="",$A233&gt;SUM(Data_Analitik!$AD$2:$AD$351)),"",IFERROR(INDEX(Data_Analitik!$E$2:$E$351,MATCH($A233,Data_Analitik!$AE$2:$AE$351,0)),""))</f>
        <v/>
      </c>
      <c r="F233" s="97" t="str">
        <f>IF(OR($A233="",$A233&gt;SUM(Data_Analitik!$AD$2:$AD$351)),"",IFERROR(INDEX(Data_Analitik!$Z$2:$Z$351,MATCH($A233,Data_Analitik!$AE$2:$AE$351,0)),""))</f>
        <v/>
      </c>
      <c r="G233" s="97" t="str">
        <f>IF(OR($A233="",$A233&gt;SUM(Data_Analitik!$AD$2:$AD$351)),"",IFERROR(INDEX(Data_Analitik!$AA$2:$AA$351,MATCH($A233,Data_Analitik!$AE$2:$AE$351,0)),""))</f>
        <v/>
      </c>
      <c r="H233" s="100" t="str">
        <f>IF(OR($A233="",$A233&gt;SUM(Data_Analitik!$AD$2:$AD$351)),"",IFERROR(INDEX(Data_Analitik!$U$2:$U$351,MATCH($A233,Data_Analitik!$AE$2:$AE$351,0)),""))</f>
        <v/>
      </c>
      <c r="I233" s="33" t="str">
        <f>IF(OR($A233="",$A233&gt;SUM(Data_Analitik!$AD$2:$AD$351)),"",IFERROR(INDEX(Data_Analitik!$AB$2:$AB$351,MATCH($A233,Data_Analitik!$AE$2:$AE$351,0)),""))</f>
        <v/>
      </c>
    </row>
    <row r="234" spans="1:9" ht="21.95" customHeight="1" x14ac:dyDescent="0.25">
      <c r="A234" s="32">
        <f t="shared" si="3"/>
        <v>221</v>
      </c>
      <c r="B234" s="99" t="str">
        <f>IF(OR($A234="",$A234&gt;SUM(Data_Analitik!$AD$2:$AD$351)),"",IFERROR(INDEX(Data_Analitik!$B$2:$B$351,MATCH($A234,Data_Analitik!$AE$2:$AE$351,0)),""))</f>
        <v/>
      </c>
      <c r="C234" s="101" t="str">
        <f>IF(OR($A234="",$A234&gt;SUM(Data_Analitik!$AD$2:$AD$351)),"",IFERROR(INDEX(Data_Analitik!$C$2:$C$351,MATCH($A234,Data_Analitik!$AE$2:$AE$351,0)),""))</f>
        <v/>
      </c>
      <c r="D234" s="99" t="str">
        <f>IF(OR($A234="",$A234&gt;SUM(Data_Analitik!$AD$2:$AD$351)),"",IFERROR(INDEX(Data_Analitik!$D$2:$D$351,MATCH($A234,Data_Analitik!$AE$2:$AE$351,0)),""))</f>
        <v/>
      </c>
      <c r="E234" s="100" t="str">
        <f>IF(OR($A234="",$A234&gt;SUM(Data_Analitik!$AD$2:$AD$351)),"",IFERROR(INDEX(Data_Analitik!$E$2:$E$351,MATCH($A234,Data_Analitik!$AE$2:$AE$351,0)),""))</f>
        <v/>
      </c>
      <c r="F234" s="97" t="str">
        <f>IF(OR($A234="",$A234&gt;SUM(Data_Analitik!$AD$2:$AD$351)),"",IFERROR(INDEX(Data_Analitik!$Z$2:$Z$351,MATCH($A234,Data_Analitik!$AE$2:$AE$351,0)),""))</f>
        <v/>
      </c>
      <c r="G234" s="97" t="str">
        <f>IF(OR($A234="",$A234&gt;SUM(Data_Analitik!$AD$2:$AD$351)),"",IFERROR(INDEX(Data_Analitik!$AA$2:$AA$351,MATCH($A234,Data_Analitik!$AE$2:$AE$351,0)),""))</f>
        <v/>
      </c>
      <c r="H234" s="100" t="str">
        <f>IF(OR($A234="",$A234&gt;SUM(Data_Analitik!$AD$2:$AD$351)),"",IFERROR(INDEX(Data_Analitik!$U$2:$U$351,MATCH($A234,Data_Analitik!$AE$2:$AE$351,0)),""))</f>
        <v/>
      </c>
      <c r="I234" s="33" t="str">
        <f>IF(OR($A234="",$A234&gt;SUM(Data_Analitik!$AD$2:$AD$351)),"",IFERROR(INDEX(Data_Analitik!$AB$2:$AB$351,MATCH($A234,Data_Analitik!$AE$2:$AE$351,0)),""))</f>
        <v/>
      </c>
    </row>
    <row r="235" spans="1:9" ht="21.95" customHeight="1" x14ac:dyDescent="0.25">
      <c r="A235" s="32">
        <f t="shared" si="3"/>
        <v>222</v>
      </c>
      <c r="B235" s="99" t="str">
        <f>IF(OR($A235="",$A235&gt;SUM(Data_Analitik!$AD$2:$AD$351)),"",IFERROR(INDEX(Data_Analitik!$B$2:$B$351,MATCH($A235,Data_Analitik!$AE$2:$AE$351,0)),""))</f>
        <v/>
      </c>
      <c r="C235" s="101" t="str">
        <f>IF(OR($A235="",$A235&gt;SUM(Data_Analitik!$AD$2:$AD$351)),"",IFERROR(INDEX(Data_Analitik!$C$2:$C$351,MATCH($A235,Data_Analitik!$AE$2:$AE$351,0)),""))</f>
        <v/>
      </c>
      <c r="D235" s="99" t="str">
        <f>IF(OR($A235="",$A235&gt;SUM(Data_Analitik!$AD$2:$AD$351)),"",IFERROR(INDEX(Data_Analitik!$D$2:$D$351,MATCH($A235,Data_Analitik!$AE$2:$AE$351,0)),""))</f>
        <v/>
      </c>
      <c r="E235" s="100" t="str">
        <f>IF(OR($A235="",$A235&gt;SUM(Data_Analitik!$AD$2:$AD$351)),"",IFERROR(INDEX(Data_Analitik!$E$2:$E$351,MATCH($A235,Data_Analitik!$AE$2:$AE$351,0)),""))</f>
        <v/>
      </c>
      <c r="F235" s="97" t="str">
        <f>IF(OR($A235="",$A235&gt;SUM(Data_Analitik!$AD$2:$AD$351)),"",IFERROR(INDEX(Data_Analitik!$Z$2:$Z$351,MATCH($A235,Data_Analitik!$AE$2:$AE$351,0)),""))</f>
        <v/>
      </c>
      <c r="G235" s="97" t="str">
        <f>IF(OR($A235="",$A235&gt;SUM(Data_Analitik!$AD$2:$AD$351)),"",IFERROR(INDEX(Data_Analitik!$AA$2:$AA$351,MATCH($A235,Data_Analitik!$AE$2:$AE$351,0)),""))</f>
        <v/>
      </c>
      <c r="H235" s="100" t="str">
        <f>IF(OR($A235="",$A235&gt;SUM(Data_Analitik!$AD$2:$AD$351)),"",IFERROR(INDEX(Data_Analitik!$U$2:$U$351,MATCH($A235,Data_Analitik!$AE$2:$AE$351,0)),""))</f>
        <v/>
      </c>
      <c r="I235" s="33" t="str">
        <f>IF(OR($A235="",$A235&gt;SUM(Data_Analitik!$AD$2:$AD$351)),"",IFERROR(INDEX(Data_Analitik!$AB$2:$AB$351,MATCH($A235,Data_Analitik!$AE$2:$AE$351,0)),""))</f>
        <v/>
      </c>
    </row>
    <row r="236" spans="1:9" ht="21.95" customHeight="1" x14ac:dyDescent="0.25">
      <c r="A236" s="32">
        <f t="shared" si="3"/>
        <v>223</v>
      </c>
      <c r="B236" s="99" t="str">
        <f>IF(OR($A236="",$A236&gt;SUM(Data_Analitik!$AD$2:$AD$351)),"",IFERROR(INDEX(Data_Analitik!$B$2:$B$351,MATCH($A236,Data_Analitik!$AE$2:$AE$351,0)),""))</f>
        <v/>
      </c>
      <c r="C236" s="101" t="str">
        <f>IF(OR($A236="",$A236&gt;SUM(Data_Analitik!$AD$2:$AD$351)),"",IFERROR(INDEX(Data_Analitik!$C$2:$C$351,MATCH($A236,Data_Analitik!$AE$2:$AE$351,0)),""))</f>
        <v/>
      </c>
      <c r="D236" s="99" t="str">
        <f>IF(OR($A236="",$A236&gt;SUM(Data_Analitik!$AD$2:$AD$351)),"",IFERROR(INDEX(Data_Analitik!$D$2:$D$351,MATCH($A236,Data_Analitik!$AE$2:$AE$351,0)),""))</f>
        <v/>
      </c>
      <c r="E236" s="100" t="str">
        <f>IF(OR($A236="",$A236&gt;SUM(Data_Analitik!$AD$2:$AD$351)),"",IFERROR(INDEX(Data_Analitik!$E$2:$E$351,MATCH($A236,Data_Analitik!$AE$2:$AE$351,0)),""))</f>
        <v/>
      </c>
      <c r="F236" s="97" t="str">
        <f>IF(OR($A236="",$A236&gt;SUM(Data_Analitik!$AD$2:$AD$351)),"",IFERROR(INDEX(Data_Analitik!$Z$2:$Z$351,MATCH($A236,Data_Analitik!$AE$2:$AE$351,0)),""))</f>
        <v/>
      </c>
      <c r="G236" s="97" t="str">
        <f>IF(OR($A236="",$A236&gt;SUM(Data_Analitik!$AD$2:$AD$351)),"",IFERROR(INDEX(Data_Analitik!$AA$2:$AA$351,MATCH($A236,Data_Analitik!$AE$2:$AE$351,0)),""))</f>
        <v/>
      </c>
      <c r="H236" s="100" t="str">
        <f>IF(OR($A236="",$A236&gt;SUM(Data_Analitik!$AD$2:$AD$351)),"",IFERROR(INDEX(Data_Analitik!$U$2:$U$351,MATCH($A236,Data_Analitik!$AE$2:$AE$351,0)),""))</f>
        <v/>
      </c>
      <c r="I236" s="33" t="str">
        <f>IF(OR($A236="",$A236&gt;SUM(Data_Analitik!$AD$2:$AD$351)),"",IFERROR(INDEX(Data_Analitik!$AB$2:$AB$351,MATCH($A236,Data_Analitik!$AE$2:$AE$351,0)),""))</f>
        <v/>
      </c>
    </row>
    <row r="237" spans="1:9" ht="21.95" customHeight="1" x14ac:dyDescent="0.25">
      <c r="A237" s="32">
        <f t="shared" si="3"/>
        <v>224</v>
      </c>
      <c r="B237" s="99" t="str">
        <f>IF(OR($A237="",$A237&gt;SUM(Data_Analitik!$AD$2:$AD$351)),"",IFERROR(INDEX(Data_Analitik!$B$2:$B$351,MATCH($A237,Data_Analitik!$AE$2:$AE$351,0)),""))</f>
        <v/>
      </c>
      <c r="C237" s="101" t="str">
        <f>IF(OR($A237="",$A237&gt;SUM(Data_Analitik!$AD$2:$AD$351)),"",IFERROR(INDEX(Data_Analitik!$C$2:$C$351,MATCH($A237,Data_Analitik!$AE$2:$AE$351,0)),""))</f>
        <v/>
      </c>
      <c r="D237" s="99" t="str">
        <f>IF(OR($A237="",$A237&gt;SUM(Data_Analitik!$AD$2:$AD$351)),"",IFERROR(INDEX(Data_Analitik!$D$2:$D$351,MATCH($A237,Data_Analitik!$AE$2:$AE$351,0)),""))</f>
        <v/>
      </c>
      <c r="E237" s="100" t="str">
        <f>IF(OR($A237="",$A237&gt;SUM(Data_Analitik!$AD$2:$AD$351)),"",IFERROR(INDEX(Data_Analitik!$E$2:$E$351,MATCH($A237,Data_Analitik!$AE$2:$AE$351,0)),""))</f>
        <v/>
      </c>
      <c r="F237" s="97" t="str">
        <f>IF(OR($A237="",$A237&gt;SUM(Data_Analitik!$AD$2:$AD$351)),"",IFERROR(INDEX(Data_Analitik!$Z$2:$Z$351,MATCH($A237,Data_Analitik!$AE$2:$AE$351,0)),""))</f>
        <v/>
      </c>
      <c r="G237" s="97" t="str">
        <f>IF(OR($A237="",$A237&gt;SUM(Data_Analitik!$AD$2:$AD$351)),"",IFERROR(INDEX(Data_Analitik!$AA$2:$AA$351,MATCH($A237,Data_Analitik!$AE$2:$AE$351,0)),""))</f>
        <v/>
      </c>
      <c r="H237" s="100" t="str">
        <f>IF(OR($A237="",$A237&gt;SUM(Data_Analitik!$AD$2:$AD$351)),"",IFERROR(INDEX(Data_Analitik!$U$2:$U$351,MATCH($A237,Data_Analitik!$AE$2:$AE$351,0)),""))</f>
        <v/>
      </c>
      <c r="I237" s="33" t="str">
        <f>IF(OR($A237="",$A237&gt;SUM(Data_Analitik!$AD$2:$AD$351)),"",IFERROR(INDEX(Data_Analitik!$AB$2:$AB$351,MATCH($A237,Data_Analitik!$AE$2:$AE$351,0)),""))</f>
        <v/>
      </c>
    </row>
    <row r="238" spans="1:9" ht="21.95" customHeight="1" x14ac:dyDescent="0.25">
      <c r="A238" s="32">
        <f t="shared" si="3"/>
        <v>225</v>
      </c>
      <c r="B238" s="99" t="str">
        <f>IF(OR($A238="",$A238&gt;SUM(Data_Analitik!$AD$2:$AD$351)),"",IFERROR(INDEX(Data_Analitik!$B$2:$B$351,MATCH($A238,Data_Analitik!$AE$2:$AE$351,0)),""))</f>
        <v/>
      </c>
      <c r="C238" s="101" t="str">
        <f>IF(OR($A238="",$A238&gt;SUM(Data_Analitik!$AD$2:$AD$351)),"",IFERROR(INDEX(Data_Analitik!$C$2:$C$351,MATCH($A238,Data_Analitik!$AE$2:$AE$351,0)),""))</f>
        <v/>
      </c>
      <c r="D238" s="99" t="str">
        <f>IF(OR($A238="",$A238&gt;SUM(Data_Analitik!$AD$2:$AD$351)),"",IFERROR(INDEX(Data_Analitik!$D$2:$D$351,MATCH($A238,Data_Analitik!$AE$2:$AE$351,0)),""))</f>
        <v/>
      </c>
      <c r="E238" s="100" t="str">
        <f>IF(OR($A238="",$A238&gt;SUM(Data_Analitik!$AD$2:$AD$351)),"",IFERROR(INDEX(Data_Analitik!$E$2:$E$351,MATCH($A238,Data_Analitik!$AE$2:$AE$351,0)),""))</f>
        <v/>
      </c>
      <c r="F238" s="97" t="str">
        <f>IF(OR($A238="",$A238&gt;SUM(Data_Analitik!$AD$2:$AD$351)),"",IFERROR(INDEX(Data_Analitik!$Z$2:$Z$351,MATCH($A238,Data_Analitik!$AE$2:$AE$351,0)),""))</f>
        <v/>
      </c>
      <c r="G238" s="97" t="str">
        <f>IF(OR($A238="",$A238&gt;SUM(Data_Analitik!$AD$2:$AD$351)),"",IFERROR(INDEX(Data_Analitik!$AA$2:$AA$351,MATCH($A238,Data_Analitik!$AE$2:$AE$351,0)),""))</f>
        <v/>
      </c>
      <c r="H238" s="100" t="str">
        <f>IF(OR($A238="",$A238&gt;SUM(Data_Analitik!$AD$2:$AD$351)),"",IFERROR(INDEX(Data_Analitik!$U$2:$U$351,MATCH($A238,Data_Analitik!$AE$2:$AE$351,0)),""))</f>
        <v/>
      </c>
      <c r="I238" s="33" t="str">
        <f>IF(OR($A238="",$A238&gt;SUM(Data_Analitik!$AD$2:$AD$351)),"",IFERROR(INDEX(Data_Analitik!$AB$2:$AB$351,MATCH($A238,Data_Analitik!$AE$2:$AE$351,0)),""))</f>
        <v/>
      </c>
    </row>
    <row r="239" spans="1:9" ht="21.95" customHeight="1" x14ac:dyDescent="0.25">
      <c r="A239" s="32">
        <f t="shared" si="3"/>
        <v>226</v>
      </c>
      <c r="B239" s="99" t="str">
        <f>IF(OR($A239="",$A239&gt;SUM(Data_Analitik!$AD$2:$AD$351)),"",IFERROR(INDEX(Data_Analitik!$B$2:$B$351,MATCH($A239,Data_Analitik!$AE$2:$AE$351,0)),""))</f>
        <v/>
      </c>
      <c r="C239" s="101" t="str">
        <f>IF(OR($A239="",$A239&gt;SUM(Data_Analitik!$AD$2:$AD$351)),"",IFERROR(INDEX(Data_Analitik!$C$2:$C$351,MATCH($A239,Data_Analitik!$AE$2:$AE$351,0)),""))</f>
        <v/>
      </c>
      <c r="D239" s="99" t="str">
        <f>IF(OR($A239="",$A239&gt;SUM(Data_Analitik!$AD$2:$AD$351)),"",IFERROR(INDEX(Data_Analitik!$D$2:$D$351,MATCH($A239,Data_Analitik!$AE$2:$AE$351,0)),""))</f>
        <v/>
      </c>
      <c r="E239" s="100" t="str">
        <f>IF(OR($A239="",$A239&gt;SUM(Data_Analitik!$AD$2:$AD$351)),"",IFERROR(INDEX(Data_Analitik!$E$2:$E$351,MATCH($A239,Data_Analitik!$AE$2:$AE$351,0)),""))</f>
        <v/>
      </c>
      <c r="F239" s="97" t="str">
        <f>IF(OR($A239="",$A239&gt;SUM(Data_Analitik!$AD$2:$AD$351)),"",IFERROR(INDEX(Data_Analitik!$Z$2:$Z$351,MATCH($A239,Data_Analitik!$AE$2:$AE$351,0)),""))</f>
        <v/>
      </c>
      <c r="G239" s="97" t="str">
        <f>IF(OR($A239="",$A239&gt;SUM(Data_Analitik!$AD$2:$AD$351)),"",IFERROR(INDEX(Data_Analitik!$AA$2:$AA$351,MATCH($A239,Data_Analitik!$AE$2:$AE$351,0)),""))</f>
        <v/>
      </c>
      <c r="H239" s="100" t="str">
        <f>IF(OR($A239="",$A239&gt;SUM(Data_Analitik!$AD$2:$AD$351)),"",IFERROR(INDEX(Data_Analitik!$U$2:$U$351,MATCH($A239,Data_Analitik!$AE$2:$AE$351,0)),""))</f>
        <v/>
      </c>
      <c r="I239" s="33" t="str">
        <f>IF(OR($A239="",$A239&gt;SUM(Data_Analitik!$AD$2:$AD$351)),"",IFERROR(INDEX(Data_Analitik!$AB$2:$AB$351,MATCH($A239,Data_Analitik!$AE$2:$AE$351,0)),""))</f>
        <v/>
      </c>
    </row>
    <row r="240" spans="1:9" ht="21.95" customHeight="1" x14ac:dyDescent="0.25">
      <c r="A240" s="32">
        <f t="shared" si="3"/>
        <v>227</v>
      </c>
      <c r="B240" s="99" t="str">
        <f>IF(OR($A240="",$A240&gt;SUM(Data_Analitik!$AD$2:$AD$351)),"",IFERROR(INDEX(Data_Analitik!$B$2:$B$351,MATCH($A240,Data_Analitik!$AE$2:$AE$351,0)),""))</f>
        <v/>
      </c>
      <c r="C240" s="101" t="str">
        <f>IF(OR($A240="",$A240&gt;SUM(Data_Analitik!$AD$2:$AD$351)),"",IFERROR(INDEX(Data_Analitik!$C$2:$C$351,MATCH($A240,Data_Analitik!$AE$2:$AE$351,0)),""))</f>
        <v/>
      </c>
      <c r="D240" s="99" t="str">
        <f>IF(OR($A240="",$A240&gt;SUM(Data_Analitik!$AD$2:$AD$351)),"",IFERROR(INDEX(Data_Analitik!$D$2:$D$351,MATCH($A240,Data_Analitik!$AE$2:$AE$351,0)),""))</f>
        <v/>
      </c>
      <c r="E240" s="100" t="str">
        <f>IF(OR($A240="",$A240&gt;SUM(Data_Analitik!$AD$2:$AD$351)),"",IFERROR(INDEX(Data_Analitik!$E$2:$E$351,MATCH($A240,Data_Analitik!$AE$2:$AE$351,0)),""))</f>
        <v/>
      </c>
      <c r="F240" s="97" t="str">
        <f>IF(OR($A240="",$A240&gt;SUM(Data_Analitik!$AD$2:$AD$351)),"",IFERROR(INDEX(Data_Analitik!$Z$2:$Z$351,MATCH($A240,Data_Analitik!$AE$2:$AE$351,0)),""))</f>
        <v/>
      </c>
      <c r="G240" s="97" t="str">
        <f>IF(OR($A240="",$A240&gt;SUM(Data_Analitik!$AD$2:$AD$351)),"",IFERROR(INDEX(Data_Analitik!$AA$2:$AA$351,MATCH($A240,Data_Analitik!$AE$2:$AE$351,0)),""))</f>
        <v/>
      </c>
      <c r="H240" s="100" t="str">
        <f>IF(OR($A240="",$A240&gt;SUM(Data_Analitik!$AD$2:$AD$351)),"",IFERROR(INDEX(Data_Analitik!$U$2:$U$351,MATCH($A240,Data_Analitik!$AE$2:$AE$351,0)),""))</f>
        <v/>
      </c>
      <c r="I240" s="33" t="str">
        <f>IF(OR($A240="",$A240&gt;SUM(Data_Analitik!$AD$2:$AD$351)),"",IFERROR(INDEX(Data_Analitik!$AB$2:$AB$351,MATCH($A240,Data_Analitik!$AE$2:$AE$351,0)),""))</f>
        <v/>
      </c>
    </row>
    <row r="241" spans="1:9" ht="21.95" customHeight="1" x14ac:dyDescent="0.25">
      <c r="A241" s="32">
        <f t="shared" si="3"/>
        <v>228</v>
      </c>
      <c r="B241" s="99" t="str">
        <f>IF(OR($A241="",$A241&gt;SUM(Data_Analitik!$AD$2:$AD$351)),"",IFERROR(INDEX(Data_Analitik!$B$2:$B$351,MATCH($A241,Data_Analitik!$AE$2:$AE$351,0)),""))</f>
        <v/>
      </c>
      <c r="C241" s="101" t="str">
        <f>IF(OR($A241="",$A241&gt;SUM(Data_Analitik!$AD$2:$AD$351)),"",IFERROR(INDEX(Data_Analitik!$C$2:$C$351,MATCH($A241,Data_Analitik!$AE$2:$AE$351,0)),""))</f>
        <v/>
      </c>
      <c r="D241" s="99" t="str">
        <f>IF(OR($A241="",$A241&gt;SUM(Data_Analitik!$AD$2:$AD$351)),"",IFERROR(INDEX(Data_Analitik!$D$2:$D$351,MATCH($A241,Data_Analitik!$AE$2:$AE$351,0)),""))</f>
        <v/>
      </c>
      <c r="E241" s="100" t="str">
        <f>IF(OR($A241="",$A241&gt;SUM(Data_Analitik!$AD$2:$AD$351)),"",IFERROR(INDEX(Data_Analitik!$E$2:$E$351,MATCH($A241,Data_Analitik!$AE$2:$AE$351,0)),""))</f>
        <v/>
      </c>
      <c r="F241" s="97" t="str">
        <f>IF(OR($A241="",$A241&gt;SUM(Data_Analitik!$AD$2:$AD$351)),"",IFERROR(INDEX(Data_Analitik!$Z$2:$Z$351,MATCH($A241,Data_Analitik!$AE$2:$AE$351,0)),""))</f>
        <v/>
      </c>
      <c r="G241" s="97" t="str">
        <f>IF(OR($A241="",$A241&gt;SUM(Data_Analitik!$AD$2:$AD$351)),"",IFERROR(INDEX(Data_Analitik!$AA$2:$AA$351,MATCH($A241,Data_Analitik!$AE$2:$AE$351,0)),""))</f>
        <v/>
      </c>
      <c r="H241" s="100" t="str">
        <f>IF(OR($A241="",$A241&gt;SUM(Data_Analitik!$AD$2:$AD$351)),"",IFERROR(INDEX(Data_Analitik!$U$2:$U$351,MATCH($A241,Data_Analitik!$AE$2:$AE$351,0)),""))</f>
        <v/>
      </c>
      <c r="I241" s="33" t="str">
        <f>IF(OR($A241="",$A241&gt;SUM(Data_Analitik!$AD$2:$AD$351)),"",IFERROR(INDEX(Data_Analitik!$AB$2:$AB$351,MATCH($A241,Data_Analitik!$AE$2:$AE$351,0)),""))</f>
        <v/>
      </c>
    </row>
    <row r="242" spans="1:9" ht="21.95" customHeight="1" x14ac:dyDescent="0.25">
      <c r="A242" s="32">
        <f t="shared" si="3"/>
        <v>229</v>
      </c>
      <c r="B242" s="99" t="str">
        <f>IF(OR($A242="",$A242&gt;SUM(Data_Analitik!$AD$2:$AD$351)),"",IFERROR(INDEX(Data_Analitik!$B$2:$B$351,MATCH($A242,Data_Analitik!$AE$2:$AE$351,0)),""))</f>
        <v/>
      </c>
      <c r="C242" s="101" t="str">
        <f>IF(OR($A242="",$A242&gt;SUM(Data_Analitik!$AD$2:$AD$351)),"",IFERROR(INDEX(Data_Analitik!$C$2:$C$351,MATCH($A242,Data_Analitik!$AE$2:$AE$351,0)),""))</f>
        <v/>
      </c>
      <c r="D242" s="99" t="str">
        <f>IF(OR($A242="",$A242&gt;SUM(Data_Analitik!$AD$2:$AD$351)),"",IFERROR(INDEX(Data_Analitik!$D$2:$D$351,MATCH($A242,Data_Analitik!$AE$2:$AE$351,0)),""))</f>
        <v/>
      </c>
      <c r="E242" s="100" t="str">
        <f>IF(OR($A242="",$A242&gt;SUM(Data_Analitik!$AD$2:$AD$351)),"",IFERROR(INDEX(Data_Analitik!$E$2:$E$351,MATCH($A242,Data_Analitik!$AE$2:$AE$351,0)),""))</f>
        <v/>
      </c>
      <c r="F242" s="97" t="str">
        <f>IF(OR($A242="",$A242&gt;SUM(Data_Analitik!$AD$2:$AD$351)),"",IFERROR(INDEX(Data_Analitik!$Z$2:$Z$351,MATCH($A242,Data_Analitik!$AE$2:$AE$351,0)),""))</f>
        <v/>
      </c>
      <c r="G242" s="97" t="str">
        <f>IF(OR($A242="",$A242&gt;SUM(Data_Analitik!$AD$2:$AD$351)),"",IFERROR(INDEX(Data_Analitik!$AA$2:$AA$351,MATCH($A242,Data_Analitik!$AE$2:$AE$351,0)),""))</f>
        <v/>
      </c>
      <c r="H242" s="100" t="str">
        <f>IF(OR($A242="",$A242&gt;SUM(Data_Analitik!$AD$2:$AD$351)),"",IFERROR(INDEX(Data_Analitik!$U$2:$U$351,MATCH($A242,Data_Analitik!$AE$2:$AE$351,0)),""))</f>
        <v/>
      </c>
      <c r="I242" s="33" t="str">
        <f>IF(OR($A242="",$A242&gt;SUM(Data_Analitik!$AD$2:$AD$351)),"",IFERROR(INDEX(Data_Analitik!$AB$2:$AB$351,MATCH($A242,Data_Analitik!$AE$2:$AE$351,0)),""))</f>
        <v/>
      </c>
    </row>
    <row r="243" spans="1:9" ht="21.95" customHeight="1" x14ac:dyDescent="0.25">
      <c r="A243" s="32">
        <f t="shared" si="3"/>
        <v>230</v>
      </c>
      <c r="B243" s="99" t="str">
        <f>IF(OR($A243="",$A243&gt;SUM(Data_Analitik!$AD$2:$AD$351)),"",IFERROR(INDEX(Data_Analitik!$B$2:$B$351,MATCH($A243,Data_Analitik!$AE$2:$AE$351,0)),""))</f>
        <v/>
      </c>
      <c r="C243" s="101" t="str">
        <f>IF(OR($A243="",$A243&gt;SUM(Data_Analitik!$AD$2:$AD$351)),"",IFERROR(INDEX(Data_Analitik!$C$2:$C$351,MATCH($A243,Data_Analitik!$AE$2:$AE$351,0)),""))</f>
        <v/>
      </c>
      <c r="D243" s="99" t="str">
        <f>IF(OR($A243="",$A243&gt;SUM(Data_Analitik!$AD$2:$AD$351)),"",IFERROR(INDEX(Data_Analitik!$D$2:$D$351,MATCH($A243,Data_Analitik!$AE$2:$AE$351,0)),""))</f>
        <v/>
      </c>
      <c r="E243" s="100" t="str">
        <f>IF(OR($A243="",$A243&gt;SUM(Data_Analitik!$AD$2:$AD$351)),"",IFERROR(INDEX(Data_Analitik!$E$2:$E$351,MATCH($A243,Data_Analitik!$AE$2:$AE$351,0)),""))</f>
        <v/>
      </c>
      <c r="F243" s="97" t="str">
        <f>IF(OR($A243="",$A243&gt;SUM(Data_Analitik!$AD$2:$AD$351)),"",IFERROR(INDEX(Data_Analitik!$Z$2:$Z$351,MATCH($A243,Data_Analitik!$AE$2:$AE$351,0)),""))</f>
        <v/>
      </c>
      <c r="G243" s="97" t="str">
        <f>IF(OR($A243="",$A243&gt;SUM(Data_Analitik!$AD$2:$AD$351)),"",IFERROR(INDEX(Data_Analitik!$AA$2:$AA$351,MATCH($A243,Data_Analitik!$AE$2:$AE$351,0)),""))</f>
        <v/>
      </c>
      <c r="H243" s="100" t="str">
        <f>IF(OR($A243="",$A243&gt;SUM(Data_Analitik!$AD$2:$AD$351)),"",IFERROR(INDEX(Data_Analitik!$U$2:$U$351,MATCH($A243,Data_Analitik!$AE$2:$AE$351,0)),""))</f>
        <v/>
      </c>
      <c r="I243" s="33" t="str">
        <f>IF(OR($A243="",$A243&gt;SUM(Data_Analitik!$AD$2:$AD$351)),"",IFERROR(INDEX(Data_Analitik!$AB$2:$AB$351,MATCH($A243,Data_Analitik!$AE$2:$AE$351,0)),""))</f>
        <v/>
      </c>
    </row>
    <row r="244" spans="1:9" ht="21.95" customHeight="1" x14ac:dyDescent="0.25">
      <c r="A244" s="32">
        <f t="shared" si="3"/>
        <v>231</v>
      </c>
      <c r="B244" s="99" t="str">
        <f>IF(OR($A244="",$A244&gt;SUM(Data_Analitik!$AD$2:$AD$351)),"",IFERROR(INDEX(Data_Analitik!$B$2:$B$351,MATCH($A244,Data_Analitik!$AE$2:$AE$351,0)),""))</f>
        <v/>
      </c>
      <c r="C244" s="101" t="str">
        <f>IF(OR($A244="",$A244&gt;SUM(Data_Analitik!$AD$2:$AD$351)),"",IFERROR(INDEX(Data_Analitik!$C$2:$C$351,MATCH($A244,Data_Analitik!$AE$2:$AE$351,0)),""))</f>
        <v/>
      </c>
      <c r="D244" s="99" t="str">
        <f>IF(OR($A244="",$A244&gt;SUM(Data_Analitik!$AD$2:$AD$351)),"",IFERROR(INDEX(Data_Analitik!$D$2:$D$351,MATCH($A244,Data_Analitik!$AE$2:$AE$351,0)),""))</f>
        <v/>
      </c>
      <c r="E244" s="100" t="str">
        <f>IF(OR($A244="",$A244&gt;SUM(Data_Analitik!$AD$2:$AD$351)),"",IFERROR(INDEX(Data_Analitik!$E$2:$E$351,MATCH($A244,Data_Analitik!$AE$2:$AE$351,0)),""))</f>
        <v/>
      </c>
      <c r="F244" s="97" t="str">
        <f>IF(OR($A244="",$A244&gt;SUM(Data_Analitik!$AD$2:$AD$351)),"",IFERROR(INDEX(Data_Analitik!$Z$2:$Z$351,MATCH($A244,Data_Analitik!$AE$2:$AE$351,0)),""))</f>
        <v/>
      </c>
      <c r="G244" s="97" t="str">
        <f>IF(OR($A244="",$A244&gt;SUM(Data_Analitik!$AD$2:$AD$351)),"",IFERROR(INDEX(Data_Analitik!$AA$2:$AA$351,MATCH($A244,Data_Analitik!$AE$2:$AE$351,0)),""))</f>
        <v/>
      </c>
      <c r="H244" s="100" t="str">
        <f>IF(OR($A244="",$A244&gt;SUM(Data_Analitik!$AD$2:$AD$351)),"",IFERROR(INDEX(Data_Analitik!$U$2:$U$351,MATCH($A244,Data_Analitik!$AE$2:$AE$351,0)),""))</f>
        <v/>
      </c>
      <c r="I244" s="33" t="str">
        <f>IF(OR($A244="",$A244&gt;SUM(Data_Analitik!$AD$2:$AD$351)),"",IFERROR(INDEX(Data_Analitik!$AB$2:$AB$351,MATCH($A244,Data_Analitik!$AE$2:$AE$351,0)),""))</f>
        <v/>
      </c>
    </row>
    <row r="245" spans="1:9" ht="21.95" customHeight="1" x14ac:dyDescent="0.25">
      <c r="A245" s="32">
        <f t="shared" si="3"/>
        <v>232</v>
      </c>
      <c r="B245" s="99" t="str">
        <f>IF(OR($A245="",$A245&gt;SUM(Data_Analitik!$AD$2:$AD$351)),"",IFERROR(INDEX(Data_Analitik!$B$2:$B$351,MATCH($A245,Data_Analitik!$AE$2:$AE$351,0)),""))</f>
        <v/>
      </c>
      <c r="C245" s="101" t="str">
        <f>IF(OR($A245="",$A245&gt;SUM(Data_Analitik!$AD$2:$AD$351)),"",IFERROR(INDEX(Data_Analitik!$C$2:$C$351,MATCH($A245,Data_Analitik!$AE$2:$AE$351,0)),""))</f>
        <v/>
      </c>
      <c r="D245" s="99" t="str">
        <f>IF(OR($A245="",$A245&gt;SUM(Data_Analitik!$AD$2:$AD$351)),"",IFERROR(INDEX(Data_Analitik!$D$2:$D$351,MATCH($A245,Data_Analitik!$AE$2:$AE$351,0)),""))</f>
        <v/>
      </c>
      <c r="E245" s="100" t="str">
        <f>IF(OR($A245="",$A245&gt;SUM(Data_Analitik!$AD$2:$AD$351)),"",IFERROR(INDEX(Data_Analitik!$E$2:$E$351,MATCH($A245,Data_Analitik!$AE$2:$AE$351,0)),""))</f>
        <v/>
      </c>
      <c r="F245" s="97" t="str">
        <f>IF(OR($A245="",$A245&gt;SUM(Data_Analitik!$AD$2:$AD$351)),"",IFERROR(INDEX(Data_Analitik!$Z$2:$Z$351,MATCH($A245,Data_Analitik!$AE$2:$AE$351,0)),""))</f>
        <v/>
      </c>
      <c r="G245" s="97" t="str">
        <f>IF(OR($A245="",$A245&gt;SUM(Data_Analitik!$AD$2:$AD$351)),"",IFERROR(INDEX(Data_Analitik!$AA$2:$AA$351,MATCH($A245,Data_Analitik!$AE$2:$AE$351,0)),""))</f>
        <v/>
      </c>
      <c r="H245" s="100" t="str">
        <f>IF(OR($A245="",$A245&gt;SUM(Data_Analitik!$AD$2:$AD$351)),"",IFERROR(INDEX(Data_Analitik!$U$2:$U$351,MATCH($A245,Data_Analitik!$AE$2:$AE$351,0)),""))</f>
        <v/>
      </c>
      <c r="I245" s="33" t="str">
        <f>IF(OR($A245="",$A245&gt;SUM(Data_Analitik!$AD$2:$AD$351)),"",IFERROR(INDEX(Data_Analitik!$AB$2:$AB$351,MATCH($A245,Data_Analitik!$AE$2:$AE$351,0)),""))</f>
        <v/>
      </c>
    </row>
    <row r="246" spans="1:9" ht="21.95" customHeight="1" x14ac:dyDescent="0.25">
      <c r="A246" s="32">
        <f t="shared" si="3"/>
        <v>233</v>
      </c>
      <c r="B246" s="99" t="str">
        <f>IF(OR($A246="",$A246&gt;SUM(Data_Analitik!$AD$2:$AD$351)),"",IFERROR(INDEX(Data_Analitik!$B$2:$B$351,MATCH($A246,Data_Analitik!$AE$2:$AE$351,0)),""))</f>
        <v/>
      </c>
      <c r="C246" s="101" t="str">
        <f>IF(OR($A246="",$A246&gt;SUM(Data_Analitik!$AD$2:$AD$351)),"",IFERROR(INDEX(Data_Analitik!$C$2:$C$351,MATCH($A246,Data_Analitik!$AE$2:$AE$351,0)),""))</f>
        <v/>
      </c>
      <c r="D246" s="99" t="str">
        <f>IF(OR($A246="",$A246&gt;SUM(Data_Analitik!$AD$2:$AD$351)),"",IFERROR(INDEX(Data_Analitik!$D$2:$D$351,MATCH($A246,Data_Analitik!$AE$2:$AE$351,0)),""))</f>
        <v/>
      </c>
      <c r="E246" s="100" t="str">
        <f>IF(OR($A246="",$A246&gt;SUM(Data_Analitik!$AD$2:$AD$351)),"",IFERROR(INDEX(Data_Analitik!$E$2:$E$351,MATCH($A246,Data_Analitik!$AE$2:$AE$351,0)),""))</f>
        <v/>
      </c>
      <c r="F246" s="97" t="str">
        <f>IF(OR($A246="",$A246&gt;SUM(Data_Analitik!$AD$2:$AD$351)),"",IFERROR(INDEX(Data_Analitik!$Z$2:$Z$351,MATCH($A246,Data_Analitik!$AE$2:$AE$351,0)),""))</f>
        <v/>
      </c>
      <c r="G246" s="97" t="str">
        <f>IF(OR($A246="",$A246&gt;SUM(Data_Analitik!$AD$2:$AD$351)),"",IFERROR(INDEX(Data_Analitik!$AA$2:$AA$351,MATCH($A246,Data_Analitik!$AE$2:$AE$351,0)),""))</f>
        <v/>
      </c>
      <c r="H246" s="100" t="str">
        <f>IF(OR($A246="",$A246&gt;SUM(Data_Analitik!$AD$2:$AD$351)),"",IFERROR(INDEX(Data_Analitik!$U$2:$U$351,MATCH($A246,Data_Analitik!$AE$2:$AE$351,0)),""))</f>
        <v/>
      </c>
      <c r="I246" s="33" t="str">
        <f>IF(OR($A246="",$A246&gt;SUM(Data_Analitik!$AD$2:$AD$351)),"",IFERROR(INDEX(Data_Analitik!$AB$2:$AB$351,MATCH($A246,Data_Analitik!$AE$2:$AE$351,0)),""))</f>
        <v/>
      </c>
    </row>
    <row r="247" spans="1:9" ht="21.95" customHeight="1" x14ac:dyDescent="0.25">
      <c r="A247" s="32">
        <f t="shared" si="3"/>
        <v>234</v>
      </c>
      <c r="B247" s="99" t="str">
        <f>IF(OR($A247="",$A247&gt;SUM(Data_Analitik!$AD$2:$AD$351)),"",IFERROR(INDEX(Data_Analitik!$B$2:$B$351,MATCH($A247,Data_Analitik!$AE$2:$AE$351,0)),""))</f>
        <v/>
      </c>
      <c r="C247" s="101" t="str">
        <f>IF(OR($A247="",$A247&gt;SUM(Data_Analitik!$AD$2:$AD$351)),"",IFERROR(INDEX(Data_Analitik!$C$2:$C$351,MATCH($A247,Data_Analitik!$AE$2:$AE$351,0)),""))</f>
        <v/>
      </c>
      <c r="D247" s="99" t="str">
        <f>IF(OR($A247="",$A247&gt;SUM(Data_Analitik!$AD$2:$AD$351)),"",IFERROR(INDEX(Data_Analitik!$D$2:$D$351,MATCH($A247,Data_Analitik!$AE$2:$AE$351,0)),""))</f>
        <v/>
      </c>
      <c r="E247" s="100" t="str">
        <f>IF(OR($A247="",$A247&gt;SUM(Data_Analitik!$AD$2:$AD$351)),"",IFERROR(INDEX(Data_Analitik!$E$2:$E$351,MATCH($A247,Data_Analitik!$AE$2:$AE$351,0)),""))</f>
        <v/>
      </c>
      <c r="F247" s="97" t="str">
        <f>IF(OR($A247="",$A247&gt;SUM(Data_Analitik!$AD$2:$AD$351)),"",IFERROR(INDEX(Data_Analitik!$Z$2:$Z$351,MATCH($A247,Data_Analitik!$AE$2:$AE$351,0)),""))</f>
        <v/>
      </c>
      <c r="G247" s="97" t="str">
        <f>IF(OR($A247="",$A247&gt;SUM(Data_Analitik!$AD$2:$AD$351)),"",IFERROR(INDEX(Data_Analitik!$AA$2:$AA$351,MATCH($A247,Data_Analitik!$AE$2:$AE$351,0)),""))</f>
        <v/>
      </c>
      <c r="H247" s="100" t="str">
        <f>IF(OR($A247="",$A247&gt;SUM(Data_Analitik!$AD$2:$AD$351)),"",IFERROR(INDEX(Data_Analitik!$U$2:$U$351,MATCH($A247,Data_Analitik!$AE$2:$AE$351,0)),""))</f>
        <v/>
      </c>
      <c r="I247" s="33" t="str">
        <f>IF(OR($A247="",$A247&gt;SUM(Data_Analitik!$AD$2:$AD$351)),"",IFERROR(INDEX(Data_Analitik!$AB$2:$AB$351,MATCH($A247,Data_Analitik!$AE$2:$AE$351,0)),""))</f>
        <v/>
      </c>
    </row>
    <row r="248" spans="1:9" ht="21.95" customHeight="1" x14ac:dyDescent="0.25">
      <c r="A248" s="32">
        <f t="shared" si="3"/>
        <v>235</v>
      </c>
      <c r="B248" s="99" t="str">
        <f>IF(OR($A248="",$A248&gt;SUM(Data_Analitik!$AD$2:$AD$351)),"",IFERROR(INDEX(Data_Analitik!$B$2:$B$351,MATCH($A248,Data_Analitik!$AE$2:$AE$351,0)),""))</f>
        <v/>
      </c>
      <c r="C248" s="101" t="str">
        <f>IF(OR($A248="",$A248&gt;SUM(Data_Analitik!$AD$2:$AD$351)),"",IFERROR(INDEX(Data_Analitik!$C$2:$C$351,MATCH($A248,Data_Analitik!$AE$2:$AE$351,0)),""))</f>
        <v/>
      </c>
      <c r="D248" s="99" t="str">
        <f>IF(OR($A248="",$A248&gt;SUM(Data_Analitik!$AD$2:$AD$351)),"",IFERROR(INDEX(Data_Analitik!$D$2:$D$351,MATCH($A248,Data_Analitik!$AE$2:$AE$351,0)),""))</f>
        <v/>
      </c>
      <c r="E248" s="100" t="str">
        <f>IF(OR($A248="",$A248&gt;SUM(Data_Analitik!$AD$2:$AD$351)),"",IFERROR(INDEX(Data_Analitik!$E$2:$E$351,MATCH($A248,Data_Analitik!$AE$2:$AE$351,0)),""))</f>
        <v/>
      </c>
      <c r="F248" s="97" t="str">
        <f>IF(OR($A248="",$A248&gt;SUM(Data_Analitik!$AD$2:$AD$351)),"",IFERROR(INDEX(Data_Analitik!$Z$2:$Z$351,MATCH($A248,Data_Analitik!$AE$2:$AE$351,0)),""))</f>
        <v/>
      </c>
      <c r="G248" s="97" t="str">
        <f>IF(OR($A248="",$A248&gt;SUM(Data_Analitik!$AD$2:$AD$351)),"",IFERROR(INDEX(Data_Analitik!$AA$2:$AA$351,MATCH($A248,Data_Analitik!$AE$2:$AE$351,0)),""))</f>
        <v/>
      </c>
      <c r="H248" s="100" t="str">
        <f>IF(OR($A248="",$A248&gt;SUM(Data_Analitik!$AD$2:$AD$351)),"",IFERROR(INDEX(Data_Analitik!$U$2:$U$351,MATCH($A248,Data_Analitik!$AE$2:$AE$351,0)),""))</f>
        <v/>
      </c>
      <c r="I248" s="33" t="str">
        <f>IF(OR($A248="",$A248&gt;SUM(Data_Analitik!$AD$2:$AD$351)),"",IFERROR(INDEX(Data_Analitik!$AB$2:$AB$351,MATCH($A248,Data_Analitik!$AE$2:$AE$351,0)),""))</f>
        <v/>
      </c>
    </row>
    <row r="249" spans="1:9" ht="21.95" customHeight="1" x14ac:dyDescent="0.25">
      <c r="A249" s="32">
        <f t="shared" si="3"/>
        <v>236</v>
      </c>
      <c r="B249" s="99" t="str">
        <f>IF(OR($A249="",$A249&gt;SUM(Data_Analitik!$AD$2:$AD$351)),"",IFERROR(INDEX(Data_Analitik!$B$2:$B$351,MATCH($A249,Data_Analitik!$AE$2:$AE$351,0)),""))</f>
        <v/>
      </c>
      <c r="C249" s="101" t="str">
        <f>IF(OR($A249="",$A249&gt;SUM(Data_Analitik!$AD$2:$AD$351)),"",IFERROR(INDEX(Data_Analitik!$C$2:$C$351,MATCH($A249,Data_Analitik!$AE$2:$AE$351,0)),""))</f>
        <v/>
      </c>
      <c r="D249" s="99" t="str">
        <f>IF(OR($A249="",$A249&gt;SUM(Data_Analitik!$AD$2:$AD$351)),"",IFERROR(INDEX(Data_Analitik!$D$2:$D$351,MATCH($A249,Data_Analitik!$AE$2:$AE$351,0)),""))</f>
        <v/>
      </c>
      <c r="E249" s="100" t="str">
        <f>IF(OR($A249="",$A249&gt;SUM(Data_Analitik!$AD$2:$AD$351)),"",IFERROR(INDEX(Data_Analitik!$E$2:$E$351,MATCH($A249,Data_Analitik!$AE$2:$AE$351,0)),""))</f>
        <v/>
      </c>
      <c r="F249" s="97" t="str">
        <f>IF(OR($A249="",$A249&gt;SUM(Data_Analitik!$AD$2:$AD$351)),"",IFERROR(INDEX(Data_Analitik!$Z$2:$Z$351,MATCH($A249,Data_Analitik!$AE$2:$AE$351,0)),""))</f>
        <v/>
      </c>
      <c r="G249" s="97" t="str">
        <f>IF(OR($A249="",$A249&gt;SUM(Data_Analitik!$AD$2:$AD$351)),"",IFERROR(INDEX(Data_Analitik!$AA$2:$AA$351,MATCH($A249,Data_Analitik!$AE$2:$AE$351,0)),""))</f>
        <v/>
      </c>
      <c r="H249" s="100" t="str">
        <f>IF(OR($A249="",$A249&gt;SUM(Data_Analitik!$AD$2:$AD$351)),"",IFERROR(INDEX(Data_Analitik!$U$2:$U$351,MATCH($A249,Data_Analitik!$AE$2:$AE$351,0)),""))</f>
        <v/>
      </c>
      <c r="I249" s="33" t="str">
        <f>IF(OR($A249="",$A249&gt;SUM(Data_Analitik!$AD$2:$AD$351)),"",IFERROR(INDEX(Data_Analitik!$AB$2:$AB$351,MATCH($A249,Data_Analitik!$AE$2:$AE$351,0)),""))</f>
        <v/>
      </c>
    </row>
    <row r="250" spans="1:9" ht="21.95" customHeight="1" x14ac:dyDescent="0.25">
      <c r="A250" s="32">
        <f t="shared" si="3"/>
        <v>237</v>
      </c>
      <c r="B250" s="99" t="str">
        <f>IF(OR($A250="",$A250&gt;SUM(Data_Analitik!$AD$2:$AD$351)),"",IFERROR(INDEX(Data_Analitik!$B$2:$B$351,MATCH($A250,Data_Analitik!$AE$2:$AE$351,0)),""))</f>
        <v/>
      </c>
      <c r="C250" s="101" t="str">
        <f>IF(OR($A250="",$A250&gt;SUM(Data_Analitik!$AD$2:$AD$351)),"",IFERROR(INDEX(Data_Analitik!$C$2:$C$351,MATCH($A250,Data_Analitik!$AE$2:$AE$351,0)),""))</f>
        <v/>
      </c>
      <c r="D250" s="99" t="str">
        <f>IF(OR($A250="",$A250&gt;SUM(Data_Analitik!$AD$2:$AD$351)),"",IFERROR(INDEX(Data_Analitik!$D$2:$D$351,MATCH($A250,Data_Analitik!$AE$2:$AE$351,0)),""))</f>
        <v/>
      </c>
      <c r="E250" s="100" t="str">
        <f>IF(OR($A250="",$A250&gt;SUM(Data_Analitik!$AD$2:$AD$351)),"",IFERROR(INDEX(Data_Analitik!$E$2:$E$351,MATCH($A250,Data_Analitik!$AE$2:$AE$351,0)),""))</f>
        <v/>
      </c>
      <c r="F250" s="97" t="str">
        <f>IF(OR($A250="",$A250&gt;SUM(Data_Analitik!$AD$2:$AD$351)),"",IFERROR(INDEX(Data_Analitik!$Z$2:$Z$351,MATCH($A250,Data_Analitik!$AE$2:$AE$351,0)),""))</f>
        <v/>
      </c>
      <c r="G250" s="97" t="str">
        <f>IF(OR($A250="",$A250&gt;SUM(Data_Analitik!$AD$2:$AD$351)),"",IFERROR(INDEX(Data_Analitik!$AA$2:$AA$351,MATCH($A250,Data_Analitik!$AE$2:$AE$351,0)),""))</f>
        <v/>
      </c>
      <c r="H250" s="100" t="str">
        <f>IF(OR($A250="",$A250&gt;SUM(Data_Analitik!$AD$2:$AD$351)),"",IFERROR(INDEX(Data_Analitik!$U$2:$U$351,MATCH($A250,Data_Analitik!$AE$2:$AE$351,0)),""))</f>
        <v/>
      </c>
      <c r="I250" s="33" t="str">
        <f>IF(OR($A250="",$A250&gt;SUM(Data_Analitik!$AD$2:$AD$351)),"",IFERROR(INDEX(Data_Analitik!$AB$2:$AB$351,MATCH($A250,Data_Analitik!$AE$2:$AE$351,0)),""))</f>
        <v/>
      </c>
    </row>
    <row r="251" spans="1:9" ht="21.95" customHeight="1" x14ac:dyDescent="0.25">
      <c r="A251" s="32">
        <f t="shared" si="3"/>
        <v>238</v>
      </c>
      <c r="B251" s="99" t="str">
        <f>IF(OR($A251="",$A251&gt;SUM(Data_Analitik!$AD$2:$AD$351)),"",IFERROR(INDEX(Data_Analitik!$B$2:$B$351,MATCH($A251,Data_Analitik!$AE$2:$AE$351,0)),""))</f>
        <v/>
      </c>
      <c r="C251" s="101" t="str">
        <f>IF(OR($A251="",$A251&gt;SUM(Data_Analitik!$AD$2:$AD$351)),"",IFERROR(INDEX(Data_Analitik!$C$2:$C$351,MATCH($A251,Data_Analitik!$AE$2:$AE$351,0)),""))</f>
        <v/>
      </c>
      <c r="D251" s="99" t="str">
        <f>IF(OR($A251="",$A251&gt;SUM(Data_Analitik!$AD$2:$AD$351)),"",IFERROR(INDEX(Data_Analitik!$D$2:$D$351,MATCH($A251,Data_Analitik!$AE$2:$AE$351,0)),""))</f>
        <v/>
      </c>
      <c r="E251" s="100" t="str">
        <f>IF(OR($A251="",$A251&gt;SUM(Data_Analitik!$AD$2:$AD$351)),"",IFERROR(INDEX(Data_Analitik!$E$2:$E$351,MATCH($A251,Data_Analitik!$AE$2:$AE$351,0)),""))</f>
        <v/>
      </c>
      <c r="F251" s="97" t="str">
        <f>IF(OR($A251="",$A251&gt;SUM(Data_Analitik!$AD$2:$AD$351)),"",IFERROR(INDEX(Data_Analitik!$Z$2:$Z$351,MATCH($A251,Data_Analitik!$AE$2:$AE$351,0)),""))</f>
        <v/>
      </c>
      <c r="G251" s="97" t="str">
        <f>IF(OR($A251="",$A251&gt;SUM(Data_Analitik!$AD$2:$AD$351)),"",IFERROR(INDEX(Data_Analitik!$AA$2:$AA$351,MATCH($A251,Data_Analitik!$AE$2:$AE$351,0)),""))</f>
        <v/>
      </c>
      <c r="H251" s="100" t="str">
        <f>IF(OR($A251="",$A251&gt;SUM(Data_Analitik!$AD$2:$AD$351)),"",IFERROR(INDEX(Data_Analitik!$U$2:$U$351,MATCH($A251,Data_Analitik!$AE$2:$AE$351,0)),""))</f>
        <v/>
      </c>
      <c r="I251" s="33" t="str">
        <f>IF(OR($A251="",$A251&gt;SUM(Data_Analitik!$AD$2:$AD$351)),"",IFERROR(INDEX(Data_Analitik!$AB$2:$AB$351,MATCH($A251,Data_Analitik!$AE$2:$AE$351,0)),""))</f>
        <v/>
      </c>
    </row>
    <row r="252" spans="1:9" ht="21.95" customHeight="1" x14ac:dyDescent="0.25">
      <c r="A252" s="32">
        <f t="shared" si="3"/>
        <v>239</v>
      </c>
      <c r="B252" s="99" t="str">
        <f>IF(OR($A252="",$A252&gt;SUM(Data_Analitik!$AD$2:$AD$351)),"",IFERROR(INDEX(Data_Analitik!$B$2:$B$351,MATCH($A252,Data_Analitik!$AE$2:$AE$351,0)),""))</f>
        <v/>
      </c>
      <c r="C252" s="101" t="str">
        <f>IF(OR($A252="",$A252&gt;SUM(Data_Analitik!$AD$2:$AD$351)),"",IFERROR(INDEX(Data_Analitik!$C$2:$C$351,MATCH($A252,Data_Analitik!$AE$2:$AE$351,0)),""))</f>
        <v/>
      </c>
      <c r="D252" s="99" t="str">
        <f>IF(OR($A252="",$A252&gt;SUM(Data_Analitik!$AD$2:$AD$351)),"",IFERROR(INDEX(Data_Analitik!$D$2:$D$351,MATCH($A252,Data_Analitik!$AE$2:$AE$351,0)),""))</f>
        <v/>
      </c>
      <c r="E252" s="100" t="str">
        <f>IF(OR($A252="",$A252&gt;SUM(Data_Analitik!$AD$2:$AD$351)),"",IFERROR(INDEX(Data_Analitik!$E$2:$E$351,MATCH($A252,Data_Analitik!$AE$2:$AE$351,0)),""))</f>
        <v/>
      </c>
      <c r="F252" s="97" t="str">
        <f>IF(OR($A252="",$A252&gt;SUM(Data_Analitik!$AD$2:$AD$351)),"",IFERROR(INDEX(Data_Analitik!$Z$2:$Z$351,MATCH($A252,Data_Analitik!$AE$2:$AE$351,0)),""))</f>
        <v/>
      </c>
      <c r="G252" s="97" t="str">
        <f>IF(OR($A252="",$A252&gt;SUM(Data_Analitik!$AD$2:$AD$351)),"",IFERROR(INDEX(Data_Analitik!$AA$2:$AA$351,MATCH($A252,Data_Analitik!$AE$2:$AE$351,0)),""))</f>
        <v/>
      </c>
      <c r="H252" s="100" t="str">
        <f>IF(OR($A252="",$A252&gt;SUM(Data_Analitik!$AD$2:$AD$351)),"",IFERROR(INDEX(Data_Analitik!$U$2:$U$351,MATCH($A252,Data_Analitik!$AE$2:$AE$351,0)),""))</f>
        <v/>
      </c>
      <c r="I252" s="33" t="str">
        <f>IF(OR($A252="",$A252&gt;SUM(Data_Analitik!$AD$2:$AD$351)),"",IFERROR(INDEX(Data_Analitik!$AB$2:$AB$351,MATCH($A252,Data_Analitik!$AE$2:$AE$351,0)),""))</f>
        <v/>
      </c>
    </row>
    <row r="253" spans="1:9" ht="21.95" customHeight="1" x14ac:dyDescent="0.25">
      <c r="A253" s="32">
        <f t="shared" si="3"/>
        <v>240</v>
      </c>
      <c r="B253" s="99" t="str">
        <f>IF(OR($A253="",$A253&gt;SUM(Data_Analitik!$AD$2:$AD$351)),"",IFERROR(INDEX(Data_Analitik!$B$2:$B$351,MATCH($A253,Data_Analitik!$AE$2:$AE$351,0)),""))</f>
        <v/>
      </c>
      <c r="C253" s="101" t="str">
        <f>IF(OR($A253="",$A253&gt;SUM(Data_Analitik!$AD$2:$AD$351)),"",IFERROR(INDEX(Data_Analitik!$C$2:$C$351,MATCH($A253,Data_Analitik!$AE$2:$AE$351,0)),""))</f>
        <v/>
      </c>
      <c r="D253" s="99" t="str">
        <f>IF(OR($A253="",$A253&gt;SUM(Data_Analitik!$AD$2:$AD$351)),"",IFERROR(INDEX(Data_Analitik!$D$2:$D$351,MATCH($A253,Data_Analitik!$AE$2:$AE$351,0)),""))</f>
        <v/>
      </c>
      <c r="E253" s="100" t="str">
        <f>IF(OR($A253="",$A253&gt;SUM(Data_Analitik!$AD$2:$AD$351)),"",IFERROR(INDEX(Data_Analitik!$E$2:$E$351,MATCH($A253,Data_Analitik!$AE$2:$AE$351,0)),""))</f>
        <v/>
      </c>
      <c r="F253" s="97" t="str">
        <f>IF(OR($A253="",$A253&gt;SUM(Data_Analitik!$AD$2:$AD$351)),"",IFERROR(INDEX(Data_Analitik!$Z$2:$Z$351,MATCH($A253,Data_Analitik!$AE$2:$AE$351,0)),""))</f>
        <v/>
      </c>
      <c r="G253" s="97" t="str">
        <f>IF(OR($A253="",$A253&gt;SUM(Data_Analitik!$AD$2:$AD$351)),"",IFERROR(INDEX(Data_Analitik!$AA$2:$AA$351,MATCH($A253,Data_Analitik!$AE$2:$AE$351,0)),""))</f>
        <v/>
      </c>
      <c r="H253" s="100" t="str">
        <f>IF(OR($A253="",$A253&gt;SUM(Data_Analitik!$AD$2:$AD$351)),"",IFERROR(INDEX(Data_Analitik!$U$2:$U$351,MATCH($A253,Data_Analitik!$AE$2:$AE$351,0)),""))</f>
        <v/>
      </c>
      <c r="I253" s="33" t="str">
        <f>IF(OR($A253="",$A253&gt;SUM(Data_Analitik!$AD$2:$AD$351)),"",IFERROR(INDEX(Data_Analitik!$AB$2:$AB$351,MATCH($A253,Data_Analitik!$AE$2:$AE$351,0)),""))</f>
        <v/>
      </c>
    </row>
    <row r="254" spans="1:9" ht="21.95" customHeight="1" x14ac:dyDescent="0.25">
      <c r="A254" s="32">
        <f t="shared" si="3"/>
        <v>241</v>
      </c>
      <c r="B254" s="99" t="str">
        <f>IF(OR($A254="",$A254&gt;SUM(Data_Analitik!$AD$2:$AD$351)),"",IFERROR(INDEX(Data_Analitik!$B$2:$B$351,MATCH($A254,Data_Analitik!$AE$2:$AE$351,0)),""))</f>
        <v/>
      </c>
      <c r="C254" s="101" t="str">
        <f>IF(OR($A254="",$A254&gt;SUM(Data_Analitik!$AD$2:$AD$351)),"",IFERROR(INDEX(Data_Analitik!$C$2:$C$351,MATCH($A254,Data_Analitik!$AE$2:$AE$351,0)),""))</f>
        <v/>
      </c>
      <c r="D254" s="99" t="str">
        <f>IF(OR($A254="",$A254&gt;SUM(Data_Analitik!$AD$2:$AD$351)),"",IFERROR(INDEX(Data_Analitik!$D$2:$D$351,MATCH($A254,Data_Analitik!$AE$2:$AE$351,0)),""))</f>
        <v/>
      </c>
      <c r="E254" s="100" t="str">
        <f>IF(OR($A254="",$A254&gt;SUM(Data_Analitik!$AD$2:$AD$351)),"",IFERROR(INDEX(Data_Analitik!$E$2:$E$351,MATCH($A254,Data_Analitik!$AE$2:$AE$351,0)),""))</f>
        <v/>
      </c>
      <c r="F254" s="97" t="str">
        <f>IF(OR($A254="",$A254&gt;SUM(Data_Analitik!$AD$2:$AD$351)),"",IFERROR(INDEX(Data_Analitik!$Z$2:$Z$351,MATCH($A254,Data_Analitik!$AE$2:$AE$351,0)),""))</f>
        <v/>
      </c>
      <c r="G254" s="97" t="str">
        <f>IF(OR($A254="",$A254&gt;SUM(Data_Analitik!$AD$2:$AD$351)),"",IFERROR(INDEX(Data_Analitik!$AA$2:$AA$351,MATCH($A254,Data_Analitik!$AE$2:$AE$351,0)),""))</f>
        <v/>
      </c>
      <c r="H254" s="100" t="str">
        <f>IF(OR($A254="",$A254&gt;SUM(Data_Analitik!$AD$2:$AD$351)),"",IFERROR(INDEX(Data_Analitik!$U$2:$U$351,MATCH($A254,Data_Analitik!$AE$2:$AE$351,0)),""))</f>
        <v/>
      </c>
      <c r="I254" s="33" t="str">
        <f>IF(OR($A254="",$A254&gt;SUM(Data_Analitik!$AD$2:$AD$351)),"",IFERROR(INDEX(Data_Analitik!$AB$2:$AB$351,MATCH($A254,Data_Analitik!$AE$2:$AE$351,0)),""))</f>
        <v/>
      </c>
    </row>
    <row r="255" spans="1:9" ht="21.95" customHeight="1" x14ac:dyDescent="0.25">
      <c r="A255" s="32">
        <f t="shared" si="3"/>
        <v>242</v>
      </c>
      <c r="B255" s="99" t="str">
        <f>IF(OR($A255="",$A255&gt;SUM(Data_Analitik!$AD$2:$AD$351)),"",IFERROR(INDEX(Data_Analitik!$B$2:$B$351,MATCH($A255,Data_Analitik!$AE$2:$AE$351,0)),""))</f>
        <v/>
      </c>
      <c r="C255" s="101" t="str">
        <f>IF(OR($A255="",$A255&gt;SUM(Data_Analitik!$AD$2:$AD$351)),"",IFERROR(INDEX(Data_Analitik!$C$2:$C$351,MATCH($A255,Data_Analitik!$AE$2:$AE$351,0)),""))</f>
        <v/>
      </c>
      <c r="D255" s="99" t="str">
        <f>IF(OR($A255="",$A255&gt;SUM(Data_Analitik!$AD$2:$AD$351)),"",IFERROR(INDEX(Data_Analitik!$D$2:$D$351,MATCH($A255,Data_Analitik!$AE$2:$AE$351,0)),""))</f>
        <v/>
      </c>
      <c r="E255" s="100" t="str">
        <f>IF(OR($A255="",$A255&gt;SUM(Data_Analitik!$AD$2:$AD$351)),"",IFERROR(INDEX(Data_Analitik!$E$2:$E$351,MATCH($A255,Data_Analitik!$AE$2:$AE$351,0)),""))</f>
        <v/>
      </c>
      <c r="F255" s="97" t="str">
        <f>IF(OR($A255="",$A255&gt;SUM(Data_Analitik!$AD$2:$AD$351)),"",IFERROR(INDEX(Data_Analitik!$Z$2:$Z$351,MATCH($A255,Data_Analitik!$AE$2:$AE$351,0)),""))</f>
        <v/>
      </c>
      <c r="G255" s="97" t="str">
        <f>IF(OR($A255="",$A255&gt;SUM(Data_Analitik!$AD$2:$AD$351)),"",IFERROR(INDEX(Data_Analitik!$AA$2:$AA$351,MATCH($A255,Data_Analitik!$AE$2:$AE$351,0)),""))</f>
        <v/>
      </c>
      <c r="H255" s="100" t="str">
        <f>IF(OR($A255="",$A255&gt;SUM(Data_Analitik!$AD$2:$AD$351)),"",IFERROR(INDEX(Data_Analitik!$U$2:$U$351,MATCH($A255,Data_Analitik!$AE$2:$AE$351,0)),""))</f>
        <v/>
      </c>
      <c r="I255" s="33" t="str">
        <f>IF(OR($A255="",$A255&gt;SUM(Data_Analitik!$AD$2:$AD$351)),"",IFERROR(INDEX(Data_Analitik!$AB$2:$AB$351,MATCH($A255,Data_Analitik!$AE$2:$AE$351,0)),""))</f>
        <v/>
      </c>
    </row>
    <row r="256" spans="1:9" ht="21.95" customHeight="1" x14ac:dyDescent="0.25">
      <c r="A256" s="32">
        <f t="shared" si="3"/>
        <v>243</v>
      </c>
      <c r="B256" s="99" t="str">
        <f>IF(OR($A256="",$A256&gt;SUM(Data_Analitik!$AD$2:$AD$351)),"",IFERROR(INDEX(Data_Analitik!$B$2:$B$351,MATCH($A256,Data_Analitik!$AE$2:$AE$351,0)),""))</f>
        <v/>
      </c>
      <c r="C256" s="101" t="str">
        <f>IF(OR($A256="",$A256&gt;SUM(Data_Analitik!$AD$2:$AD$351)),"",IFERROR(INDEX(Data_Analitik!$C$2:$C$351,MATCH($A256,Data_Analitik!$AE$2:$AE$351,0)),""))</f>
        <v/>
      </c>
      <c r="D256" s="99" t="str">
        <f>IF(OR($A256="",$A256&gt;SUM(Data_Analitik!$AD$2:$AD$351)),"",IFERROR(INDEX(Data_Analitik!$D$2:$D$351,MATCH($A256,Data_Analitik!$AE$2:$AE$351,0)),""))</f>
        <v/>
      </c>
      <c r="E256" s="100" t="str">
        <f>IF(OR($A256="",$A256&gt;SUM(Data_Analitik!$AD$2:$AD$351)),"",IFERROR(INDEX(Data_Analitik!$E$2:$E$351,MATCH($A256,Data_Analitik!$AE$2:$AE$351,0)),""))</f>
        <v/>
      </c>
      <c r="F256" s="97" t="str">
        <f>IF(OR($A256="",$A256&gt;SUM(Data_Analitik!$AD$2:$AD$351)),"",IFERROR(INDEX(Data_Analitik!$Z$2:$Z$351,MATCH($A256,Data_Analitik!$AE$2:$AE$351,0)),""))</f>
        <v/>
      </c>
      <c r="G256" s="97" t="str">
        <f>IF(OR($A256="",$A256&gt;SUM(Data_Analitik!$AD$2:$AD$351)),"",IFERROR(INDEX(Data_Analitik!$AA$2:$AA$351,MATCH($A256,Data_Analitik!$AE$2:$AE$351,0)),""))</f>
        <v/>
      </c>
      <c r="H256" s="100" t="str">
        <f>IF(OR($A256="",$A256&gt;SUM(Data_Analitik!$AD$2:$AD$351)),"",IFERROR(INDEX(Data_Analitik!$U$2:$U$351,MATCH($A256,Data_Analitik!$AE$2:$AE$351,0)),""))</f>
        <v/>
      </c>
      <c r="I256" s="33" t="str">
        <f>IF(OR($A256="",$A256&gt;SUM(Data_Analitik!$AD$2:$AD$351)),"",IFERROR(INDEX(Data_Analitik!$AB$2:$AB$351,MATCH($A256,Data_Analitik!$AE$2:$AE$351,0)),""))</f>
        <v/>
      </c>
    </row>
    <row r="257" spans="1:9" ht="21.95" customHeight="1" x14ac:dyDescent="0.25">
      <c r="A257" s="32">
        <f t="shared" si="3"/>
        <v>244</v>
      </c>
      <c r="B257" s="99" t="str">
        <f>IF(OR($A257="",$A257&gt;SUM(Data_Analitik!$AD$2:$AD$351)),"",IFERROR(INDEX(Data_Analitik!$B$2:$B$351,MATCH($A257,Data_Analitik!$AE$2:$AE$351,0)),""))</f>
        <v/>
      </c>
      <c r="C257" s="101" t="str">
        <f>IF(OR($A257="",$A257&gt;SUM(Data_Analitik!$AD$2:$AD$351)),"",IFERROR(INDEX(Data_Analitik!$C$2:$C$351,MATCH($A257,Data_Analitik!$AE$2:$AE$351,0)),""))</f>
        <v/>
      </c>
      <c r="D257" s="99" t="str">
        <f>IF(OR($A257="",$A257&gt;SUM(Data_Analitik!$AD$2:$AD$351)),"",IFERROR(INDEX(Data_Analitik!$D$2:$D$351,MATCH($A257,Data_Analitik!$AE$2:$AE$351,0)),""))</f>
        <v/>
      </c>
      <c r="E257" s="100" t="str">
        <f>IF(OR($A257="",$A257&gt;SUM(Data_Analitik!$AD$2:$AD$351)),"",IFERROR(INDEX(Data_Analitik!$E$2:$E$351,MATCH($A257,Data_Analitik!$AE$2:$AE$351,0)),""))</f>
        <v/>
      </c>
      <c r="F257" s="97" t="str">
        <f>IF(OR($A257="",$A257&gt;SUM(Data_Analitik!$AD$2:$AD$351)),"",IFERROR(INDEX(Data_Analitik!$Z$2:$Z$351,MATCH($A257,Data_Analitik!$AE$2:$AE$351,0)),""))</f>
        <v/>
      </c>
      <c r="G257" s="97" t="str">
        <f>IF(OR($A257="",$A257&gt;SUM(Data_Analitik!$AD$2:$AD$351)),"",IFERROR(INDEX(Data_Analitik!$AA$2:$AA$351,MATCH($A257,Data_Analitik!$AE$2:$AE$351,0)),""))</f>
        <v/>
      </c>
      <c r="H257" s="100" t="str">
        <f>IF(OR($A257="",$A257&gt;SUM(Data_Analitik!$AD$2:$AD$351)),"",IFERROR(INDEX(Data_Analitik!$U$2:$U$351,MATCH($A257,Data_Analitik!$AE$2:$AE$351,0)),""))</f>
        <v/>
      </c>
      <c r="I257" s="33" t="str">
        <f>IF(OR($A257="",$A257&gt;SUM(Data_Analitik!$AD$2:$AD$351)),"",IFERROR(INDEX(Data_Analitik!$AB$2:$AB$351,MATCH($A257,Data_Analitik!$AE$2:$AE$351,0)),""))</f>
        <v/>
      </c>
    </row>
    <row r="258" spans="1:9" ht="21.95" customHeight="1" x14ac:dyDescent="0.25">
      <c r="A258" s="32">
        <f t="shared" si="3"/>
        <v>245</v>
      </c>
      <c r="B258" s="99" t="str">
        <f>IF(OR($A258="",$A258&gt;SUM(Data_Analitik!$AD$2:$AD$351)),"",IFERROR(INDEX(Data_Analitik!$B$2:$B$351,MATCH($A258,Data_Analitik!$AE$2:$AE$351,0)),""))</f>
        <v/>
      </c>
      <c r="C258" s="101" t="str">
        <f>IF(OR($A258="",$A258&gt;SUM(Data_Analitik!$AD$2:$AD$351)),"",IFERROR(INDEX(Data_Analitik!$C$2:$C$351,MATCH($A258,Data_Analitik!$AE$2:$AE$351,0)),""))</f>
        <v/>
      </c>
      <c r="D258" s="99" t="str">
        <f>IF(OR($A258="",$A258&gt;SUM(Data_Analitik!$AD$2:$AD$351)),"",IFERROR(INDEX(Data_Analitik!$D$2:$D$351,MATCH($A258,Data_Analitik!$AE$2:$AE$351,0)),""))</f>
        <v/>
      </c>
      <c r="E258" s="100" t="str">
        <f>IF(OR($A258="",$A258&gt;SUM(Data_Analitik!$AD$2:$AD$351)),"",IFERROR(INDEX(Data_Analitik!$E$2:$E$351,MATCH($A258,Data_Analitik!$AE$2:$AE$351,0)),""))</f>
        <v/>
      </c>
      <c r="F258" s="97" t="str">
        <f>IF(OR($A258="",$A258&gt;SUM(Data_Analitik!$AD$2:$AD$351)),"",IFERROR(INDEX(Data_Analitik!$Z$2:$Z$351,MATCH($A258,Data_Analitik!$AE$2:$AE$351,0)),""))</f>
        <v/>
      </c>
      <c r="G258" s="97" t="str">
        <f>IF(OR($A258="",$A258&gt;SUM(Data_Analitik!$AD$2:$AD$351)),"",IFERROR(INDEX(Data_Analitik!$AA$2:$AA$351,MATCH($A258,Data_Analitik!$AE$2:$AE$351,0)),""))</f>
        <v/>
      </c>
      <c r="H258" s="100" t="str">
        <f>IF(OR($A258="",$A258&gt;SUM(Data_Analitik!$AD$2:$AD$351)),"",IFERROR(INDEX(Data_Analitik!$U$2:$U$351,MATCH($A258,Data_Analitik!$AE$2:$AE$351,0)),""))</f>
        <v/>
      </c>
      <c r="I258" s="33" t="str">
        <f>IF(OR($A258="",$A258&gt;SUM(Data_Analitik!$AD$2:$AD$351)),"",IFERROR(INDEX(Data_Analitik!$AB$2:$AB$351,MATCH($A258,Data_Analitik!$AE$2:$AE$351,0)),""))</f>
        <v/>
      </c>
    </row>
    <row r="259" spans="1:9" ht="21.95" customHeight="1" x14ac:dyDescent="0.25">
      <c r="A259" s="32">
        <f t="shared" si="3"/>
        <v>246</v>
      </c>
      <c r="B259" s="99" t="str">
        <f>IF(OR($A259="",$A259&gt;SUM(Data_Analitik!$AD$2:$AD$351)),"",IFERROR(INDEX(Data_Analitik!$B$2:$B$351,MATCH($A259,Data_Analitik!$AE$2:$AE$351,0)),""))</f>
        <v/>
      </c>
      <c r="C259" s="101" t="str">
        <f>IF(OR($A259="",$A259&gt;SUM(Data_Analitik!$AD$2:$AD$351)),"",IFERROR(INDEX(Data_Analitik!$C$2:$C$351,MATCH($A259,Data_Analitik!$AE$2:$AE$351,0)),""))</f>
        <v/>
      </c>
      <c r="D259" s="99" t="str">
        <f>IF(OR($A259="",$A259&gt;SUM(Data_Analitik!$AD$2:$AD$351)),"",IFERROR(INDEX(Data_Analitik!$D$2:$D$351,MATCH($A259,Data_Analitik!$AE$2:$AE$351,0)),""))</f>
        <v/>
      </c>
      <c r="E259" s="100" t="str">
        <f>IF(OR($A259="",$A259&gt;SUM(Data_Analitik!$AD$2:$AD$351)),"",IFERROR(INDEX(Data_Analitik!$E$2:$E$351,MATCH($A259,Data_Analitik!$AE$2:$AE$351,0)),""))</f>
        <v/>
      </c>
      <c r="F259" s="97" t="str">
        <f>IF(OR($A259="",$A259&gt;SUM(Data_Analitik!$AD$2:$AD$351)),"",IFERROR(INDEX(Data_Analitik!$Z$2:$Z$351,MATCH($A259,Data_Analitik!$AE$2:$AE$351,0)),""))</f>
        <v/>
      </c>
      <c r="G259" s="97" t="str">
        <f>IF(OR($A259="",$A259&gt;SUM(Data_Analitik!$AD$2:$AD$351)),"",IFERROR(INDEX(Data_Analitik!$AA$2:$AA$351,MATCH($A259,Data_Analitik!$AE$2:$AE$351,0)),""))</f>
        <v/>
      </c>
      <c r="H259" s="100" t="str">
        <f>IF(OR($A259="",$A259&gt;SUM(Data_Analitik!$AD$2:$AD$351)),"",IFERROR(INDEX(Data_Analitik!$U$2:$U$351,MATCH($A259,Data_Analitik!$AE$2:$AE$351,0)),""))</f>
        <v/>
      </c>
      <c r="I259" s="33" t="str">
        <f>IF(OR($A259="",$A259&gt;SUM(Data_Analitik!$AD$2:$AD$351)),"",IFERROR(INDEX(Data_Analitik!$AB$2:$AB$351,MATCH($A259,Data_Analitik!$AE$2:$AE$351,0)),""))</f>
        <v/>
      </c>
    </row>
    <row r="260" spans="1:9" ht="21.95" customHeight="1" x14ac:dyDescent="0.25">
      <c r="A260" s="32">
        <f t="shared" si="3"/>
        <v>247</v>
      </c>
      <c r="B260" s="99" t="str">
        <f>IF(OR($A260="",$A260&gt;SUM(Data_Analitik!$AD$2:$AD$351)),"",IFERROR(INDEX(Data_Analitik!$B$2:$B$351,MATCH($A260,Data_Analitik!$AE$2:$AE$351,0)),""))</f>
        <v/>
      </c>
      <c r="C260" s="101" t="str">
        <f>IF(OR($A260="",$A260&gt;SUM(Data_Analitik!$AD$2:$AD$351)),"",IFERROR(INDEX(Data_Analitik!$C$2:$C$351,MATCH($A260,Data_Analitik!$AE$2:$AE$351,0)),""))</f>
        <v/>
      </c>
      <c r="D260" s="99" t="str">
        <f>IF(OR($A260="",$A260&gt;SUM(Data_Analitik!$AD$2:$AD$351)),"",IFERROR(INDEX(Data_Analitik!$D$2:$D$351,MATCH($A260,Data_Analitik!$AE$2:$AE$351,0)),""))</f>
        <v/>
      </c>
      <c r="E260" s="100" t="str">
        <f>IF(OR($A260="",$A260&gt;SUM(Data_Analitik!$AD$2:$AD$351)),"",IFERROR(INDEX(Data_Analitik!$E$2:$E$351,MATCH($A260,Data_Analitik!$AE$2:$AE$351,0)),""))</f>
        <v/>
      </c>
      <c r="F260" s="97" t="str">
        <f>IF(OR($A260="",$A260&gt;SUM(Data_Analitik!$AD$2:$AD$351)),"",IFERROR(INDEX(Data_Analitik!$Z$2:$Z$351,MATCH($A260,Data_Analitik!$AE$2:$AE$351,0)),""))</f>
        <v/>
      </c>
      <c r="G260" s="97" t="str">
        <f>IF(OR($A260="",$A260&gt;SUM(Data_Analitik!$AD$2:$AD$351)),"",IFERROR(INDEX(Data_Analitik!$AA$2:$AA$351,MATCH($A260,Data_Analitik!$AE$2:$AE$351,0)),""))</f>
        <v/>
      </c>
      <c r="H260" s="100" t="str">
        <f>IF(OR($A260="",$A260&gt;SUM(Data_Analitik!$AD$2:$AD$351)),"",IFERROR(INDEX(Data_Analitik!$U$2:$U$351,MATCH($A260,Data_Analitik!$AE$2:$AE$351,0)),""))</f>
        <v/>
      </c>
      <c r="I260" s="33" t="str">
        <f>IF(OR($A260="",$A260&gt;SUM(Data_Analitik!$AD$2:$AD$351)),"",IFERROR(INDEX(Data_Analitik!$AB$2:$AB$351,MATCH($A260,Data_Analitik!$AE$2:$AE$351,0)),""))</f>
        <v/>
      </c>
    </row>
    <row r="261" spans="1:9" ht="21.95" customHeight="1" x14ac:dyDescent="0.25">
      <c r="A261" s="32">
        <f t="shared" si="3"/>
        <v>248</v>
      </c>
      <c r="B261" s="99" t="str">
        <f>IF(OR($A261="",$A261&gt;SUM(Data_Analitik!$AD$2:$AD$351)),"",IFERROR(INDEX(Data_Analitik!$B$2:$B$351,MATCH($A261,Data_Analitik!$AE$2:$AE$351,0)),""))</f>
        <v/>
      </c>
      <c r="C261" s="101" t="str">
        <f>IF(OR($A261="",$A261&gt;SUM(Data_Analitik!$AD$2:$AD$351)),"",IFERROR(INDEX(Data_Analitik!$C$2:$C$351,MATCH($A261,Data_Analitik!$AE$2:$AE$351,0)),""))</f>
        <v/>
      </c>
      <c r="D261" s="99" t="str">
        <f>IF(OR($A261="",$A261&gt;SUM(Data_Analitik!$AD$2:$AD$351)),"",IFERROR(INDEX(Data_Analitik!$D$2:$D$351,MATCH($A261,Data_Analitik!$AE$2:$AE$351,0)),""))</f>
        <v/>
      </c>
      <c r="E261" s="100" t="str">
        <f>IF(OR($A261="",$A261&gt;SUM(Data_Analitik!$AD$2:$AD$351)),"",IFERROR(INDEX(Data_Analitik!$E$2:$E$351,MATCH($A261,Data_Analitik!$AE$2:$AE$351,0)),""))</f>
        <v/>
      </c>
      <c r="F261" s="97" t="str">
        <f>IF(OR($A261="",$A261&gt;SUM(Data_Analitik!$AD$2:$AD$351)),"",IFERROR(INDEX(Data_Analitik!$Z$2:$Z$351,MATCH($A261,Data_Analitik!$AE$2:$AE$351,0)),""))</f>
        <v/>
      </c>
      <c r="G261" s="97" t="str">
        <f>IF(OR($A261="",$A261&gt;SUM(Data_Analitik!$AD$2:$AD$351)),"",IFERROR(INDEX(Data_Analitik!$AA$2:$AA$351,MATCH($A261,Data_Analitik!$AE$2:$AE$351,0)),""))</f>
        <v/>
      </c>
      <c r="H261" s="100" t="str">
        <f>IF(OR($A261="",$A261&gt;SUM(Data_Analitik!$AD$2:$AD$351)),"",IFERROR(INDEX(Data_Analitik!$U$2:$U$351,MATCH($A261,Data_Analitik!$AE$2:$AE$351,0)),""))</f>
        <v/>
      </c>
      <c r="I261" s="33" t="str">
        <f>IF(OR($A261="",$A261&gt;SUM(Data_Analitik!$AD$2:$AD$351)),"",IFERROR(INDEX(Data_Analitik!$AB$2:$AB$351,MATCH($A261,Data_Analitik!$AE$2:$AE$351,0)),""))</f>
        <v/>
      </c>
    </row>
    <row r="262" spans="1:9" ht="21.95" customHeight="1" x14ac:dyDescent="0.25">
      <c r="A262" s="32">
        <f t="shared" si="3"/>
        <v>249</v>
      </c>
      <c r="B262" s="99" t="str">
        <f>IF(OR($A262="",$A262&gt;SUM(Data_Analitik!$AD$2:$AD$351)),"",IFERROR(INDEX(Data_Analitik!$B$2:$B$351,MATCH($A262,Data_Analitik!$AE$2:$AE$351,0)),""))</f>
        <v/>
      </c>
      <c r="C262" s="101" t="str">
        <f>IF(OR($A262="",$A262&gt;SUM(Data_Analitik!$AD$2:$AD$351)),"",IFERROR(INDEX(Data_Analitik!$C$2:$C$351,MATCH($A262,Data_Analitik!$AE$2:$AE$351,0)),""))</f>
        <v/>
      </c>
      <c r="D262" s="99" t="str">
        <f>IF(OR($A262="",$A262&gt;SUM(Data_Analitik!$AD$2:$AD$351)),"",IFERROR(INDEX(Data_Analitik!$D$2:$D$351,MATCH($A262,Data_Analitik!$AE$2:$AE$351,0)),""))</f>
        <v/>
      </c>
      <c r="E262" s="100" t="str">
        <f>IF(OR($A262="",$A262&gt;SUM(Data_Analitik!$AD$2:$AD$351)),"",IFERROR(INDEX(Data_Analitik!$E$2:$E$351,MATCH($A262,Data_Analitik!$AE$2:$AE$351,0)),""))</f>
        <v/>
      </c>
      <c r="F262" s="97" t="str">
        <f>IF(OR($A262="",$A262&gt;SUM(Data_Analitik!$AD$2:$AD$351)),"",IFERROR(INDEX(Data_Analitik!$Z$2:$Z$351,MATCH($A262,Data_Analitik!$AE$2:$AE$351,0)),""))</f>
        <v/>
      </c>
      <c r="G262" s="97" t="str">
        <f>IF(OR($A262="",$A262&gt;SUM(Data_Analitik!$AD$2:$AD$351)),"",IFERROR(INDEX(Data_Analitik!$AA$2:$AA$351,MATCH($A262,Data_Analitik!$AE$2:$AE$351,0)),""))</f>
        <v/>
      </c>
      <c r="H262" s="100" t="str">
        <f>IF(OR($A262="",$A262&gt;SUM(Data_Analitik!$AD$2:$AD$351)),"",IFERROR(INDEX(Data_Analitik!$U$2:$U$351,MATCH($A262,Data_Analitik!$AE$2:$AE$351,0)),""))</f>
        <v/>
      </c>
      <c r="I262" s="33" t="str">
        <f>IF(OR($A262="",$A262&gt;SUM(Data_Analitik!$AD$2:$AD$351)),"",IFERROR(INDEX(Data_Analitik!$AB$2:$AB$351,MATCH($A262,Data_Analitik!$AE$2:$AE$351,0)),""))</f>
        <v/>
      </c>
    </row>
    <row r="263" spans="1:9" ht="21.95" customHeight="1" x14ac:dyDescent="0.25">
      <c r="A263" s="32">
        <f t="shared" si="3"/>
        <v>250</v>
      </c>
      <c r="B263" s="99" t="str">
        <f>IF(OR($A263="",$A263&gt;SUM(Data_Analitik!$AD$2:$AD$351)),"",IFERROR(INDEX(Data_Analitik!$B$2:$B$351,MATCH($A263,Data_Analitik!$AE$2:$AE$351,0)),""))</f>
        <v/>
      </c>
      <c r="C263" s="101" t="str">
        <f>IF(OR($A263="",$A263&gt;SUM(Data_Analitik!$AD$2:$AD$351)),"",IFERROR(INDEX(Data_Analitik!$C$2:$C$351,MATCH($A263,Data_Analitik!$AE$2:$AE$351,0)),""))</f>
        <v/>
      </c>
      <c r="D263" s="99" t="str">
        <f>IF(OR($A263="",$A263&gt;SUM(Data_Analitik!$AD$2:$AD$351)),"",IFERROR(INDEX(Data_Analitik!$D$2:$D$351,MATCH($A263,Data_Analitik!$AE$2:$AE$351,0)),""))</f>
        <v/>
      </c>
      <c r="E263" s="100" t="str">
        <f>IF(OR($A263="",$A263&gt;SUM(Data_Analitik!$AD$2:$AD$351)),"",IFERROR(INDEX(Data_Analitik!$E$2:$E$351,MATCH($A263,Data_Analitik!$AE$2:$AE$351,0)),""))</f>
        <v/>
      </c>
      <c r="F263" s="97" t="str">
        <f>IF(OR($A263="",$A263&gt;SUM(Data_Analitik!$AD$2:$AD$351)),"",IFERROR(INDEX(Data_Analitik!$Z$2:$Z$351,MATCH($A263,Data_Analitik!$AE$2:$AE$351,0)),""))</f>
        <v/>
      </c>
      <c r="G263" s="97" t="str">
        <f>IF(OR($A263="",$A263&gt;SUM(Data_Analitik!$AD$2:$AD$351)),"",IFERROR(INDEX(Data_Analitik!$AA$2:$AA$351,MATCH($A263,Data_Analitik!$AE$2:$AE$351,0)),""))</f>
        <v/>
      </c>
      <c r="H263" s="100" t="str">
        <f>IF(OR($A263="",$A263&gt;SUM(Data_Analitik!$AD$2:$AD$351)),"",IFERROR(INDEX(Data_Analitik!$U$2:$U$351,MATCH($A263,Data_Analitik!$AE$2:$AE$351,0)),""))</f>
        <v/>
      </c>
      <c r="I263" s="33" t="str">
        <f>IF(OR($A263="",$A263&gt;SUM(Data_Analitik!$AD$2:$AD$351)),"",IFERROR(INDEX(Data_Analitik!$AB$2:$AB$351,MATCH($A263,Data_Analitik!$AE$2:$AE$351,0)),""))</f>
        <v/>
      </c>
    </row>
    <row r="264" spans="1:9" ht="21.95" customHeight="1" x14ac:dyDescent="0.25">
      <c r="A264" s="32">
        <f t="shared" si="3"/>
        <v>251</v>
      </c>
      <c r="B264" s="99" t="str">
        <f>IF(OR($A264="",$A264&gt;SUM(Data_Analitik!$AD$2:$AD$351)),"",IFERROR(INDEX(Data_Analitik!$B$2:$B$351,MATCH($A264,Data_Analitik!$AE$2:$AE$351,0)),""))</f>
        <v/>
      </c>
      <c r="C264" s="101" t="str">
        <f>IF(OR($A264="",$A264&gt;SUM(Data_Analitik!$AD$2:$AD$351)),"",IFERROR(INDEX(Data_Analitik!$C$2:$C$351,MATCH($A264,Data_Analitik!$AE$2:$AE$351,0)),""))</f>
        <v/>
      </c>
      <c r="D264" s="99" t="str">
        <f>IF(OR($A264="",$A264&gt;SUM(Data_Analitik!$AD$2:$AD$351)),"",IFERROR(INDEX(Data_Analitik!$D$2:$D$351,MATCH($A264,Data_Analitik!$AE$2:$AE$351,0)),""))</f>
        <v/>
      </c>
      <c r="E264" s="100" t="str">
        <f>IF(OR($A264="",$A264&gt;SUM(Data_Analitik!$AD$2:$AD$351)),"",IFERROR(INDEX(Data_Analitik!$E$2:$E$351,MATCH($A264,Data_Analitik!$AE$2:$AE$351,0)),""))</f>
        <v/>
      </c>
      <c r="F264" s="97" t="str">
        <f>IF(OR($A264="",$A264&gt;SUM(Data_Analitik!$AD$2:$AD$351)),"",IFERROR(INDEX(Data_Analitik!$Z$2:$Z$351,MATCH($A264,Data_Analitik!$AE$2:$AE$351,0)),""))</f>
        <v/>
      </c>
      <c r="G264" s="97" t="str">
        <f>IF(OR($A264="",$A264&gt;SUM(Data_Analitik!$AD$2:$AD$351)),"",IFERROR(INDEX(Data_Analitik!$AA$2:$AA$351,MATCH($A264,Data_Analitik!$AE$2:$AE$351,0)),""))</f>
        <v/>
      </c>
      <c r="H264" s="100" t="str">
        <f>IF(OR($A264="",$A264&gt;SUM(Data_Analitik!$AD$2:$AD$351)),"",IFERROR(INDEX(Data_Analitik!$U$2:$U$351,MATCH($A264,Data_Analitik!$AE$2:$AE$351,0)),""))</f>
        <v/>
      </c>
      <c r="I264" s="33" t="str">
        <f>IF(OR($A264="",$A264&gt;SUM(Data_Analitik!$AD$2:$AD$351)),"",IFERROR(INDEX(Data_Analitik!$AB$2:$AB$351,MATCH($A264,Data_Analitik!$AE$2:$AE$351,0)),""))</f>
        <v/>
      </c>
    </row>
    <row r="265" spans="1:9" ht="21.95" customHeight="1" x14ac:dyDescent="0.25">
      <c r="A265" s="32">
        <f t="shared" si="3"/>
        <v>252</v>
      </c>
      <c r="B265" s="99" t="str">
        <f>IF(OR($A265="",$A265&gt;SUM(Data_Analitik!$AD$2:$AD$351)),"",IFERROR(INDEX(Data_Analitik!$B$2:$B$351,MATCH($A265,Data_Analitik!$AE$2:$AE$351,0)),""))</f>
        <v/>
      </c>
      <c r="C265" s="101" t="str">
        <f>IF(OR($A265="",$A265&gt;SUM(Data_Analitik!$AD$2:$AD$351)),"",IFERROR(INDEX(Data_Analitik!$C$2:$C$351,MATCH($A265,Data_Analitik!$AE$2:$AE$351,0)),""))</f>
        <v/>
      </c>
      <c r="D265" s="99" t="str">
        <f>IF(OR($A265="",$A265&gt;SUM(Data_Analitik!$AD$2:$AD$351)),"",IFERROR(INDEX(Data_Analitik!$D$2:$D$351,MATCH($A265,Data_Analitik!$AE$2:$AE$351,0)),""))</f>
        <v/>
      </c>
      <c r="E265" s="100" t="str">
        <f>IF(OR($A265="",$A265&gt;SUM(Data_Analitik!$AD$2:$AD$351)),"",IFERROR(INDEX(Data_Analitik!$E$2:$E$351,MATCH($A265,Data_Analitik!$AE$2:$AE$351,0)),""))</f>
        <v/>
      </c>
      <c r="F265" s="97" t="str">
        <f>IF(OR($A265="",$A265&gt;SUM(Data_Analitik!$AD$2:$AD$351)),"",IFERROR(INDEX(Data_Analitik!$Z$2:$Z$351,MATCH($A265,Data_Analitik!$AE$2:$AE$351,0)),""))</f>
        <v/>
      </c>
      <c r="G265" s="97" t="str">
        <f>IF(OR($A265="",$A265&gt;SUM(Data_Analitik!$AD$2:$AD$351)),"",IFERROR(INDEX(Data_Analitik!$AA$2:$AA$351,MATCH($A265,Data_Analitik!$AE$2:$AE$351,0)),""))</f>
        <v/>
      </c>
      <c r="H265" s="100" t="str">
        <f>IF(OR($A265="",$A265&gt;SUM(Data_Analitik!$AD$2:$AD$351)),"",IFERROR(INDEX(Data_Analitik!$U$2:$U$351,MATCH($A265,Data_Analitik!$AE$2:$AE$351,0)),""))</f>
        <v/>
      </c>
      <c r="I265" s="33" t="str">
        <f>IF(OR($A265="",$A265&gt;SUM(Data_Analitik!$AD$2:$AD$351)),"",IFERROR(INDEX(Data_Analitik!$AB$2:$AB$351,MATCH($A265,Data_Analitik!$AE$2:$AE$351,0)),""))</f>
        <v/>
      </c>
    </row>
    <row r="266" spans="1:9" ht="21.95" customHeight="1" x14ac:dyDescent="0.25">
      <c r="A266" s="32">
        <f t="shared" si="3"/>
        <v>253</v>
      </c>
      <c r="B266" s="99" t="str">
        <f>IF(OR($A266="",$A266&gt;SUM(Data_Analitik!$AD$2:$AD$351)),"",IFERROR(INDEX(Data_Analitik!$B$2:$B$351,MATCH($A266,Data_Analitik!$AE$2:$AE$351,0)),""))</f>
        <v/>
      </c>
      <c r="C266" s="101" t="str">
        <f>IF(OR($A266="",$A266&gt;SUM(Data_Analitik!$AD$2:$AD$351)),"",IFERROR(INDEX(Data_Analitik!$C$2:$C$351,MATCH($A266,Data_Analitik!$AE$2:$AE$351,0)),""))</f>
        <v/>
      </c>
      <c r="D266" s="99" t="str">
        <f>IF(OR($A266="",$A266&gt;SUM(Data_Analitik!$AD$2:$AD$351)),"",IFERROR(INDEX(Data_Analitik!$D$2:$D$351,MATCH($A266,Data_Analitik!$AE$2:$AE$351,0)),""))</f>
        <v/>
      </c>
      <c r="E266" s="100" t="str">
        <f>IF(OR($A266="",$A266&gt;SUM(Data_Analitik!$AD$2:$AD$351)),"",IFERROR(INDEX(Data_Analitik!$E$2:$E$351,MATCH($A266,Data_Analitik!$AE$2:$AE$351,0)),""))</f>
        <v/>
      </c>
      <c r="F266" s="97" t="str">
        <f>IF(OR($A266="",$A266&gt;SUM(Data_Analitik!$AD$2:$AD$351)),"",IFERROR(INDEX(Data_Analitik!$Z$2:$Z$351,MATCH($A266,Data_Analitik!$AE$2:$AE$351,0)),""))</f>
        <v/>
      </c>
      <c r="G266" s="97" t="str">
        <f>IF(OR($A266="",$A266&gt;SUM(Data_Analitik!$AD$2:$AD$351)),"",IFERROR(INDEX(Data_Analitik!$AA$2:$AA$351,MATCH($A266,Data_Analitik!$AE$2:$AE$351,0)),""))</f>
        <v/>
      </c>
      <c r="H266" s="100" t="str">
        <f>IF(OR($A266="",$A266&gt;SUM(Data_Analitik!$AD$2:$AD$351)),"",IFERROR(INDEX(Data_Analitik!$U$2:$U$351,MATCH($A266,Data_Analitik!$AE$2:$AE$351,0)),""))</f>
        <v/>
      </c>
      <c r="I266" s="33" t="str">
        <f>IF(OR($A266="",$A266&gt;SUM(Data_Analitik!$AD$2:$AD$351)),"",IFERROR(INDEX(Data_Analitik!$AB$2:$AB$351,MATCH($A266,Data_Analitik!$AE$2:$AE$351,0)),""))</f>
        <v/>
      </c>
    </row>
    <row r="267" spans="1:9" ht="21.95" customHeight="1" x14ac:dyDescent="0.25">
      <c r="A267" s="32">
        <f t="shared" si="3"/>
        <v>254</v>
      </c>
      <c r="B267" s="99" t="str">
        <f>IF(OR($A267="",$A267&gt;SUM(Data_Analitik!$AD$2:$AD$351)),"",IFERROR(INDEX(Data_Analitik!$B$2:$B$351,MATCH($A267,Data_Analitik!$AE$2:$AE$351,0)),""))</f>
        <v/>
      </c>
      <c r="C267" s="101" t="str">
        <f>IF(OR($A267="",$A267&gt;SUM(Data_Analitik!$AD$2:$AD$351)),"",IFERROR(INDEX(Data_Analitik!$C$2:$C$351,MATCH($A267,Data_Analitik!$AE$2:$AE$351,0)),""))</f>
        <v/>
      </c>
      <c r="D267" s="99" t="str">
        <f>IF(OR($A267="",$A267&gt;SUM(Data_Analitik!$AD$2:$AD$351)),"",IFERROR(INDEX(Data_Analitik!$D$2:$D$351,MATCH($A267,Data_Analitik!$AE$2:$AE$351,0)),""))</f>
        <v/>
      </c>
      <c r="E267" s="100" t="str">
        <f>IF(OR($A267="",$A267&gt;SUM(Data_Analitik!$AD$2:$AD$351)),"",IFERROR(INDEX(Data_Analitik!$E$2:$E$351,MATCH($A267,Data_Analitik!$AE$2:$AE$351,0)),""))</f>
        <v/>
      </c>
      <c r="F267" s="97" t="str">
        <f>IF(OR($A267="",$A267&gt;SUM(Data_Analitik!$AD$2:$AD$351)),"",IFERROR(INDEX(Data_Analitik!$Z$2:$Z$351,MATCH($A267,Data_Analitik!$AE$2:$AE$351,0)),""))</f>
        <v/>
      </c>
      <c r="G267" s="97" t="str">
        <f>IF(OR($A267="",$A267&gt;SUM(Data_Analitik!$AD$2:$AD$351)),"",IFERROR(INDEX(Data_Analitik!$AA$2:$AA$351,MATCH($A267,Data_Analitik!$AE$2:$AE$351,0)),""))</f>
        <v/>
      </c>
      <c r="H267" s="100" t="str">
        <f>IF(OR($A267="",$A267&gt;SUM(Data_Analitik!$AD$2:$AD$351)),"",IFERROR(INDEX(Data_Analitik!$U$2:$U$351,MATCH($A267,Data_Analitik!$AE$2:$AE$351,0)),""))</f>
        <v/>
      </c>
      <c r="I267" s="33" t="str">
        <f>IF(OR($A267="",$A267&gt;SUM(Data_Analitik!$AD$2:$AD$351)),"",IFERROR(INDEX(Data_Analitik!$AB$2:$AB$351,MATCH($A267,Data_Analitik!$AE$2:$AE$351,0)),""))</f>
        <v/>
      </c>
    </row>
    <row r="268" spans="1:9" ht="21.95" customHeight="1" x14ac:dyDescent="0.25">
      <c r="A268" s="32">
        <f t="shared" si="3"/>
        <v>255</v>
      </c>
      <c r="B268" s="99" t="str">
        <f>IF(OR($A268="",$A268&gt;SUM(Data_Analitik!$AD$2:$AD$351)),"",IFERROR(INDEX(Data_Analitik!$B$2:$B$351,MATCH($A268,Data_Analitik!$AE$2:$AE$351,0)),""))</f>
        <v/>
      </c>
      <c r="C268" s="101" t="str">
        <f>IF(OR($A268="",$A268&gt;SUM(Data_Analitik!$AD$2:$AD$351)),"",IFERROR(INDEX(Data_Analitik!$C$2:$C$351,MATCH($A268,Data_Analitik!$AE$2:$AE$351,0)),""))</f>
        <v/>
      </c>
      <c r="D268" s="99" t="str">
        <f>IF(OR($A268="",$A268&gt;SUM(Data_Analitik!$AD$2:$AD$351)),"",IFERROR(INDEX(Data_Analitik!$D$2:$D$351,MATCH($A268,Data_Analitik!$AE$2:$AE$351,0)),""))</f>
        <v/>
      </c>
      <c r="E268" s="100" t="str">
        <f>IF(OR($A268="",$A268&gt;SUM(Data_Analitik!$AD$2:$AD$351)),"",IFERROR(INDEX(Data_Analitik!$E$2:$E$351,MATCH($A268,Data_Analitik!$AE$2:$AE$351,0)),""))</f>
        <v/>
      </c>
      <c r="F268" s="97" t="str">
        <f>IF(OR($A268="",$A268&gt;SUM(Data_Analitik!$AD$2:$AD$351)),"",IFERROR(INDEX(Data_Analitik!$Z$2:$Z$351,MATCH($A268,Data_Analitik!$AE$2:$AE$351,0)),""))</f>
        <v/>
      </c>
      <c r="G268" s="97" t="str">
        <f>IF(OR($A268="",$A268&gt;SUM(Data_Analitik!$AD$2:$AD$351)),"",IFERROR(INDEX(Data_Analitik!$AA$2:$AA$351,MATCH($A268,Data_Analitik!$AE$2:$AE$351,0)),""))</f>
        <v/>
      </c>
      <c r="H268" s="100" t="str">
        <f>IF(OR($A268="",$A268&gt;SUM(Data_Analitik!$AD$2:$AD$351)),"",IFERROR(INDEX(Data_Analitik!$U$2:$U$351,MATCH($A268,Data_Analitik!$AE$2:$AE$351,0)),""))</f>
        <v/>
      </c>
      <c r="I268" s="33" t="str">
        <f>IF(OR($A268="",$A268&gt;SUM(Data_Analitik!$AD$2:$AD$351)),"",IFERROR(INDEX(Data_Analitik!$AB$2:$AB$351,MATCH($A268,Data_Analitik!$AE$2:$AE$351,0)),""))</f>
        <v/>
      </c>
    </row>
    <row r="269" spans="1:9" ht="21.95" customHeight="1" x14ac:dyDescent="0.25">
      <c r="A269" s="32">
        <f t="shared" si="3"/>
        <v>256</v>
      </c>
      <c r="B269" s="99" t="str">
        <f>IF(OR($A269="",$A269&gt;SUM(Data_Analitik!$AD$2:$AD$351)),"",IFERROR(INDEX(Data_Analitik!$B$2:$B$351,MATCH($A269,Data_Analitik!$AE$2:$AE$351,0)),""))</f>
        <v/>
      </c>
      <c r="C269" s="101" t="str">
        <f>IF(OR($A269="",$A269&gt;SUM(Data_Analitik!$AD$2:$AD$351)),"",IFERROR(INDEX(Data_Analitik!$C$2:$C$351,MATCH($A269,Data_Analitik!$AE$2:$AE$351,0)),""))</f>
        <v/>
      </c>
      <c r="D269" s="99" t="str">
        <f>IF(OR($A269="",$A269&gt;SUM(Data_Analitik!$AD$2:$AD$351)),"",IFERROR(INDEX(Data_Analitik!$D$2:$D$351,MATCH($A269,Data_Analitik!$AE$2:$AE$351,0)),""))</f>
        <v/>
      </c>
      <c r="E269" s="100" t="str">
        <f>IF(OR($A269="",$A269&gt;SUM(Data_Analitik!$AD$2:$AD$351)),"",IFERROR(INDEX(Data_Analitik!$E$2:$E$351,MATCH($A269,Data_Analitik!$AE$2:$AE$351,0)),""))</f>
        <v/>
      </c>
      <c r="F269" s="97" t="str">
        <f>IF(OR($A269="",$A269&gt;SUM(Data_Analitik!$AD$2:$AD$351)),"",IFERROR(INDEX(Data_Analitik!$Z$2:$Z$351,MATCH($A269,Data_Analitik!$AE$2:$AE$351,0)),""))</f>
        <v/>
      </c>
      <c r="G269" s="97" t="str">
        <f>IF(OR($A269="",$A269&gt;SUM(Data_Analitik!$AD$2:$AD$351)),"",IFERROR(INDEX(Data_Analitik!$AA$2:$AA$351,MATCH($A269,Data_Analitik!$AE$2:$AE$351,0)),""))</f>
        <v/>
      </c>
      <c r="H269" s="100" t="str">
        <f>IF(OR($A269="",$A269&gt;SUM(Data_Analitik!$AD$2:$AD$351)),"",IFERROR(INDEX(Data_Analitik!$U$2:$U$351,MATCH($A269,Data_Analitik!$AE$2:$AE$351,0)),""))</f>
        <v/>
      </c>
      <c r="I269" s="33" t="str">
        <f>IF(OR($A269="",$A269&gt;SUM(Data_Analitik!$AD$2:$AD$351)),"",IFERROR(INDEX(Data_Analitik!$AB$2:$AB$351,MATCH($A269,Data_Analitik!$AE$2:$AE$351,0)),""))</f>
        <v/>
      </c>
    </row>
    <row r="270" spans="1:9" ht="21.95" customHeight="1" x14ac:dyDescent="0.25">
      <c r="A270" s="32">
        <f t="shared" si="3"/>
        <v>257</v>
      </c>
      <c r="B270" s="99" t="str">
        <f>IF(OR($A270="",$A270&gt;SUM(Data_Analitik!$AD$2:$AD$351)),"",IFERROR(INDEX(Data_Analitik!$B$2:$B$351,MATCH($A270,Data_Analitik!$AE$2:$AE$351,0)),""))</f>
        <v/>
      </c>
      <c r="C270" s="101" t="str">
        <f>IF(OR($A270="",$A270&gt;SUM(Data_Analitik!$AD$2:$AD$351)),"",IFERROR(INDEX(Data_Analitik!$C$2:$C$351,MATCH($A270,Data_Analitik!$AE$2:$AE$351,0)),""))</f>
        <v/>
      </c>
      <c r="D270" s="99" t="str">
        <f>IF(OR($A270="",$A270&gt;SUM(Data_Analitik!$AD$2:$AD$351)),"",IFERROR(INDEX(Data_Analitik!$D$2:$D$351,MATCH($A270,Data_Analitik!$AE$2:$AE$351,0)),""))</f>
        <v/>
      </c>
      <c r="E270" s="100" t="str">
        <f>IF(OR($A270="",$A270&gt;SUM(Data_Analitik!$AD$2:$AD$351)),"",IFERROR(INDEX(Data_Analitik!$E$2:$E$351,MATCH($A270,Data_Analitik!$AE$2:$AE$351,0)),""))</f>
        <v/>
      </c>
      <c r="F270" s="97" t="str">
        <f>IF(OR($A270="",$A270&gt;SUM(Data_Analitik!$AD$2:$AD$351)),"",IFERROR(INDEX(Data_Analitik!$Z$2:$Z$351,MATCH($A270,Data_Analitik!$AE$2:$AE$351,0)),""))</f>
        <v/>
      </c>
      <c r="G270" s="97" t="str">
        <f>IF(OR($A270="",$A270&gt;SUM(Data_Analitik!$AD$2:$AD$351)),"",IFERROR(INDEX(Data_Analitik!$AA$2:$AA$351,MATCH($A270,Data_Analitik!$AE$2:$AE$351,0)),""))</f>
        <v/>
      </c>
      <c r="H270" s="100" t="str">
        <f>IF(OR($A270="",$A270&gt;SUM(Data_Analitik!$AD$2:$AD$351)),"",IFERROR(INDEX(Data_Analitik!$U$2:$U$351,MATCH($A270,Data_Analitik!$AE$2:$AE$351,0)),""))</f>
        <v/>
      </c>
      <c r="I270" s="33" t="str">
        <f>IF(OR($A270="",$A270&gt;SUM(Data_Analitik!$AD$2:$AD$351)),"",IFERROR(INDEX(Data_Analitik!$AB$2:$AB$351,MATCH($A270,Data_Analitik!$AE$2:$AE$351,0)),""))</f>
        <v/>
      </c>
    </row>
    <row r="271" spans="1:9" ht="21.95" customHeight="1" x14ac:dyDescent="0.25">
      <c r="A271" s="32">
        <f t="shared" si="3"/>
        <v>258</v>
      </c>
      <c r="B271" s="99" t="str">
        <f>IF(OR($A271="",$A271&gt;SUM(Data_Analitik!$AD$2:$AD$351)),"",IFERROR(INDEX(Data_Analitik!$B$2:$B$351,MATCH($A271,Data_Analitik!$AE$2:$AE$351,0)),""))</f>
        <v/>
      </c>
      <c r="C271" s="101" t="str">
        <f>IF(OR($A271="",$A271&gt;SUM(Data_Analitik!$AD$2:$AD$351)),"",IFERROR(INDEX(Data_Analitik!$C$2:$C$351,MATCH($A271,Data_Analitik!$AE$2:$AE$351,0)),""))</f>
        <v/>
      </c>
      <c r="D271" s="99" t="str">
        <f>IF(OR($A271="",$A271&gt;SUM(Data_Analitik!$AD$2:$AD$351)),"",IFERROR(INDEX(Data_Analitik!$D$2:$D$351,MATCH($A271,Data_Analitik!$AE$2:$AE$351,0)),""))</f>
        <v/>
      </c>
      <c r="E271" s="100" t="str">
        <f>IF(OR($A271="",$A271&gt;SUM(Data_Analitik!$AD$2:$AD$351)),"",IFERROR(INDEX(Data_Analitik!$E$2:$E$351,MATCH($A271,Data_Analitik!$AE$2:$AE$351,0)),""))</f>
        <v/>
      </c>
      <c r="F271" s="97" t="str">
        <f>IF(OR($A271="",$A271&gt;SUM(Data_Analitik!$AD$2:$AD$351)),"",IFERROR(INDEX(Data_Analitik!$Z$2:$Z$351,MATCH($A271,Data_Analitik!$AE$2:$AE$351,0)),""))</f>
        <v/>
      </c>
      <c r="G271" s="97" t="str">
        <f>IF(OR($A271="",$A271&gt;SUM(Data_Analitik!$AD$2:$AD$351)),"",IFERROR(INDEX(Data_Analitik!$AA$2:$AA$351,MATCH($A271,Data_Analitik!$AE$2:$AE$351,0)),""))</f>
        <v/>
      </c>
      <c r="H271" s="100" t="str">
        <f>IF(OR($A271="",$A271&gt;SUM(Data_Analitik!$AD$2:$AD$351)),"",IFERROR(INDEX(Data_Analitik!$U$2:$U$351,MATCH($A271,Data_Analitik!$AE$2:$AE$351,0)),""))</f>
        <v/>
      </c>
      <c r="I271" s="33" t="str">
        <f>IF(OR($A271="",$A271&gt;SUM(Data_Analitik!$AD$2:$AD$351)),"",IFERROR(INDEX(Data_Analitik!$AB$2:$AB$351,MATCH($A271,Data_Analitik!$AE$2:$AE$351,0)),""))</f>
        <v/>
      </c>
    </row>
    <row r="272" spans="1:9" ht="21.95" customHeight="1" x14ac:dyDescent="0.25">
      <c r="A272" s="32">
        <f t="shared" si="3"/>
        <v>259</v>
      </c>
      <c r="B272" s="99" t="str">
        <f>IF(OR($A272="",$A272&gt;SUM(Data_Analitik!$AD$2:$AD$351)),"",IFERROR(INDEX(Data_Analitik!$B$2:$B$351,MATCH($A272,Data_Analitik!$AE$2:$AE$351,0)),""))</f>
        <v/>
      </c>
      <c r="C272" s="101" t="str">
        <f>IF(OR($A272="",$A272&gt;SUM(Data_Analitik!$AD$2:$AD$351)),"",IFERROR(INDEX(Data_Analitik!$C$2:$C$351,MATCH($A272,Data_Analitik!$AE$2:$AE$351,0)),""))</f>
        <v/>
      </c>
      <c r="D272" s="99" t="str">
        <f>IF(OR($A272="",$A272&gt;SUM(Data_Analitik!$AD$2:$AD$351)),"",IFERROR(INDEX(Data_Analitik!$D$2:$D$351,MATCH($A272,Data_Analitik!$AE$2:$AE$351,0)),""))</f>
        <v/>
      </c>
      <c r="E272" s="100" t="str">
        <f>IF(OR($A272="",$A272&gt;SUM(Data_Analitik!$AD$2:$AD$351)),"",IFERROR(INDEX(Data_Analitik!$E$2:$E$351,MATCH($A272,Data_Analitik!$AE$2:$AE$351,0)),""))</f>
        <v/>
      </c>
      <c r="F272" s="97" t="str">
        <f>IF(OR($A272="",$A272&gt;SUM(Data_Analitik!$AD$2:$AD$351)),"",IFERROR(INDEX(Data_Analitik!$Z$2:$Z$351,MATCH($A272,Data_Analitik!$AE$2:$AE$351,0)),""))</f>
        <v/>
      </c>
      <c r="G272" s="97" t="str">
        <f>IF(OR($A272="",$A272&gt;SUM(Data_Analitik!$AD$2:$AD$351)),"",IFERROR(INDEX(Data_Analitik!$AA$2:$AA$351,MATCH($A272,Data_Analitik!$AE$2:$AE$351,0)),""))</f>
        <v/>
      </c>
      <c r="H272" s="100" t="str">
        <f>IF(OR($A272="",$A272&gt;SUM(Data_Analitik!$AD$2:$AD$351)),"",IFERROR(INDEX(Data_Analitik!$U$2:$U$351,MATCH($A272,Data_Analitik!$AE$2:$AE$351,0)),""))</f>
        <v/>
      </c>
      <c r="I272" s="33" t="str">
        <f>IF(OR($A272="",$A272&gt;SUM(Data_Analitik!$AD$2:$AD$351)),"",IFERROR(INDEX(Data_Analitik!$AB$2:$AB$351,MATCH($A272,Data_Analitik!$AE$2:$AE$351,0)),""))</f>
        <v/>
      </c>
    </row>
    <row r="273" spans="1:9" ht="21.95" customHeight="1" x14ac:dyDescent="0.25">
      <c r="A273" s="32">
        <f t="shared" ref="A273:A336" si="4">IF(ROW()-13&lt;=$B$11,ROW()-13,"")</f>
        <v>260</v>
      </c>
      <c r="B273" s="99" t="str">
        <f>IF(OR($A273="",$A273&gt;SUM(Data_Analitik!$AD$2:$AD$351)),"",IFERROR(INDEX(Data_Analitik!$B$2:$B$351,MATCH($A273,Data_Analitik!$AE$2:$AE$351,0)),""))</f>
        <v/>
      </c>
      <c r="C273" s="101" t="str">
        <f>IF(OR($A273="",$A273&gt;SUM(Data_Analitik!$AD$2:$AD$351)),"",IFERROR(INDEX(Data_Analitik!$C$2:$C$351,MATCH($A273,Data_Analitik!$AE$2:$AE$351,0)),""))</f>
        <v/>
      </c>
      <c r="D273" s="99" t="str">
        <f>IF(OR($A273="",$A273&gt;SUM(Data_Analitik!$AD$2:$AD$351)),"",IFERROR(INDEX(Data_Analitik!$D$2:$D$351,MATCH($A273,Data_Analitik!$AE$2:$AE$351,0)),""))</f>
        <v/>
      </c>
      <c r="E273" s="100" t="str">
        <f>IF(OR($A273="",$A273&gt;SUM(Data_Analitik!$AD$2:$AD$351)),"",IFERROR(INDEX(Data_Analitik!$E$2:$E$351,MATCH($A273,Data_Analitik!$AE$2:$AE$351,0)),""))</f>
        <v/>
      </c>
      <c r="F273" s="97" t="str">
        <f>IF(OR($A273="",$A273&gt;SUM(Data_Analitik!$AD$2:$AD$351)),"",IFERROR(INDEX(Data_Analitik!$Z$2:$Z$351,MATCH($A273,Data_Analitik!$AE$2:$AE$351,0)),""))</f>
        <v/>
      </c>
      <c r="G273" s="97" t="str">
        <f>IF(OR($A273="",$A273&gt;SUM(Data_Analitik!$AD$2:$AD$351)),"",IFERROR(INDEX(Data_Analitik!$AA$2:$AA$351,MATCH($A273,Data_Analitik!$AE$2:$AE$351,0)),""))</f>
        <v/>
      </c>
      <c r="H273" s="100" t="str">
        <f>IF(OR($A273="",$A273&gt;SUM(Data_Analitik!$AD$2:$AD$351)),"",IFERROR(INDEX(Data_Analitik!$U$2:$U$351,MATCH($A273,Data_Analitik!$AE$2:$AE$351,0)),""))</f>
        <v/>
      </c>
      <c r="I273" s="33" t="str">
        <f>IF(OR($A273="",$A273&gt;SUM(Data_Analitik!$AD$2:$AD$351)),"",IFERROR(INDEX(Data_Analitik!$AB$2:$AB$351,MATCH($A273,Data_Analitik!$AE$2:$AE$351,0)),""))</f>
        <v/>
      </c>
    </row>
    <row r="274" spans="1:9" ht="21.95" customHeight="1" x14ac:dyDescent="0.25">
      <c r="A274" s="32">
        <f t="shared" si="4"/>
        <v>261</v>
      </c>
      <c r="B274" s="99" t="str">
        <f>IF(OR($A274="",$A274&gt;SUM(Data_Analitik!$AD$2:$AD$351)),"",IFERROR(INDEX(Data_Analitik!$B$2:$B$351,MATCH($A274,Data_Analitik!$AE$2:$AE$351,0)),""))</f>
        <v/>
      </c>
      <c r="C274" s="101" t="str">
        <f>IF(OR($A274="",$A274&gt;SUM(Data_Analitik!$AD$2:$AD$351)),"",IFERROR(INDEX(Data_Analitik!$C$2:$C$351,MATCH($A274,Data_Analitik!$AE$2:$AE$351,0)),""))</f>
        <v/>
      </c>
      <c r="D274" s="99" t="str">
        <f>IF(OR($A274="",$A274&gt;SUM(Data_Analitik!$AD$2:$AD$351)),"",IFERROR(INDEX(Data_Analitik!$D$2:$D$351,MATCH($A274,Data_Analitik!$AE$2:$AE$351,0)),""))</f>
        <v/>
      </c>
      <c r="E274" s="100" t="str">
        <f>IF(OR($A274="",$A274&gt;SUM(Data_Analitik!$AD$2:$AD$351)),"",IFERROR(INDEX(Data_Analitik!$E$2:$E$351,MATCH($A274,Data_Analitik!$AE$2:$AE$351,0)),""))</f>
        <v/>
      </c>
      <c r="F274" s="97" t="str">
        <f>IF(OR($A274="",$A274&gt;SUM(Data_Analitik!$AD$2:$AD$351)),"",IFERROR(INDEX(Data_Analitik!$Z$2:$Z$351,MATCH($A274,Data_Analitik!$AE$2:$AE$351,0)),""))</f>
        <v/>
      </c>
      <c r="G274" s="97" t="str">
        <f>IF(OR($A274="",$A274&gt;SUM(Data_Analitik!$AD$2:$AD$351)),"",IFERROR(INDEX(Data_Analitik!$AA$2:$AA$351,MATCH($A274,Data_Analitik!$AE$2:$AE$351,0)),""))</f>
        <v/>
      </c>
      <c r="H274" s="100" t="str">
        <f>IF(OR($A274="",$A274&gt;SUM(Data_Analitik!$AD$2:$AD$351)),"",IFERROR(INDEX(Data_Analitik!$U$2:$U$351,MATCH($A274,Data_Analitik!$AE$2:$AE$351,0)),""))</f>
        <v/>
      </c>
      <c r="I274" s="33" t="str">
        <f>IF(OR($A274="",$A274&gt;SUM(Data_Analitik!$AD$2:$AD$351)),"",IFERROR(INDEX(Data_Analitik!$AB$2:$AB$351,MATCH($A274,Data_Analitik!$AE$2:$AE$351,0)),""))</f>
        <v/>
      </c>
    </row>
    <row r="275" spans="1:9" ht="21.95" customHeight="1" x14ac:dyDescent="0.25">
      <c r="A275" s="32">
        <f t="shared" si="4"/>
        <v>262</v>
      </c>
      <c r="B275" s="99" t="str">
        <f>IF(OR($A275="",$A275&gt;SUM(Data_Analitik!$AD$2:$AD$351)),"",IFERROR(INDEX(Data_Analitik!$B$2:$B$351,MATCH($A275,Data_Analitik!$AE$2:$AE$351,0)),""))</f>
        <v/>
      </c>
      <c r="C275" s="101" t="str">
        <f>IF(OR($A275="",$A275&gt;SUM(Data_Analitik!$AD$2:$AD$351)),"",IFERROR(INDEX(Data_Analitik!$C$2:$C$351,MATCH($A275,Data_Analitik!$AE$2:$AE$351,0)),""))</f>
        <v/>
      </c>
      <c r="D275" s="99" t="str">
        <f>IF(OR($A275="",$A275&gt;SUM(Data_Analitik!$AD$2:$AD$351)),"",IFERROR(INDEX(Data_Analitik!$D$2:$D$351,MATCH($A275,Data_Analitik!$AE$2:$AE$351,0)),""))</f>
        <v/>
      </c>
      <c r="E275" s="100" t="str">
        <f>IF(OR($A275="",$A275&gt;SUM(Data_Analitik!$AD$2:$AD$351)),"",IFERROR(INDEX(Data_Analitik!$E$2:$E$351,MATCH($A275,Data_Analitik!$AE$2:$AE$351,0)),""))</f>
        <v/>
      </c>
      <c r="F275" s="97" t="str">
        <f>IF(OR($A275="",$A275&gt;SUM(Data_Analitik!$AD$2:$AD$351)),"",IFERROR(INDEX(Data_Analitik!$Z$2:$Z$351,MATCH($A275,Data_Analitik!$AE$2:$AE$351,0)),""))</f>
        <v/>
      </c>
      <c r="G275" s="97" t="str">
        <f>IF(OR($A275="",$A275&gt;SUM(Data_Analitik!$AD$2:$AD$351)),"",IFERROR(INDEX(Data_Analitik!$AA$2:$AA$351,MATCH($A275,Data_Analitik!$AE$2:$AE$351,0)),""))</f>
        <v/>
      </c>
      <c r="H275" s="100" t="str">
        <f>IF(OR($A275="",$A275&gt;SUM(Data_Analitik!$AD$2:$AD$351)),"",IFERROR(INDEX(Data_Analitik!$U$2:$U$351,MATCH($A275,Data_Analitik!$AE$2:$AE$351,0)),""))</f>
        <v/>
      </c>
      <c r="I275" s="33" t="str">
        <f>IF(OR($A275="",$A275&gt;SUM(Data_Analitik!$AD$2:$AD$351)),"",IFERROR(INDEX(Data_Analitik!$AB$2:$AB$351,MATCH($A275,Data_Analitik!$AE$2:$AE$351,0)),""))</f>
        <v/>
      </c>
    </row>
    <row r="276" spans="1:9" ht="21.95" customHeight="1" x14ac:dyDescent="0.25">
      <c r="A276" s="32">
        <f t="shared" si="4"/>
        <v>263</v>
      </c>
      <c r="B276" s="99" t="str">
        <f>IF(OR($A276="",$A276&gt;SUM(Data_Analitik!$AD$2:$AD$351)),"",IFERROR(INDEX(Data_Analitik!$B$2:$B$351,MATCH($A276,Data_Analitik!$AE$2:$AE$351,0)),""))</f>
        <v/>
      </c>
      <c r="C276" s="101" t="str">
        <f>IF(OR($A276="",$A276&gt;SUM(Data_Analitik!$AD$2:$AD$351)),"",IFERROR(INDEX(Data_Analitik!$C$2:$C$351,MATCH($A276,Data_Analitik!$AE$2:$AE$351,0)),""))</f>
        <v/>
      </c>
      <c r="D276" s="99" t="str">
        <f>IF(OR($A276="",$A276&gt;SUM(Data_Analitik!$AD$2:$AD$351)),"",IFERROR(INDEX(Data_Analitik!$D$2:$D$351,MATCH($A276,Data_Analitik!$AE$2:$AE$351,0)),""))</f>
        <v/>
      </c>
      <c r="E276" s="100" t="str">
        <f>IF(OR($A276="",$A276&gt;SUM(Data_Analitik!$AD$2:$AD$351)),"",IFERROR(INDEX(Data_Analitik!$E$2:$E$351,MATCH($A276,Data_Analitik!$AE$2:$AE$351,0)),""))</f>
        <v/>
      </c>
      <c r="F276" s="97" t="str">
        <f>IF(OR($A276="",$A276&gt;SUM(Data_Analitik!$AD$2:$AD$351)),"",IFERROR(INDEX(Data_Analitik!$Z$2:$Z$351,MATCH($A276,Data_Analitik!$AE$2:$AE$351,0)),""))</f>
        <v/>
      </c>
      <c r="G276" s="97" t="str">
        <f>IF(OR($A276="",$A276&gt;SUM(Data_Analitik!$AD$2:$AD$351)),"",IFERROR(INDEX(Data_Analitik!$AA$2:$AA$351,MATCH($A276,Data_Analitik!$AE$2:$AE$351,0)),""))</f>
        <v/>
      </c>
      <c r="H276" s="100" t="str">
        <f>IF(OR($A276="",$A276&gt;SUM(Data_Analitik!$AD$2:$AD$351)),"",IFERROR(INDEX(Data_Analitik!$U$2:$U$351,MATCH($A276,Data_Analitik!$AE$2:$AE$351,0)),""))</f>
        <v/>
      </c>
      <c r="I276" s="33" t="str">
        <f>IF(OR($A276="",$A276&gt;SUM(Data_Analitik!$AD$2:$AD$351)),"",IFERROR(INDEX(Data_Analitik!$AB$2:$AB$351,MATCH($A276,Data_Analitik!$AE$2:$AE$351,0)),""))</f>
        <v/>
      </c>
    </row>
    <row r="277" spans="1:9" ht="21.95" customHeight="1" x14ac:dyDescent="0.25">
      <c r="A277" s="32">
        <f t="shared" si="4"/>
        <v>264</v>
      </c>
      <c r="B277" s="99" t="str">
        <f>IF(OR($A277="",$A277&gt;SUM(Data_Analitik!$AD$2:$AD$351)),"",IFERROR(INDEX(Data_Analitik!$B$2:$B$351,MATCH($A277,Data_Analitik!$AE$2:$AE$351,0)),""))</f>
        <v/>
      </c>
      <c r="C277" s="101" t="str">
        <f>IF(OR($A277="",$A277&gt;SUM(Data_Analitik!$AD$2:$AD$351)),"",IFERROR(INDEX(Data_Analitik!$C$2:$C$351,MATCH($A277,Data_Analitik!$AE$2:$AE$351,0)),""))</f>
        <v/>
      </c>
      <c r="D277" s="99" t="str">
        <f>IF(OR($A277="",$A277&gt;SUM(Data_Analitik!$AD$2:$AD$351)),"",IFERROR(INDEX(Data_Analitik!$D$2:$D$351,MATCH($A277,Data_Analitik!$AE$2:$AE$351,0)),""))</f>
        <v/>
      </c>
      <c r="E277" s="100" t="str">
        <f>IF(OR($A277="",$A277&gt;SUM(Data_Analitik!$AD$2:$AD$351)),"",IFERROR(INDEX(Data_Analitik!$E$2:$E$351,MATCH($A277,Data_Analitik!$AE$2:$AE$351,0)),""))</f>
        <v/>
      </c>
      <c r="F277" s="97" t="str">
        <f>IF(OR($A277="",$A277&gt;SUM(Data_Analitik!$AD$2:$AD$351)),"",IFERROR(INDEX(Data_Analitik!$Z$2:$Z$351,MATCH($A277,Data_Analitik!$AE$2:$AE$351,0)),""))</f>
        <v/>
      </c>
      <c r="G277" s="97" t="str">
        <f>IF(OR($A277="",$A277&gt;SUM(Data_Analitik!$AD$2:$AD$351)),"",IFERROR(INDEX(Data_Analitik!$AA$2:$AA$351,MATCH($A277,Data_Analitik!$AE$2:$AE$351,0)),""))</f>
        <v/>
      </c>
      <c r="H277" s="100" t="str">
        <f>IF(OR($A277="",$A277&gt;SUM(Data_Analitik!$AD$2:$AD$351)),"",IFERROR(INDEX(Data_Analitik!$U$2:$U$351,MATCH($A277,Data_Analitik!$AE$2:$AE$351,0)),""))</f>
        <v/>
      </c>
      <c r="I277" s="33" t="str">
        <f>IF(OR($A277="",$A277&gt;SUM(Data_Analitik!$AD$2:$AD$351)),"",IFERROR(INDEX(Data_Analitik!$AB$2:$AB$351,MATCH($A277,Data_Analitik!$AE$2:$AE$351,0)),""))</f>
        <v/>
      </c>
    </row>
    <row r="278" spans="1:9" ht="21.95" customHeight="1" x14ac:dyDescent="0.25">
      <c r="A278" s="32">
        <f t="shared" si="4"/>
        <v>265</v>
      </c>
      <c r="B278" s="99" t="str">
        <f>IF(OR($A278="",$A278&gt;SUM(Data_Analitik!$AD$2:$AD$351)),"",IFERROR(INDEX(Data_Analitik!$B$2:$B$351,MATCH($A278,Data_Analitik!$AE$2:$AE$351,0)),""))</f>
        <v/>
      </c>
      <c r="C278" s="101" t="str">
        <f>IF(OR($A278="",$A278&gt;SUM(Data_Analitik!$AD$2:$AD$351)),"",IFERROR(INDEX(Data_Analitik!$C$2:$C$351,MATCH($A278,Data_Analitik!$AE$2:$AE$351,0)),""))</f>
        <v/>
      </c>
      <c r="D278" s="99" t="str">
        <f>IF(OR($A278="",$A278&gt;SUM(Data_Analitik!$AD$2:$AD$351)),"",IFERROR(INDEX(Data_Analitik!$D$2:$D$351,MATCH($A278,Data_Analitik!$AE$2:$AE$351,0)),""))</f>
        <v/>
      </c>
      <c r="E278" s="100" t="str">
        <f>IF(OR($A278="",$A278&gt;SUM(Data_Analitik!$AD$2:$AD$351)),"",IFERROR(INDEX(Data_Analitik!$E$2:$E$351,MATCH($A278,Data_Analitik!$AE$2:$AE$351,0)),""))</f>
        <v/>
      </c>
      <c r="F278" s="97" t="str">
        <f>IF(OR($A278="",$A278&gt;SUM(Data_Analitik!$AD$2:$AD$351)),"",IFERROR(INDEX(Data_Analitik!$Z$2:$Z$351,MATCH($A278,Data_Analitik!$AE$2:$AE$351,0)),""))</f>
        <v/>
      </c>
      <c r="G278" s="97" t="str">
        <f>IF(OR($A278="",$A278&gt;SUM(Data_Analitik!$AD$2:$AD$351)),"",IFERROR(INDEX(Data_Analitik!$AA$2:$AA$351,MATCH($A278,Data_Analitik!$AE$2:$AE$351,0)),""))</f>
        <v/>
      </c>
      <c r="H278" s="100" t="str">
        <f>IF(OR($A278="",$A278&gt;SUM(Data_Analitik!$AD$2:$AD$351)),"",IFERROR(INDEX(Data_Analitik!$U$2:$U$351,MATCH($A278,Data_Analitik!$AE$2:$AE$351,0)),""))</f>
        <v/>
      </c>
      <c r="I278" s="33" t="str">
        <f>IF(OR($A278="",$A278&gt;SUM(Data_Analitik!$AD$2:$AD$351)),"",IFERROR(INDEX(Data_Analitik!$AB$2:$AB$351,MATCH($A278,Data_Analitik!$AE$2:$AE$351,0)),""))</f>
        <v/>
      </c>
    </row>
    <row r="279" spans="1:9" ht="21.95" customHeight="1" x14ac:dyDescent="0.25">
      <c r="A279" s="32">
        <f t="shared" si="4"/>
        <v>266</v>
      </c>
      <c r="B279" s="99" t="str">
        <f>IF(OR($A279="",$A279&gt;SUM(Data_Analitik!$AD$2:$AD$351)),"",IFERROR(INDEX(Data_Analitik!$B$2:$B$351,MATCH($A279,Data_Analitik!$AE$2:$AE$351,0)),""))</f>
        <v/>
      </c>
      <c r="C279" s="101" t="str">
        <f>IF(OR($A279="",$A279&gt;SUM(Data_Analitik!$AD$2:$AD$351)),"",IFERROR(INDEX(Data_Analitik!$C$2:$C$351,MATCH($A279,Data_Analitik!$AE$2:$AE$351,0)),""))</f>
        <v/>
      </c>
      <c r="D279" s="99" t="str">
        <f>IF(OR($A279="",$A279&gt;SUM(Data_Analitik!$AD$2:$AD$351)),"",IFERROR(INDEX(Data_Analitik!$D$2:$D$351,MATCH($A279,Data_Analitik!$AE$2:$AE$351,0)),""))</f>
        <v/>
      </c>
      <c r="E279" s="100" t="str">
        <f>IF(OR($A279="",$A279&gt;SUM(Data_Analitik!$AD$2:$AD$351)),"",IFERROR(INDEX(Data_Analitik!$E$2:$E$351,MATCH($A279,Data_Analitik!$AE$2:$AE$351,0)),""))</f>
        <v/>
      </c>
      <c r="F279" s="97" t="str">
        <f>IF(OR($A279="",$A279&gt;SUM(Data_Analitik!$AD$2:$AD$351)),"",IFERROR(INDEX(Data_Analitik!$Z$2:$Z$351,MATCH($A279,Data_Analitik!$AE$2:$AE$351,0)),""))</f>
        <v/>
      </c>
      <c r="G279" s="97" t="str">
        <f>IF(OR($A279="",$A279&gt;SUM(Data_Analitik!$AD$2:$AD$351)),"",IFERROR(INDEX(Data_Analitik!$AA$2:$AA$351,MATCH($A279,Data_Analitik!$AE$2:$AE$351,0)),""))</f>
        <v/>
      </c>
      <c r="H279" s="100" t="str">
        <f>IF(OR($A279="",$A279&gt;SUM(Data_Analitik!$AD$2:$AD$351)),"",IFERROR(INDEX(Data_Analitik!$U$2:$U$351,MATCH($A279,Data_Analitik!$AE$2:$AE$351,0)),""))</f>
        <v/>
      </c>
      <c r="I279" s="33" t="str">
        <f>IF(OR($A279="",$A279&gt;SUM(Data_Analitik!$AD$2:$AD$351)),"",IFERROR(INDEX(Data_Analitik!$AB$2:$AB$351,MATCH($A279,Data_Analitik!$AE$2:$AE$351,0)),""))</f>
        <v/>
      </c>
    </row>
    <row r="280" spans="1:9" ht="21.95" customHeight="1" x14ac:dyDescent="0.25">
      <c r="A280" s="32">
        <f t="shared" si="4"/>
        <v>267</v>
      </c>
      <c r="B280" s="99" t="str">
        <f>IF(OR($A280="",$A280&gt;SUM(Data_Analitik!$AD$2:$AD$351)),"",IFERROR(INDEX(Data_Analitik!$B$2:$B$351,MATCH($A280,Data_Analitik!$AE$2:$AE$351,0)),""))</f>
        <v/>
      </c>
      <c r="C280" s="101" t="str">
        <f>IF(OR($A280="",$A280&gt;SUM(Data_Analitik!$AD$2:$AD$351)),"",IFERROR(INDEX(Data_Analitik!$C$2:$C$351,MATCH($A280,Data_Analitik!$AE$2:$AE$351,0)),""))</f>
        <v/>
      </c>
      <c r="D280" s="99" t="str">
        <f>IF(OR($A280="",$A280&gt;SUM(Data_Analitik!$AD$2:$AD$351)),"",IFERROR(INDEX(Data_Analitik!$D$2:$D$351,MATCH($A280,Data_Analitik!$AE$2:$AE$351,0)),""))</f>
        <v/>
      </c>
      <c r="E280" s="100" t="str">
        <f>IF(OR($A280="",$A280&gt;SUM(Data_Analitik!$AD$2:$AD$351)),"",IFERROR(INDEX(Data_Analitik!$E$2:$E$351,MATCH($A280,Data_Analitik!$AE$2:$AE$351,0)),""))</f>
        <v/>
      </c>
      <c r="F280" s="97" t="str">
        <f>IF(OR($A280="",$A280&gt;SUM(Data_Analitik!$AD$2:$AD$351)),"",IFERROR(INDEX(Data_Analitik!$Z$2:$Z$351,MATCH($A280,Data_Analitik!$AE$2:$AE$351,0)),""))</f>
        <v/>
      </c>
      <c r="G280" s="97" t="str">
        <f>IF(OR($A280="",$A280&gt;SUM(Data_Analitik!$AD$2:$AD$351)),"",IFERROR(INDEX(Data_Analitik!$AA$2:$AA$351,MATCH($A280,Data_Analitik!$AE$2:$AE$351,0)),""))</f>
        <v/>
      </c>
      <c r="H280" s="100" t="str">
        <f>IF(OR($A280="",$A280&gt;SUM(Data_Analitik!$AD$2:$AD$351)),"",IFERROR(INDEX(Data_Analitik!$U$2:$U$351,MATCH($A280,Data_Analitik!$AE$2:$AE$351,0)),""))</f>
        <v/>
      </c>
      <c r="I280" s="33" t="str">
        <f>IF(OR($A280="",$A280&gt;SUM(Data_Analitik!$AD$2:$AD$351)),"",IFERROR(INDEX(Data_Analitik!$AB$2:$AB$351,MATCH($A280,Data_Analitik!$AE$2:$AE$351,0)),""))</f>
        <v/>
      </c>
    </row>
    <row r="281" spans="1:9" ht="21.95" customHeight="1" x14ac:dyDescent="0.25">
      <c r="A281" s="32">
        <f t="shared" si="4"/>
        <v>268</v>
      </c>
      <c r="B281" s="99" t="str">
        <f>IF(OR($A281="",$A281&gt;SUM(Data_Analitik!$AD$2:$AD$351)),"",IFERROR(INDEX(Data_Analitik!$B$2:$B$351,MATCH($A281,Data_Analitik!$AE$2:$AE$351,0)),""))</f>
        <v/>
      </c>
      <c r="C281" s="101" t="str">
        <f>IF(OR($A281="",$A281&gt;SUM(Data_Analitik!$AD$2:$AD$351)),"",IFERROR(INDEX(Data_Analitik!$C$2:$C$351,MATCH($A281,Data_Analitik!$AE$2:$AE$351,0)),""))</f>
        <v/>
      </c>
      <c r="D281" s="99" t="str">
        <f>IF(OR($A281="",$A281&gt;SUM(Data_Analitik!$AD$2:$AD$351)),"",IFERROR(INDEX(Data_Analitik!$D$2:$D$351,MATCH($A281,Data_Analitik!$AE$2:$AE$351,0)),""))</f>
        <v/>
      </c>
      <c r="E281" s="100" t="str">
        <f>IF(OR($A281="",$A281&gt;SUM(Data_Analitik!$AD$2:$AD$351)),"",IFERROR(INDEX(Data_Analitik!$E$2:$E$351,MATCH($A281,Data_Analitik!$AE$2:$AE$351,0)),""))</f>
        <v/>
      </c>
      <c r="F281" s="97" t="str">
        <f>IF(OR($A281="",$A281&gt;SUM(Data_Analitik!$AD$2:$AD$351)),"",IFERROR(INDEX(Data_Analitik!$Z$2:$Z$351,MATCH($A281,Data_Analitik!$AE$2:$AE$351,0)),""))</f>
        <v/>
      </c>
      <c r="G281" s="97" t="str">
        <f>IF(OR($A281="",$A281&gt;SUM(Data_Analitik!$AD$2:$AD$351)),"",IFERROR(INDEX(Data_Analitik!$AA$2:$AA$351,MATCH($A281,Data_Analitik!$AE$2:$AE$351,0)),""))</f>
        <v/>
      </c>
      <c r="H281" s="100" t="str">
        <f>IF(OR($A281="",$A281&gt;SUM(Data_Analitik!$AD$2:$AD$351)),"",IFERROR(INDEX(Data_Analitik!$U$2:$U$351,MATCH($A281,Data_Analitik!$AE$2:$AE$351,0)),""))</f>
        <v/>
      </c>
      <c r="I281" s="33" t="str">
        <f>IF(OR($A281="",$A281&gt;SUM(Data_Analitik!$AD$2:$AD$351)),"",IFERROR(INDEX(Data_Analitik!$AB$2:$AB$351,MATCH($A281,Data_Analitik!$AE$2:$AE$351,0)),""))</f>
        <v/>
      </c>
    </row>
    <row r="282" spans="1:9" ht="21.95" customHeight="1" x14ac:dyDescent="0.25">
      <c r="A282" s="32">
        <f t="shared" si="4"/>
        <v>269</v>
      </c>
      <c r="B282" s="99" t="str">
        <f>IF(OR($A282="",$A282&gt;SUM(Data_Analitik!$AD$2:$AD$351)),"",IFERROR(INDEX(Data_Analitik!$B$2:$B$351,MATCH($A282,Data_Analitik!$AE$2:$AE$351,0)),""))</f>
        <v/>
      </c>
      <c r="C282" s="101" t="str">
        <f>IF(OR($A282="",$A282&gt;SUM(Data_Analitik!$AD$2:$AD$351)),"",IFERROR(INDEX(Data_Analitik!$C$2:$C$351,MATCH($A282,Data_Analitik!$AE$2:$AE$351,0)),""))</f>
        <v/>
      </c>
      <c r="D282" s="99" t="str">
        <f>IF(OR($A282="",$A282&gt;SUM(Data_Analitik!$AD$2:$AD$351)),"",IFERROR(INDEX(Data_Analitik!$D$2:$D$351,MATCH($A282,Data_Analitik!$AE$2:$AE$351,0)),""))</f>
        <v/>
      </c>
      <c r="E282" s="100" t="str">
        <f>IF(OR($A282="",$A282&gt;SUM(Data_Analitik!$AD$2:$AD$351)),"",IFERROR(INDEX(Data_Analitik!$E$2:$E$351,MATCH($A282,Data_Analitik!$AE$2:$AE$351,0)),""))</f>
        <v/>
      </c>
      <c r="F282" s="97" t="str">
        <f>IF(OR($A282="",$A282&gt;SUM(Data_Analitik!$AD$2:$AD$351)),"",IFERROR(INDEX(Data_Analitik!$Z$2:$Z$351,MATCH($A282,Data_Analitik!$AE$2:$AE$351,0)),""))</f>
        <v/>
      </c>
      <c r="G282" s="97" t="str">
        <f>IF(OR($A282="",$A282&gt;SUM(Data_Analitik!$AD$2:$AD$351)),"",IFERROR(INDEX(Data_Analitik!$AA$2:$AA$351,MATCH($A282,Data_Analitik!$AE$2:$AE$351,0)),""))</f>
        <v/>
      </c>
      <c r="H282" s="100" t="str">
        <f>IF(OR($A282="",$A282&gt;SUM(Data_Analitik!$AD$2:$AD$351)),"",IFERROR(INDEX(Data_Analitik!$U$2:$U$351,MATCH($A282,Data_Analitik!$AE$2:$AE$351,0)),""))</f>
        <v/>
      </c>
      <c r="I282" s="33" t="str">
        <f>IF(OR($A282="",$A282&gt;SUM(Data_Analitik!$AD$2:$AD$351)),"",IFERROR(INDEX(Data_Analitik!$AB$2:$AB$351,MATCH($A282,Data_Analitik!$AE$2:$AE$351,0)),""))</f>
        <v/>
      </c>
    </row>
    <row r="283" spans="1:9" ht="21.95" customHeight="1" x14ac:dyDescent="0.25">
      <c r="A283" s="32">
        <f t="shared" si="4"/>
        <v>270</v>
      </c>
      <c r="B283" s="99" t="str">
        <f>IF(OR($A283="",$A283&gt;SUM(Data_Analitik!$AD$2:$AD$351)),"",IFERROR(INDEX(Data_Analitik!$B$2:$B$351,MATCH($A283,Data_Analitik!$AE$2:$AE$351,0)),""))</f>
        <v/>
      </c>
      <c r="C283" s="101" t="str">
        <f>IF(OR($A283="",$A283&gt;SUM(Data_Analitik!$AD$2:$AD$351)),"",IFERROR(INDEX(Data_Analitik!$C$2:$C$351,MATCH($A283,Data_Analitik!$AE$2:$AE$351,0)),""))</f>
        <v/>
      </c>
      <c r="D283" s="99" t="str">
        <f>IF(OR($A283="",$A283&gt;SUM(Data_Analitik!$AD$2:$AD$351)),"",IFERROR(INDEX(Data_Analitik!$D$2:$D$351,MATCH($A283,Data_Analitik!$AE$2:$AE$351,0)),""))</f>
        <v/>
      </c>
      <c r="E283" s="100" t="str">
        <f>IF(OR($A283="",$A283&gt;SUM(Data_Analitik!$AD$2:$AD$351)),"",IFERROR(INDEX(Data_Analitik!$E$2:$E$351,MATCH($A283,Data_Analitik!$AE$2:$AE$351,0)),""))</f>
        <v/>
      </c>
      <c r="F283" s="97" t="str">
        <f>IF(OR($A283="",$A283&gt;SUM(Data_Analitik!$AD$2:$AD$351)),"",IFERROR(INDEX(Data_Analitik!$Z$2:$Z$351,MATCH($A283,Data_Analitik!$AE$2:$AE$351,0)),""))</f>
        <v/>
      </c>
      <c r="G283" s="97" t="str">
        <f>IF(OR($A283="",$A283&gt;SUM(Data_Analitik!$AD$2:$AD$351)),"",IFERROR(INDEX(Data_Analitik!$AA$2:$AA$351,MATCH($A283,Data_Analitik!$AE$2:$AE$351,0)),""))</f>
        <v/>
      </c>
      <c r="H283" s="100" t="str">
        <f>IF(OR($A283="",$A283&gt;SUM(Data_Analitik!$AD$2:$AD$351)),"",IFERROR(INDEX(Data_Analitik!$U$2:$U$351,MATCH($A283,Data_Analitik!$AE$2:$AE$351,0)),""))</f>
        <v/>
      </c>
      <c r="I283" s="33" t="str">
        <f>IF(OR($A283="",$A283&gt;SUM(Data_Analitik!$AD$2:$AD$351)),"",IFERROR(INDEX(Data_Analitik!$AB$2:$AB$351,MATCH($A283,Data_Analitik!$AE$2:$AE$351,0)),""))</f>
        <v/>
      </c>
    </row>
    <row r="284" spans="1:9" ht="21.95" customHeight="1" x14ac:dyDescent="0.25">
      <c r="A284" s="32">
        <f t="shared" si="4"/>
        <v>271</v>
      </c>
      <c r="B284" s="99" t="str">
        <f>IF(OR($A284="",$A284&gt;SUM(Data_Analitik!$AD$2:$AD$351)),"",IFERROR(INDEX(Data_Analitik!$B$2:$B$351,MATCH($A284,Data_Analitik!$AE$2:$AE$351,0)),""))</f>
        <v/>
      </c>
      <c r="C284" s="101" t="str">
        <f>IF(OR($A284="",$A284&gt;SUM(Data_Analitik!$AD$2:$AD$351)),"",IFERROR(INDEX(Data_Analitik!$C$2:$C$351,MATCH($A284,Data_Analitik!$AE$2:$AE$351,0)),""))</f>
        <v/>
      </c>
      <c r="D284" s="99" t="str">
        <f>IF(OR($A284="",$A284&gt;SUM(Data_Analitik!$AD$2:$AD$351)),"",IFERROR(INDEX(Data_Analitik!$D$2:$D$351,MATCH($A284,Data_Analitik!$AE$2:$AE$351,0)),""))</f>
        <v/>
      </c>
      <c r="E284" s="100" t="str">
        <f>IF(OR($A284="",$A284&gt;SUM(Data_Analitik!$AD$2:$AD$351)),"",IFERROR(INDEX(Data_Analitik!$E$2:$E$351,MATCH($A284,Data_Analitik!$AE$2:$AE$351,0)),""))</f>
        <v/>
      </c>
      <c r="F284" s="97" t="str">
        <f>IF(OR($A284="",$A284&gt;SUM(Data_Analitik!$AD$2:$AD$351)),"",IFERROR(INDEX(Data_Analitik!$Z$2:$Z$351,MATCH($A284,Data_Analitik!$AE$2:$AE$351,0)),""))</f>
        <v/>
      </c>
      <c r="G284" s="97" t="str">
        <f>IF(OR($A284="",$A284&gt;SUM(Data_Analitik!$AD$2:$AD$351)),"",IFERROR(INDEX(Data_Analitik!$AA$2:$AA$351,MATCH($A284,Data_Analitik!$AE$2:$AE$351,0)),""))</f>
        <v/>
      </c>
      <c r="H284" s="100" t="str">
        <f>IF(OR($A284="",$A284&gt;SUM(Data_Analitik!$AD$2:$AD$351)),"",IFERROR(INDEX(Data_Analitik!$U$2:$U$351,MATCH($A284,Data_Analitik!$AE$2:$AE$351,0)),""))</f>
        <v/>
      </c>
      <c r="I284" s="33" t="str">
        <f>IF(OR($A284="",$A284&gt;SUM(Data_Analitik!$AD$2:$AD$351)),"",IFERROR(INDEX(Data_Analitik!$AB$2:$AB$351,MATCH($A284,Data_Analitik!$AE$2:$AE$351,0)),""))</f>
        <v/>
      </c>
    </row>
    <row r="285" spans="1:9" ht="21.95" customHeight="1" x14ac:dyDescent="0.25">
      <c r="A285" s="32">
        <f t="shared" si="4"/>
        <v>272</v>
      </c>
      <c r="B285" s="99" t="str">
        <f>IF(OR($A285="",$A285&gt;SUM(Data_Analitik!$AD$2:$AD$351)),"",IFERROR(INDEX(Data_Analitik!$B$2:$B$351,MATCH($A285,Data_Analitik!$AE$2:$AE$351,0)),""))</f>
        <v/>
      </c>
      <c r="C285" s="101" t="str">
        <f>IF(OR($A285="",$A285&gt;SUM(Data_Analitik!$AD$2:$AD$351)),"",IFERROR(INDEX(Data_Analitik!$C$2:$C$351,MATCH($A285,Data_Analitik!$AE$2:$AE$351,0)),""))</f>
        <v/>
      </c>
      <c r="D285" s="99" t="str">
        <f>IF(OR($A285="",$A285&gt;SUM(Data_Analitik!$AD$2:$AD$351)),"",IFERROR(INDEX(Data_Analitik!$D$2:$D$351,MATCH($A285,Data_Analitik!$AE$2:$AE$351,0)),""))</f>
        <v/>
      </c>
      <c r="E285" s="100" t="str">
        <f>IF(OR($A285="",$A285&gt;SUM(Data_Analitik!$AD$2:$AD$351)),"",IFERROR(INDEX(Data_Analitik!$E$2:$E$351,MATCH($A285,Data_Analitik!$AE$2:$AE$351,0)),""))</f>
        <v/>
      </c>
      <c r="F285" s="97" t="str">
        <f>IF(OR($A285="",$A285&gt;SUM(Data_Analitik!$AD$2:$AD$351)),"",IFERROR(INDEX(Data_Analitik!$Z$2:$Z$351,MATCH($A285,Data_Analitik!$AE$2:$AE$351,0)),""))</f>
        <v/>
      </c>
      <c r="G285" s="97" t="str">
        <f>IF(OR($A285="",$A285&gt;SUM(Data_Analitik!$AD$2:$AD$351)),"",IFERROR(INDEX(Data_Analitik!$AA$2:$AA$351,MATCH($A285,Data_Analitik!$AE$2:$AE$351,0)),""))</f>
        <v/>
      </c>
      <c r="H285" s="100" t="str">
        <f>IF(OR($A285="",$A285&gt;SUM(Data_Analitik!$AD$2:$AD$351)),"",IFERROR(INDEX(Data_Analitik!$U$2:$U$351,MATCH($A285,Data_Analitik!$AE$2:$AE$351,0)),""))</f>
        <v/>
      </c>
      <c r="I285" s="33" t="str">
        <f>IF(OR($A285="",$A285&gt;SUM(Data_Analitik!$AD$2:$AD$351)),"",IFERROR(INDEX(Data_Analitik!$AB$2:$AB$351,MATCH($A285,Data_Analitik!$AE$2:$AE$351,0)),""))</f>
        <v/>
      </c>
    </row>
    <row r="286" spans="1:9" ht="21.95" customHeight="1" x14ac:dyDescent="0.25">
      <c r="A286" s="32">
        <f t="shared" si="4"/>
        <v>273</v>
      </c>
      <c r="B286" s="99" t="str">
        <f>IF(OR($A286="",$A286&gt;SUM(Data_Analitik!$AD$2:$AD$351)),"",IFERROR(INDEX(Data_Analitik!$B$2:$B$351,MATCH($A286,Data_Analitik!$AE$2:$AE$351,0)),""))</f>
        <v/>
      </c>
      <c r="C286" s="101" t="str">
        <f>IF(OR($A286="",$A286&gt;SUM(Data_Analitik!$AD$2:$AD$351)),"",IFERROR(INDEX(Data_Analitik!$C$2:$C$351,MATCH($A286,Data_Analitik!$AE$2:$AE$351,0)),""))</f>
        <v/>
      </c>
      <c r="D286" s="99" t="str">
        <f>IF(OR($A286="",$A286&gt;SUM(Data_Analitik!$AD$2:$AD$351)),"",IFERROR(INDEX(Data_Analitik!$D$2:$D$351,MATCH($A286,Data_Analitik!$AE$2:$AE$351,0)),""))</f>
        <v/>
      </c>
      <c r="E286" s="100" t="str">
        <f>IF(OR($A286="",$A286&gt;SUM(Data_Analitik!$AD$2:$AD$351)),"",IFERROR(INDEX(Data_Analitik!$E$2:$E$351,MATCH($A286,Data_Analitik!$AE$2:$AE$351,0)),""))</f>
        <v/>
      </c>
      <c r="F286" s="97" t="str">
        <f>IF(OR($A286="",$A286&gt;SUM(Data_Analitik!$AD$2:$AD$351)),"",IFERROR(INDEX(Data_Analitik!$Z$2:$Z$351,MATCH($A286,Data_Analitik!$AE$2:$AE$351,0)),""))</f>
        <v/>
      </c>
      <c r="G286" s="97" t="str">
        <f>IF(OR($A286="",$A286&gt;SUM(Data_Analitik!$AD$2:$AD$351)),"",IFERROR(INDEX(Data_Analitik!$AA$2:$AA$351,MATCH($A286,Data_Analitik!$AE$2:$AE$351,0)),""))</f>
        <v/>
      </c>
      <c r="H286" s="100" t="str">
        <f>IF(OR($A286="",$A286&gt;SUM(Data_Analitik!$AD$2:$AD$351)),"",IFERROR(INDEX(Data_Analitik!$U$2:$U$351,MATCH($A286,Data_Analitik!$AE$2:$AE$351,0)),""))</f>
        <v/>
      </c>
      <c r="I286" s="33" t="str">
        <f>IF(OR($A286="",$A286&gt;SUM(Data_Analitik!$AD$2:$AD$351)),"",IFERROR(INDEX(Data_Analitik!$AB$2:$AB$351,MATCH($A286,Data_Analitik!$AE$2:$AE$351,0)),""))</f>
        <v/>
      </c>
    </row>
    <row r="287" spans="1:9" ht="21.95" customHeight="1" x14ac:dyDescent="0.25">
      <c r="A287" s="32">
        <f t="shared" si="4"/>
        <v>274</v>
      </c>
      <c r="B287" s="99" t="str">
        <f>IF(OR($A287="",$A287&gt;SUM(Data_Analitik!$AD$2:$AD$351)),"",IFERROR(INDEX(Data_Analitik!$B$2:$B$351,MATCH($A287,Data_Analitik!$AE$2:$AE$351,0)),""))</f>
        <v/>
      </c>
      <c r="C287" s="101" t="str">
        <f>IF(OR($A287="",$A287&gt;SUM(Data_Analitik!$AD$2:$AD$351)),"",IFERROR(INDEX(Data_Analitik!$C$2:$C$351,MATCH($A287,Data_Analitik!$AE$2:$AE$351,0)),""))</f>
        <v/>
      </c>
      <c r="D287" s="99" t="str">
        <f>IF(OR($A287="",$A287&gt;SUM(Data_Analitik!$AD$2:$AD$351)),"",IFERROR(INDEX(Data_Analitik!$D$2:$D$351,MATCH($A287,Data_Analitik!$AE$2:$AE$351,0)),""))</f>
        <v/>
      </c>
      <c r="E287" s="100" t="str">
        <f>IF(OR($A287="",$A287&gt;SUM(Data_Analitik!$AD$2:$AD$351)),"",IFERROR(INDEX(Data_Analitik!$E$2:$E$351,MATCH($A287,Data_Analitik!$AE$2:$AE$351,0)),""))</f>
        <v/>
      </c>
      <c r="F287" s="97" t="str">
        <f>IF(OR($A287="",$A287&gt;SUM(Data_Analitik!$AD$2:$AD$351)),"",IFERROR(INDEX(Data_Analitik!$Z$2:$Z$351,MATCH($A287,Data_Analitik!$AE$2:$AE$351,0)),""))</f>
        <v/>
      </c>
      <c r="G287" s="97" t="str">
        <f>IF(OR($A287="",$A287&gt;SUM(Data_Analitik!$AD$2:$AD$351)),"",IFERROR(INDEX(Data_Analitik!$AA$2:$AA$351,MATCH($A287,Data_Analitik!$AE$2:$AE$351,0)),""))</f>
        <v/>
      </c>
      <c r="H287" s="100" t="str">
        <f>IF(OR($A287="",$A287&gt;SUM(Data_Analitik!$AD$2:$AD$351)),"",IFERROR(INDEX(Data_Analitik!$U$2:$U$351,MATCH($A287,Data_Analitik!$AE$2:$AE$351,0)),""))</f>
        <v/>
      </c>
      <c r="I287" s="33" t="str">
        <f>IF(OR($A287="",$A287&gt;SUM(Data_Analitik!$AD$2:$AD$351)),"",IFERROR(INDEX(Data_Analitik!$AB$2:$AB$351,MATCH($A287,Data_Analitik!$AE$2:$AE$351,0)),""))</f>
        <v/>
      </c>
    </row>
    <row r="288" spans="1:9" ht="21.95" customHeight="1" x14ac:dyDescent="0.25">
      <c r="A288" s="32">
        <f t="shared" si="4"/>
        <v>275</v>
      </c>
      <c r="B288" s="99" t="str">
        <f>IF(OR($A288="",$A288&gt;SUM(Data_Analitik!$AD$2:$AD$351)),"",IFERROR(INDEX(Data_Analitik!$B$2:$B$351,MATCH($A288,Data_Analitik!$AE$2:$AE$351,0)),""))</f>
        <v/>
      </c>
      <c r="C288" s="101" t="str">
        <f>IF(OR($A288="",$A288&gt;SUM(Data_Analitik!$AD$2:$AD$351)),"",IFERROR(INDEX(Data_Analitik!$C$2:$C$351,MATCH($A288,Data_Analitik!$AE$2:$AE$351,0)),""))</f>
        <v/>
      </c>
      <c r="D288" s="99" t="str">
        <f>IF(OR($A288="",$A288&gt;SUM(Data_Analitik!$AD$2:$AD$351)),"",IFERROR(INDEX(Data_Analitik!$D$2:$D$351,MATCH($A288,Data_Analitik!$AE$2:$AE$351,0)),""))</f>
        <v/>
      </c>
      <c r="E288" s="100" t="str">
        <f>IF(OR($A288="",$A288&gt;SUM(Data_Analitik!$AD$2:$AD$351)),"",IFERROR(INDEX(Data_Analitik!$E$2:$E$351,MATCH($A288,Data_Analitik!$AE$2:$AE$351,0)),""))</f>
        <v/>
      </c>
      <c r="F288" s="97" t="str">
        <f>IF(OR($A288="",$A288&gt;SUM(Data_Analitik!$AD$2:$AD$351)),"",IFERROR(INDEX(Data_Analitik!$Z$2:$Z$351,MATCH($A288,Data_Analitik!$AE$2:$AE$351,0)),""))</f>
        <v/>
      </c>
      <c r="G288" s="97" t="str">
        <f>IF(OR($A288="",$A288&gt;SUM(Data_Analitik!$AD$2:$AD$351)),"",IFERROR(INDEX(Data_Analitik!$AA$2:$AA$351,MATCH($A288,Data_Analitik!$AE$2:$AE$351,0)),""))</f>
        <v/>
      </c>
      <c r="H288" s="100" t="str">
        <f>IF(OR($A288="",$A288&gt;SUM(Data_Analitik!$AD$2:$AD$351)),"",IFERROR(INDEX(Data_Analitik!$U$2:$U$351,MATCH($A288,Data_Analitik!$AE$2:$AE$351,0)),""))</f>
        <v/>
      </c>
      <c r="I288" s="33" t="str">
        <f>IF(OR($A288="",$A288&gt;SUM(Data_Analitik!$AD$2:$AD$351)),"",IFERROR(INDEX(Data_Analitik!$AB$2:$AB$351,MATCH($A288,Data_Analitik!$AE$2:$AE$351,0)),""))</f>
        <v/>
      </c>
    </row>
    <row r="289" spans="1:9" ht="21.95" customHeight="1" x14ac:dyDescent="0.25">
      <c r="A289" s="32">
        <f t="shared" si="4"/>
        <v>276</v>
      </c>
      <c r="B289" s="99" t="str">
        <f>IF(OR($A289="",$A289&gt;SUM(Data_Analitik!$AD$2:$AD$351)),"",IFERROR(INDEX(Data_Analitik!$B$2:$B$351,MATCH($A289,Data_Analitik!$AE$2:$AE$351,0)),""))</f>
        <v/>
      </c>
      <c r="C289" s="101" t="str">
        <f>IF(OR($A289="",$A289&gt;SUM(Data_Analitik!$AD$2:$AD$351)),"",IFERROR(INDEX(Data_Analitik!$C$2:$C$351,MATCH($A289,Data_Analitik!$AE$2:$AE$351,0)),""))</f>
        <v/>
      </c>
      <c r="D289" s="99" t="str">
        <f>IF(OR($A289="",$A289&gt;SUM(Data_Analitik!$AD$2:$AD$351)),"",IFERROR(INDEX(Data_Analitik!$D$2:$D$351,MATCH($A289,Data_Analitik!$AE$2:$AE$351,0)),""))</f>
        <v/>
      </c>
      <c r="E289" s="100" t="str">
        <f>IF(OR($A289="",$A289&gt;SUM(Data_Analitik!$AD$2:$AD$351)),"",IFERROR(INDEX(Data_Analitik!$E$2:$E$351,MATCH($A289,Data_Analitik!$AE$2:$AE$351,0)),""))</f>
        <v/>
      </c>
      <c r="F289" s="97" t="str">
        <f>IF(OR($A289="",$A289&gt;SUM(Data_Analitik!$AD$2:$AD$351)),"",IFERROR(INDEX(Data_Analitik!$Z$2:$Z$351,MATCH($A289,Data_Analitik!$AE$2:$AE$351,0)),""))</f>
        <v/>
      </c>
      <c r="G289" s="97" t="str">
        <f>IF(OR($A289="",$A289&gt;SUM(Data_Analitik!$AD$2:$AD$351)),"",IFERROR(INDEX(Data_Analitik!$AA$2:$AA$351,MATCH($A289,Data_Analitik!$AE$2:$AE$351,0)),""))</f>
        <v/>
      </c>
      <c r="H289" s="100" t="str">
        <f>IF(OR($A289="",$A289&gt;SUM(Data_Analitik!$AD$2:$AD$351)),"",IFERROR(INDEX(Data_Analitik!$U$2:$U$351,MATCH($A289,Data_Analitik!$AE$2:$AE$351,0)),""))</f>
        <v/>
      </c>
      <c r="I289" s="33" t="str">
        <f>IF(OR($A289="",$A289&gt;SUM(Data_Analitik!$AD$2:$AD$351)),"",IFERROR(INDEX(Data_Analitik!$AB$2:$AB$351,MATCH($A289,Data_Analitik!$AE$2:$AE$351,0)),""))</f>
        <v/>
      </c>
    </row>
    <row r="290" spans="1:9" ht="21.95" customHeight="1" x14ac:dyDescent="0.25">
      <c r="A290" s="32">
        <f t="shared" si="4"/>
        <v>277</v>
      </c>
      <c r="B290" s="99" t="str">
        <f>IF(OR($A290="",$A290&gt;SUM(Data_Analitik!$AD$2:$AD$351)),"",IFERROR(INDEX(Data_Analitik!$B$2:$B$351,MATCH($A290,Data_Analitik!$AE$2:$AE$351,0)),""))</f>
        <v/>
      </c>
      <c r="C290" s="101" t="str">
        <f>IF(OR($A290="",$A290&gt;SUM(Data_Analitik!$AD$2:$AD$351)),"",IFERROR(INDEX(Data_Analitik!$C$2:$C$351,MATCH($A290,Data_Analitik!$AE$2:$AE$351,0)),""))</f>
        <v/>
      </c>
      <c r="D290" s="99" t="str">
        <f>IF(OR($A290="",$A290&gt;SUM(Data_Analitik!$AD$2:$AD$351)),"",IFERROR(INDEX(Data_Analitik!$D$2:$D$351,MATCH($A290,Data_Analitik!$AE$2:$AE$351,0)),""))</f>
        <v/>
      </c>
      <c r="E290" s="100" t="str">
        <f>IF(OR($A290="",$A290&gt;SUM(Data_Analitik!$AD$2:$AD$351)),"",IFERROR(INDEX(Data_Analitik!$E$2:$E$351,MATCH($A290,Data_Analitik!$AE$2:$AE$351,0)),""))</f>
        <v/>
      </c>
      <c r="F290" s="97" t="str">
        <f>IF(OR($A290="",$A290&gt;SUM(Data_Analitik!$AD$2:$AD$351)),"",IFERROR(INDEX(Data_Analitik!$Z$2:$Z$351,MATCH($A290,Data_Analitik!$AE$2:$AE$351,0)),""))</f>
        <v/>
      </c>
      <c r="G290" s="97" t="str">
        <f>IF(OR($A290="",$A290&gt;SUM(Data_Analitik!$AD$2:$AD$351)),"",IFERROR(INDEX(Data_Analitik!$AA$2:$AA$351,MATCH($A290,Data_Analitik!$AE$2:$AE$351,0)),""))</f>
        <v/>
      </c>
      <c r="H290" s="100" t="str">
        <f>IF(OR($A290="",$A290&gt;SUM(Data_Analitik!$AD$2:$AD$351)),"",IFERROR(INDEX(Data_Analitik!$U$2:$U$351,MATCH($A290,Data_Analitik!$AE$2:$AE$351,0)),""))</f>
        <v/>
      </c>
      <c r="I290" s="33" t="str">
        <f>IF(OR($A290="",$A290&gt;SUM(Data_Analitik!$AD$2:$AD$351)),"",IFERROR(INDEX(Data_Analitik!$AB$2:$AB$351,MATCH($A290,Data_Analitik!$AE$2:$AE$351,0)),""))</f>
        <v/>
      </c>
    </row>
    <row r="291" spans="1:9" ht="21.95" customHeight="1" x14ac:dyDescent="0.25">
      <c r="A291" s="32">
        <f t="shared" si="4"/>
        <v>278</v>
      </c>
      <c r="B291" s="99" t="str">
        <f>IF(OR($A291="",$A291&gt;SUM(Data_Analitik!$AD$2:$AD$351)),"",IFERROR(INDEX(Data_Analitik!$B$2:$B$351,MATCH($A291,Data_Analitik!$AE$2:$AE$351,0)),""))</f>
        <v/>
      </c>
      <c r="C291" s="101" t="str">
        <f>IF(OR($A291="",$A291&gt;SUM(Data_Analitik!$AD$2:$AD$351)),"",IFERROR(INDEX(Data_Analitik!$C$2:$C$351,MATCH($A291,Data_Analitik!$AE$2:$AE$351,0)),""))</f>
        <v/>
      </c>
      <c r="D291" s="99" t="str">
        <f>IF(OR($A291="",$A291&gt;SUM(Data_Analitik!$AD$2:$AD$351)),"",IFERROR(INDEX(Data_Analitik!$D$2:$D$351,MATCH($A291,Data_Analitik!$AE$2:$AE$351,0)),""))</f>
        <v/>
      </c>
      <c r="E291" s="100" t="str">
        <f>IF(OR($A291="",$A291&gt;SUM(Data_Analitik!$AD$2:$AD$351)),"",IFERROR(INDEX(Data_Analitik!$E$2:$E$351,MATCH($A291,Data_Analitik!$AE$2:$AE$351,0)),""))</f>
        <v/>
      </c>
      <c r="F291" s="97" t="str">
        <f>IF(OR($A291="",$A291&gt;SUM(Data_Analitik!$AD$2:$AD$351)),"",IFERROR(INDEX(Data_Analitik!$Z$2:$Z$351,MATCH($A291,Data_Analitik!$AE$2:$AE$351,0)),""))</f>
        <v/>
      </c>
      <c r="G291" s="97" t="str">
        <f>IF(OR($A291="",$A291&gt;SUM(Data_Analitik!$AD$2:$AD$351)),"",IFERROR(INDEX(Data_Analitik!$AA$2:$AA$351,MATCH($A291,Data_Analitik!$AE$2:$AE$351,0)),""))</f>
        <v/>
      </c>
      <c r="H291" s="100" t="str">
        <f>IF(OR($A291="",$A291&gt;SUM(Data_Analitik!$AD$2:$AD$351)),"",IFERROR(INDEX(Data_Analitik!$U$2:$U$351,MATCH($A291,Data_Analitik!$AE$2:$AE$351,0)),""))</f>
        <v/>
      </c>
      <c r="I291" s="33" t="str">
        <f>IF(OR($A291="",$A291&gt;SUM(Data_Analitik!$AD$2:$AD$351)),"",IFERROR(INDEX(Data_Analitik!$AB$2:$AB$351,MATCH($A291,Data_Analitik!$AE$2:$AE$351,0)),""))</f>
        <v/>
      </c>
    </row>
    <row r="292" spans="1:9" ht="21.95" customHeight="1" x14ac:dyDescent="0.25">
      <c r="A292" s="32">
        <f t="shared" si="4"/>
        <v>279</v>
      </c>
      <c r="B292" s="99" t="str">
        <f>IF(OR($A292="",$A292&gt;SUM(Data_Analitik!$AD$2:$AD$351)),"",IFERROR(INDEX(Data_Analitik!$B$2:$B$351,MATCH($A292,Data_Analitik!$AE$2:$AE$351,0)),""))</f>
        <v/>
      </c>
      <c r="C292" s="101" t="str">
        <f>IF(OR($A292="",$A292&gt;SUM(Data_Analitik!$AD$2:$AD$351)),"",IFERROR(INDEX(Data_Analitik!$C$2:$C$351,MATCH($A292,Data_Analitik!$AE$2:$AE$351,0)),""))</f>
        <v/>
      </c>
      <c r="D292" s="99" t="str">
        <f>IF(OR($A292="",$A292&gt;SUM(Data_Analitik!$AD$2:$AD$351)),"",IFERROR(INDEX(Data_Analitik!$D$2:$D$351,MATCH($A292,Data_Analitik!$AE$2:$AE$351,0)),""))</f>
        <v/>
      </c>
      <c r="E292" s="100" t="str">
        <f>IF(OR($A292="",$A292&gt;SUM(Data_Analitik!$AD$2:$AD$351)),"",IFERROR(INDEX(Data_Analitik!$E$2:$E$351,MATCH($A292,Data_Analitik!$AE$2:$AE$351,0)),""))</f>
        <v/>
      </c>
      <c r="F292" s="97" t="str">
        <f>IF(OR($A292="",$A292&gt;SUM(Data_Analitik!$AD$2:$AD$351)),"",IFERROR(INDEX(Data_Analitik!$Z$2:$Z$351,MATCH($A292,Data_Analitik!$AE$2:$AE$351,0)),""))</f>
        <v/>
      </c>
      <c r="G292" s="97" t="str">
        <f>IF(OR($A292="",$A292&gt;SUM(Data_Analitik!$AD$2:$AD$351)),"",IFERROR(INDEX(Data_Analitik!$AA$2:$AA$351,MATCH($A292,Data_Analitik!$AE$2:$AE$351,0)),""))</f>
        <v/>
      </c>
      <c r="H292" s="100" t="str">
        <f>IF(OR($A292="",$A292&gt;SUM(Data_Analitik!$AD$2:$AD$351)),"",IFERROR(INDEX(Data_Analitik!$U$2:$U$351,MATCH($A292,Data_Analitik!$AE$2:$AE$351,0)),""))</f>
        <v/>
      </c>
      <c r="I292" s="33" t="str">
        <f>IF(OR($A292="",$A292&gt;SUM(Data_Analitik!$AD$2:$AD$351)),"",IFERROR(INDEX(Data_Analitik!$AB$2:$AB$351,MATCH($A292,Data_Analitik!$AE$2:$AE$351,0)),""))</f>
        <v/>
      </c>
    </row>
    <row r="293" spans="1:9" ht="21.95" customHeight="1" x14ac:dyDescent="0.25">
      <c r="A293" s="32">
        <f t="shared" si="4"/>
        <v>280</v>
      </c>
      <c r="B293" s="99" t="str">
        <f>IF(OR($A293="",$A293&gt;SUM(Data_Analitik!$AD$2:$AD$351)),"",IFERROR(INDEX(Data_Analitik!$B$2:$B$351,MATCH($A293,Data_Analitik!$AE$2:$AE$351,0)),""))</f>
        <v/>
      </c>
      <c r="C293" s="101" t="str">
        <f>IF(OR($A293="",$A293&gt;SUM(Data_Analitik!$AD$2:$AD$351)),"",IFERROR(INDEX(Data_Analitik!$C$2:$C$351,MATCH($A293,Data_Analitik!$AE$2:$AE$351,0)),""))</f>
        <v/>
      </c>
      <c r="D293" s="99" t="str">
        <f>IF(OR($A293="",$A293&gt;SUM(Data_Analitik!$AD$2:$AD$351)),"",IFERROR(INDEX(Data_Analitik!$D$2:$D$351,MATCH($A293,Data_Analitik!$AE$2:$AE$351,0)),""))</f>
        <v/>
      </c>
      <c r="E293" s="100" t="str">
        <f>IF(OR($A293="",$A293&gt;SUM(Data_Analitik!$AD$2:$AD$351)),"",IFERROR(INDEX(Data_Analitik!$E$2:$E$351,MATCH($A293,Data_Analitik!$AE$2:$AE$351,0)),""))</f>
        <v/>
      </c>
      <c r="F293" s="97" t="str">
        <f>IF(OR($A293="",$A293&gt;SUM(Data_Analitik!$AD$2:$AD$351)),"",IFERROR(INDEX(Data_Analitik!$Z$2:$Z$351,MATCH($A293,Data_Analitik!$AE$2:$AE$351,0)),""))</f>
        <v/>
      </c>
      <c r="G293" s="97" t="str">
        <f>IF(OR($A293="",$A293&gt;SUM(Data_Analitik!$AD$2:$AD$351)),"",IFERROR(INDEX(Data_Analitik!$AA$2:$AA$351,MATCH($A293,Data_Analitik!$AE$2:$AE$351,0)),""))</f>
        <v/>
      </c>
      <c r="H293" s="100" t="str">
        <f>IF(OR($A293="",$A293&gt;SUM(Data_Analitik!$AD$2:$AD$351)),"",IFERROR(INDEX(Data_Analitik!$U$2:$U$351,MATCH($A293,Data_Analitik!$AE$2:$AE$351,0)),""))</f>
        <v/>
      </c>
      <c r="I293" s="33" t="str">
        <f>IF(OR($A293="",$A293&gt;SUM(Data_Analitik!$AD$2:$AD$351)),"",IFERROR(INDEX(Data_Analitik!$AB$2:$AB$351,MATCH($A293,Data_Analitik!$AE$2:$AE$351,0)),""))</f>
        <v/>
      </c>
    </row>
    <row r="294" spans="1:9" ht="21.95" customHeight="1" x14ac:dyDescent="0.25">
      <c r="A294" s="32">
        <f t="shared" si="4"/>
        <v>281</v>
      </c>
      <c r="B294" s="99" t="str">
        <f>IF(OR($A294="",$A294&gt;SUM(Data_Analitik!$AD$2:$AD$351)),"",IFERROR(INDEX(Data_Analitik!$B$2:$B$351,MATCH($A294,Data_Analitik!$AE$2:$AE$351,0)),""))</f>
        <v/>
      </c>
      <c r="C294" s="101" t="str">
        <f>IF(OR($A294="",$A294&gt;SUM(Data_Analitik!$AD$2:$AD$351)),"",IFERROR(INDEX(Data_Analitik!$C$2:$C$351,MATCH($A294,Data_Analitik!$AE$2:$AE$351,0)),""))</f>
        <v/>
      </c>
      <c r="D294" s="99" t="str">
        <f>IF(OR($A294="",$A294&gt;SUM(Data_Analitik!$AD$2:$AD$351)),"",IFERROR(INDEX(Data_Analitik!$D$2:$D$351,MATCH($A294,Data_Analitik!$AE$2:$AE$351,0)),""))</f>
        <v/>
      </c>
      <c r="E294" s="100" t="str">
        <f>IF(OR($A294="",$A294&gt;SUM(Data_Analitik!$AD$2:$AD$351)),"",IFERROR(INDEX(Data_Analitik!$E$2:$E$351,MATCH($A294,Data_Analitik!$AE$2:$AE$351,0)),""))</f>
        <v/>
      </c>
      <c r="F294" s="97" t="str">
        <f>IF(OR($A294="",$A294&gt;SUM(Data_Analitik!$AD$2:$AD$351)),"",IFERROR(INDEX(Data_Analitik!$Z$2:$Z$351,MATCH($A294,Data_Analitik!$AE$2:$AE$351,0)),""))</f>
        <v/>
      </c>
      <c r="G294" s="97" t="str">
        <f>IF(OR($A294="",$A294&gt;SUM(Data_Analitik!$AD$2:$AD$351)),"",IFERROR(INDEX(Data_Analitik!$AA$2:$AA$351,MATCH($A294,Data_Analitik!$AE$2:$AE$351,0)),""))</f>
        <v/>
      </c>
      <c r="H294" s="100" t="str">
        <f>IF(OR($A294="",$A294&gt;SUM(Data_Analitik!$AD$2:$AD$351)),"",IFERROR(INDEX(Data_Analitik!$U$2:$U$351,MATCH($A294,Data_Analitik!$AE$2:$AE$351,0)),""))</f>
        <v/>
      </c>
      <c r="I294" s="33" t="str">
        <f>IF(OR($A294="",$A294&gt;SUM(Data_Analitik!$AD$2:$AD$351)),"",IFERROR(INDEX(Data_Analitik!$AB$2:$AB$351,MATCH($A294,Data_Analitik!$AE$2:$AE$351,0)),""))</f>
        <v/>
      </c>
    </row>
    <row r="295" spans="1:9" ht="21.95" customHeight="1" x14ac:dyDescent="0.25">
      <c r="A295" s="32">
        <f t="shared" si="4"/>
        <v>282</v>
      </c>
      <c r="B295" s="99" t="str">
        <f>IF(OR($A295="",$A295&gt;SUM(Data_Analitik!$AD$2:$AD$351)),"",IFERROR(INDEX(Data_Analitik!$B$2:$B$351,MATCH($A295,Data_Analitik!$AE$2:$AE$351,0)),""))</f>
        <v/>
      </c>
      <c r="C295" s="101" t="str">
        <f>IF(OR($A295="",$A295&gt;SUM(Data_Analitik!$AD$2:$AD$351)),"",IFERROR(INDEX(Data_Analitik!$C$2:$C$351,MATCH($A295,Data_Analitik!$AE$2:$AE$351,0)),""))</f>
        <v/>
      </c>
      <c r="D295" s="99" t="str">
        <f>IF(OR($A295="",$A295&gt;SUM(Data_Analitik!$AD$2:$AD$351)),"",IFERROR(INDEX(Data_Analitik!$D$2:$D$351,MATCH($A295,Data_Analitik!$AE$2:$AE$351,0)),""))</f>
        <v/>
      </c>
      <c r="E295" s="100" t="str">
        <f>IF(OR($A295="",$A295&gt;SUM(Data_Analitik!$AD$2:$AD$351)),"",IFERROR(INDEX(Data_Analitik!$E$2:$E$351,MATCH($A295,Data_Analitik!$AE$2:$AE$351,0)),""))</f>
        <v/>
      </c>
      <c r="F295" s="97" t="str">
        <f>IF(OR($A295="",$A295&gt;SUM(Data_Analitik!$AD$2:$AD$351)),"",IFERROR(INDEX(Data_Analitik!$Z$2:$Z$351,MATCH($A295,Data_Analitik!$AE$2:$AE$351,0)),""))</f>
        <v/>
      </c>
      <c r="G295" s="97" t="str">
        <f>IF(OR($A295="",$A295&gt;SUM(Data_Analitik!$AD$2:$AD$351)),"",IFERROR(INDEX(Data_Analitik!$AA$2:$AA$351,MATCH($A295,Data_Analitik!$AE$2:$AE$351,0)),""))</f>
        <v/>
      </c>
      <c r="H295" s="100" t="str">
        <f>IF(OR($A295="",$A295&gt;SUM(Data_Analitik!$AD$2:$AD$351)),"",IFERROR(INDEX(Data_Analitik!$U$2:$U$351,MATCH($A295,Data_Analitik!$AE$2:$AE$351,0)),""))</f>
        <v/>
      </c>
      <c r="I295" s="33" t="str">
        <f>IF(OR($A295="",$A295&gt;SUM(Data_Analitik!$AD$2:$AD$351)),"",IFERROR(INDEX(Data_Analitik!$AB$2:$AB$351,MATCH($A295,Data_Analitik!$AE$2:$AE$351,0)),""))</f>
        <v/>
      </c>
    </row>
    <row r="296" spans="1:9" ht="21.95" customHeight="1" x14ac:dyDescent="0.25">
      <c r="A296" s="32">
        <f t="shared" si="4"/>
        <v>283</v>
      </c>
      <c r="B296" s="99" t="str">
        <f>IF(OR($A296="",$A296&gt;SUM(Data_Analitik!$AD$2:$AD$351)),"",IFERROR(INDEX(Data_Analitik!$B$2:$B$351,MATCH($A296,Data_Analitik!$AE$2:$AE$351,0)),""))</f>
        <v/>
      </c>
      <c r="C296" s="101" t="str">
        <f>IF(OR($A296="",$A296&gt;SUM(Data_Analitik!$AD$2:$AD$351)),"",IFERROR(INDEX(Data_Analitik!$C$2:$C$351,MATCH($A296,Data_Analitik!$AE$2:$AE$351,0)),""))</f>
        <v/>
      </c>
      <c r="D296" s="99" t="str">
        <f>IF(OR($A296="",$A296&gt;SUM(Data_Analitik!$AD$2:$AD$351)),"",IFERROR(INDEX(Data_Analitik!$D$2:$D$351,MATCH($A296,Data_Analitik!$AE$2:$AE$351,0)),""))</f>
        <v/>
      </c>
      <c r="E296" s="100" t="str">
        <f>IF(OR($A296="",$A296&gt;SUM(Data_Analitik!$AD$2:$AD$351)),"",IFERROR(INDEX(Data_Analitik!$E$2:$E$351,MATCH($A296,Data_Analitik!$AE$2:$AE$351,0)),""))</f>
        <v/>
      </c>
      <c r="F296" s="97" t="str">
        <f>IF(OR($A296="",$A296&gt;SUM(Data_Analitik!$AD$2:$AD$351)),"",IFERROR(INDEX(Data_Analitik!$Z$2:$Z$351,MATCH($A296,Data_Analitik!$AE$2:$AE$351,0)),""))</f>
        <v/>
      </c>
      <c r="G296" s="97" t="str">
        <f>IF(OR($A296="",$A296&gt;SUM(Data_Analitik!$AD$2:$AD$351)),"",IFERROR(INDEX(Data_Analitik!$AA$2:$AA$351,MATCH($A296,Data_Analitik!$AE$2:$AE$351,0)),""))</f>
        <v/>
      </c>
      <c r="H296" s="100" t="str">
        <f>IF(OR($A296="",$A296&gt;SUM(Data_Analitik!$AD$2:$AD$351)),"",IFERROR(INDEX(Data_Analitik!$U$2:$U$351,MATCH($A296,Data_Analitik!$AE$2:$AE$351,0)),""))</f>
        <v/>
      </c>
      <c r="I296" s="33" t="str">
        <f>IF(OR($A296="",$A296&gt;SUM(Data_Analitik!$AD$2:$AD$351)),"",IFERROR(INDEX(Data_Analitik!$AB$2:$AB$351,MATCH($A296,Data_Analitik!$AE$2:$AE$351,0)),""))</f>
        <v/>
      </c>
    </row>
    <row r="297" spans="1:9" ht="21.95" customHeight="1" x14ac:dyDescent="0.25">
      <c r="A297" s="32">
        <f t="shared" si="4"/>
        <v>284</v>
      </c>
      <c r="B297" s="99" t="str">
        <f>IF(OR($A297="",$A297&gt;SUM(Data_Analitik!$AD$2:$AD$351)),"",IFERROR(INDEX(Data_Analitik!$B$2:$B$351,MATCH($A297,Data_Analitik!$AE$2:$AE$351,0)),""))</f>
        <v/>
      </c>
      <c r="C297" s="101" t="str">
        <f>IF(OR($A297="",$A297&gt;SUM(Data_Analitik!$AD$2:$AD$351)),"",IFERROR(INDEX(Data_Analitik!$C$2:$C$351,MATCH($A297,Data_Analitik!$AE$2:$AE$351,0)),""))</f>
        <v/>
      </c>
      <c r="D297" s="99" t="str">
        <f>IF(OR($A297="",$A297&gt;SUM(Data_Analitik!$AD$2:$AD$351)),"",IFERROR(INDEX(Data_Analitik!$D$2:$D$351,MATCH($A297,Data_Analitik!$AE$2:$AE$351,0)),""))</f>
        <v/>
      </c>
      <c r="E297" s="100" t="str">
        <f>IF(OR($A297="",$A297&gt;SUM(Data_Analitik!$AD$2:$AD$351)),"",IFERROR(INDEX(Data_Analitik!$E$2:$E$351,MATCH($A297,Data_Analitik!$AE$2:$AE$351,0)),""))</f>
        <v/>
      </c>
      <c r="F297" s="97" t="str">
        <f>IF(OR($A297="",$A297&gt;SUM(Data_Analitik!$AD$2:$AD$351)),"",IFERROR(INDEX(Data_Analitik!$Z$2:$Z$351,MATCH($A297,Data_Analitik!$AE$2:$AE$351,0)),""))</f>
        <v/>
      </c>
      <c r="G297" s="97" t="str">
        <f>IF(OR($A297="",$A297&gt;SUM(Data_Analitik!$AD$2:$AD$351)),"",IFERROR(INDEX(Data_Analitik!$AA$2:$AA$351,MATCH($A297,Data_Analitik!$AE$2:$AE$351,0)),""))</f>
        <v/>
      </c>
      <c r="H297" s="100" t="str">
        <f>IF(OR($A297="",$A297&gt;SUM(Data_Analitik!$AD$2:$AD$351)),"",IFERROR(INDEX(Data_Analitik!$U$2:$U$351,MATCH($A297,Data_Analitik!$AE$2:$AE$351,0)),""))</f>
        <v/>
      </c>
      <c r="I297" s="33" t="str">
        <f>IF(OR($A297="",$A297&gt;SUM(Data_Analitik!$AD$2:$AD$351)),"",IFERROR(INDEX(Data_Analitik!$AB$2:$AB$351,MATCH($A297,Data_Analitik!$AE$2:$AE$351,0)),""))</f>
        <v/>
      </c>
    </row>
    <row r="298" spans="1:9" ht="21.95" customHeight="1" x14ac:dyDescent="0.25">
      <c r="A298" s="32">
        <f t="shared" si="4"/>
        <v>285</v>
      </c>
      <c r="B298" s="99" t="str">
        <f>IF(OR($A298="",$A298&gt;SUM(Data_Analitik!$AD$2:$AD$351)),"",IFERROR(INDEX(Data_Analitik!$B$2:$B$351,MATCH($A298,Data_Analitik!$AE$2:$AE$351,0)),""))</f>
        <v/>
      </c>
      <c r="C298" s="101" t="str">
        <f>IF(OR($A298="",$A298&gt;SUM(Data_Analitik!$AD$2:$AD$351)),"",IFERROR(INDEX(Data_Analitik!$C$2:$C$351,MATCH($A298,Data_Analitik!$AE$2:$AE$351,0)),""))</f>
        <v/>
      </c>
      <c r="D298" s="99" t="str">
        <f>IF(OR($A298="",$A298&gt;SUM(Data_Analitik!$AD$2:$AD$351)),"",IFERROR(INDEX(Data_Analitik!$D$2:$D$351,MATCH($A298,Data_Analitik!$AE$2:$AE$351,0)),""))</f>
        <v/>
      </c>
      <c r="E298" s="100" t="str">
        <f>IF(OR($A298="",$A298&gt;SUM(Data_Analitik!$AD$2:$AD$351)),"",IFERROR(INDEX(Data_Analitik!$E$2:$E$351,MATCH($A298,Data_Analitik!$AE$2:$AE$351,0)),""))</f>
        <v/>
      </c>
      <c r="F298" s="97" t="str">
        <f>IF(OR($A298="",$A298&gt;SUM(Data_Analitik!$AD$2:$AD$351)),"",IFERROR(INDEX(Data_Analitik!$Z$2:$Z$351,MATCH($A298,Data_Analitik!$AE$2:$AE$351,0)),""))</f>
        <v/>
      </c>
      <c r="G298" s="97" t="str">
        <f>IF(OR($A298="",$A298&gt;SUM(Data_Analitik!$AD$2:$AD$351)),"",IFERROR(INDEX(Data_Analitik!$AA$2:$AA$351,MATCH($A298,Data_Analitik!$AE$2:$AE$351,0)),""))</f>
        <v/>
      </c>
      <c r="H298" s="100" t="str">
        <f>IF(OR($A298="",$A298&gt;SUM(Data_Analitik!$AD$2:$AD$351)),"",IFERROR(INDEX(Data_Analitik!$U$2:$U$351,MATCH($A298,Data_Analitik!$AE$2:$AE$351,0)),""))</f>
        <v/>
      </c>
      <c r="I298" s="33" t="str">
        <f>IF(OR($A298="",$A298&gt;SUM(Data_Analitik!$AD$2:$AD$351)),"",IFERROR(INDEX(Data_Analitik!$AB$2:$AB$351,MATCH($A298,Data_Analitik!$AE$2:$AE$351,0)),""))</f>
        <v/>
      </c>
    </row>
    <row r="299" spans="1:9" ht="21.95" customHeight="1" x14ac:dyDescent="0.25">
      <c r="A299" s="32">
        <f t="shared" si="4"/>
        <v>286</v>
      </c>
      <c r="B299" s="99" t="str">
        <f>IF(OR($A299="",$A299&gt;SUM(Data_Analitik!$AD$2:$AD$351)),"",IFERROR(INDEX(Data_Analitik!$B$2:$B$351,MATCH($A299,Data_Analitik!$AE$2:$AE$351,0)),""))</f>
        <v/>
      </c>
      <c r="C299" s="101" t="str">
        <f>IF(OR($A299="",$A299&gt;SUM(Data_Analitik!$AD$2:$AD$351)),"",IFERROR(INDEX(Data_Analitik!$C$2:$C$351,MATCH($A299,Data_Analitik!$AE$2:$AE$351,0)),""))</f>
        <v/>
      </c>
      <c r="D299" s="99" t="str">
        <f>IF(OR($A299="",$A299&gt;SUM(Data_Analitik!$AD$2:$AD$351)),"",IFERROR(INDEX(Data_Analitik!$D$2:$D$351,MATCH($A299,Data_Analitik!$AE$2:$AE$351,0)),""))</f>
        <v/>
      </c>
      <c r="E299" s="100" t="str">
        <f>IF(OR($A299="",$A299&gt;SUM(Data_Analitik!$AD$2:$AD$351)),"",IFERROR(INDEX(Data_Analitik!$E$2:$E$351,MATCH($A299,Data_Analitik!$AE$2:$AE$351,0)),""))</f>
        <v/>
      </c>
      <c r="F299" s="97" t="str">
        <f>IF(OR($A299="",$A299&gt;SUM(Data_Analitik!$AD$2:$AD$351)),"",IFERROR(INDEX(Data_Analitik!$Z$2:$Z$351,MATCH($A299,Data_Analitik!$AE$2:$AE$351,0)),""))</f>
        <v/>
      </c>
      <c r="G299" s="97" t="str">
        <f>IF(OR($A299="",$A299&gt;SUM(Data_Analitik!$AD$2:$AD$351)),"",IFERROR(INDEX(Data_Analitik!$AA$2:$AA$351,MATCH($A299,Data_Analitik!$AE$2:$AE$351,0)),""))</f>
        <v/>
      </c>
      <c r="H299" s="100" t="str">
        <f>IF(OR($A299="",$A299&gt;SUM(Data_Analitik!$AD$2:$AD$351)),"",IFERROR(INDEX(Data_Analitik!$U$2:$U$351,MATCH($A299,Data_Analitik!$AE$2:$AE$351,0)),""))</f>
        <v/>
      </c>
      <c r="I299" s="33" t="str">
        <f>IF(OR($A299="",$A299&gt;SUM(Data_Analitik!$AD$2:$AD$351)),"",IFERROR(INDEX(Data_Analitik!$AB$2:$AB$351,MATCH($A299,Data_Analitik!$AE$2:$AE$351,0)),""))</f>
        <v/>
      </c>
    </row>
    <row r="300" spans="1:9" ht="21.95" customHeight="1" x14ac:dyDescent="0.25">
      <c r="A300" s="32">
        <f t="shared" si="4"/>
        <v>287</v>
      </c>
      <c r="B300" s="99" t="str">
        <f>IF(OR($A300="",$A300&gt;SUM(Data_Analitik!$AD$2:$AD$351)),"",IFERROR(INDEX(Data_Analitik!$B$2:$B$351,MATCH($A300,Data_Analitik!$AE$2:$AE$351,0)),""))</f>
        <v/>
      </c>
      <c r="C300" s="101" t="str">
        <f>IF(OR($A300="",$A300&gt;SUM(Data_Analitik!$AD$2:$AD$351)),"",IFERROR(INDEX(Data_Analitik!$C$2:$C$351,MATCH($A300,Data_Analitik!$AE$2:$AE$351,0)),""))</f>
        <v/>
      </c>
      <c r="D300" s="99" t="str">
        <f>IF(OR($A300="",$A300&gt;SUM(Data_Analitik!$AD$2:$AD$351)),"",IFERROR(INDEX(Data_Analitik!$D$2:$D$351,MATCH($A300,Data_Analitik!$AE$2:$AE$351,0)),""))</f>
        <v/>
      </c>
      <c r="E300" s="100" t="str">
        <f>IF(OR($A300="",$A300&gt;SUM(Data_Analitik!$AD$2:$AD$351)),"",IFERROR(INDEX(Data_Analitik!$E$2:$E$351,MATCH($A300,Data_Analitik!$AE$2:$AE$351,0)),""))</f>
        <v/>
      </c>
      <c r="F300" s="97" t="str">
        <f>IF(OR($A300="",$A300&gt;SUM(Data_Analitik!$AD$2:$AD$351)),"",IFERROR(INDEX(Data_Analitik!$Z$2:$Z$351,MATCH($A300,Data_Analitik!$AE$2:$AE$351,0)),""))</f>
        <v/>
      </c>
      <c r="G300" s="97" t="str">
        <f>IF(OR($A300="",$A300&gt;SUM(Data_Analitik!$AD$2:$AD$351)),"",IFERROR(INDEX(Data_Analitik!$AA$2:$AA$351,MATCH($A300,Data_Analitik!$AE$2:$AE$351,0)),""))</f>
        <v/>
      </c>
      <c r="H300" s="100" t="str">
        <f>IF(OR($A300="",$A300&gt;SUM(Data_Analitik!$AD$2:$AD$351)),"",IFERROR(INDEX(Data_Analitik!$U$2:$U$351,MATCH($A300,Data_Analitik!$AE$2:$AE$351,0)),""))</f>
        <v/>
      </c>
      <c r="I300" s="33" t="str">
        <f>IF(OR($A300="",$A300&gt;SUM(Data_Analitik!$AD$2:$AD$351)),"",IFERROR(INDEX(Data_Analitik!$AB$2:$AB$351,MATCH($A300,Data_Analitik!$AE$2:$AE$351,0)),""))</f>
        <v/>
      </c>
    </row>
    <row r="301" spans="1:9" ht="21.95" customHeight="1" x14ac:dyDescent="0.25">
      <c r="A301" s="32">
        <f t="shared" si="4"/>
        <v>288</v>
      </c>
      <c r="B301" s="99" t="str">
        <f>IF(OR($A301="",$A301&gt;SUM(Data_Analitik!$AD$2:$AD$351)),"",IFERROR(INDEX(Data_Analitik!$B$2:$B$351,MATCH($A301,Data_Analitik!$AE$2:$AE$351,0)),""))</f>
        <v/>
      </c>
      <c r="C301" s="101" t="str">
        <f>IF(OR($A301="",$A301&gt;SUM(Data_Analitik!$AD$2:$AD$351)),"",IFERROR(INDEX(Data_Analitik!$C$2:$C$351,MATCH($A301,Data_Analitik!$AE$2:$AE$351,0)),""))</f>
        <v/>
      </c>
      <c r="D301" s="99" t="str">
        <f>IF(OR($A301="",$A301&gt;SUM(Data_Analitik!$AD$2:$AD$351)),"",IFERROR(INDEX(Data_Analitik!$D$2:$D$351,MATCH($A301,Data_Analitik!$AE$2:$AE$351,0)),""))</f>
        <v/>
      </c>
      <c r="E301" s="100" t="str">
        <f>IF(OR($A301="",$A301&gt;SUM(Data_Analitik!$AD$2:$AD$351)),"",IFERROR(INDEX(Data_Analitik!$E$2:$E$351,MATCH($A301,Data_Analitik!$AE$2:$AE$351,0)),""))</f>
        <v/>
      </c>
      <c r="F301" s="97" t="str">
        <f>IF(OR($A301="",$A301&gt;SUM(Data_Analitik!$AD$2:$AD$351)),"",IFERROR(INDEX(Data_Analitik!$Z$2:$Z$351,MATCH($A301,Data_Analitik!$AE$2:$AE$351,0)),""))</f>
        <v/>
      </c>
      <c r="G301" s="97" t="str">
        <f>IF(OR($A301="",$A301&gt;SUM(Data_Analitik!$AD$2:$AD$351)),"",IFERROR(INDEX(Data_Analitik!$AA$2:$AA$351,MATCH($A301,Data_Analitik!$AE$2:$AE$351,0)),""))</f>
        <v/>
      </c>
      <c r="H301" s="100" t="str">
        <f>IF(OR($A301="",$A301&gt;SUM(Data_Analitik!$AD$2:$AD$351)),"",IFERROR(INDEX(Data_Analitik!$U$2:$U$351,MATCH($A301,Data_Analitik!$AE$2:$AE$351,0)),""))</f>
        <v/>
      </c>
      <c r="I301" s="33" t="str">
        <f>IF(OR($A301="",$A301&gt;SUM(Data_Analitik!$AD$2:$AD$351)),"",IFERROR(INDEX(Data_Analitik!$AB$2:$AB$351,MATCH($A301,Data_Analitik!$AE$2:$AE$351,0)),""))</f>
        <v/>
      </c>
    </row>
    <row r="302" spans="1:9" ht="21.95" customHeight="1" x14ac:dyDescent="0.25">
      <c r="A302" s="32">
        <f t="shared" si="4"/>
        <v>289</v>
      </c>
      <c r="B302" s="99" t="str">
        <f>IF(OR($A302="",$A302&gt;SUM(Data_Analitik!$AD$2:$AD$351)),"",IFERROR(INDEX(Data_Analitik!$B$2:$B$351,MATCH($A302,Data_Analitik!$AE$2:$AE$351,0)),""))</f>
        <v/>
      </c>
      <c r="C302" s="101" t="str">
        <f>IF(OR($A302="",$A302&gt;SUM(Data_Analitik!$AD$2:$AD$351)),"",IFERROR(INDEX(Data_Analitik!$C$2:$C$351,MATCH($A302,Data_Analitik!$AE$2:$AE$351,0)),""))</f>
        <v/>
      </c>
      <c r="D302" s="99" t="str">
        <f>IF(OR($A302="",$A302&gt;SUM(Data_Analitik!$AD$2:$AD$351)),"",IFERROR(INDEX(Data_Analitik!$D$2:$D$351,MATCH($A302,Data_Analitik!$AE$2:$AE$351,0)),""))</f>
        <v/>
      </c>
      <c r="E302" s="100" t="str">
        <f>IF(OR($A302="",$A302&gt;SUM(Data_Analitik!$AD$2:$AD$351)),"",IFERROR(INDEX(Data_Analitik!$E$2:$E$351,MATCH($A302,Data_Analitik!$AE$2:$AE$351,0)),""))</f>
        <v/>
      </c>
      <c r="F302" s="97" t="str">
        <f>IF(OR($A302="",$A302&gt;SUM(Data_Analitik!$AD$2:$AD$351)),"",IFERROR(INDEX(Data_Analitik!$Z$2:$Z$351,MATCH($A302,Data_Analitik!$AE$2:$AE$351,0)),""))</f>
        <v/>
      </c>
      <c r="G302" s="97" t="str">
        <f>IF(OR($A302="",$A302&gt;SUM(Data_Analitik!$AD$2:$AD$351)),"",IFERROR(INDEX(Data_Analitik!$AA$2:$AA$351,MATCH($A302,Data_Analitik!$AE$2:$AE$351,0)),""))</f>
        <v/>
      </c>
      <c r="H302" s="100" t="str">
        <f>IF(OR($A302="",$A302&gt;SUM(Data_Analitik!$AD$2:$AD$351)),"",IFERROR(INDEX(Data_Analitik!$U$2:$U$351,MATCH($A302,Data_Analitik!$AE$2:$AE$351,0)),""))</f>
        <v/>
      </c>
      <c r="I302" s="33" t="str">
        <f>IF(OR($A302="",$A302&gt;SUM(Data_Analitik!$AD$2:$AD$351)),"",IFERROR(INDEX(Data_Analitik!$AB$2:$AB$351,MATCH($A302,Data_Analitik!$AE$2:$AE$351,0)),""))</f>
        <v/>
      </c>
    </row>
    <row r="303" spans="1:9" ht="21.95" customHeight="1" x14ac:dyDescent="0.25">
      <c r="A303" s="32">
        <f t="shared" si="4"/>
        <v>290</v>
      </c>
      <c r="B303" s="99" t="str">
        <f>IF(OR($A303="",$A303&gt;SUM(Data_Analitik!$AD$2:$AD$351)),"",IFERROR(INDEX(Data_Analitik!$B$2:$B$351,MATCH($A303,Data_Analitik!$AE$2:$AE$351,0)),""))</f>
        <v/>
      </c>
      <c r="C303" s="101" t="str">
        <f>IF(OR($A303="",$A303&gt;SUM(Data_Analitik!$AD$2:$AD$351)),"",IFERROR(INDEX(Data_Analitik!$C$2:$C$351,MATCH($A303,Data_Analitik!$AE$2:$AE$351,0)),""))</f>
        <v/>
      </c>
      <c r="D303" s="99" t="str">
        <f>IF(OR($A303="",$A303&gt;SUM(Data_Analitik!$AD$2:$AD$351)),"",IFERROR(INDEX(Data_Analitik!$D$2:$D$351,MATCH($A303,Data_Analitik!$AE$2:$AE$351,0)),""))</f>
        <v/>
      </c>
      <c r="E303" s="100" t="str">
        <f>IF(OR($A303="",$A303&gt;SUM(Data_Analitik!$AD$2:$AD$351)),"",IFERROR(INDEX(Data_Analitik!$E$2:$E$351,MATCH($A303,Data_Analitik!$AE$2:$AE$351,0)),""))</f>
        <v/>
      </c>
      <c r="F303" s="97" t="str">
        <f>IF(OR($A303="",$A303&gt;SUM(Data_Analitik!$AD$2:$AD$351)),"",IFERROR(INDEX(Data_Analitik!$Z$2:$Z$351,MATCH($A303,Data_Analitik!$AE$2:$AE$351,0)),""))</f>
        <v/>
      </c>
      <c r="G303" s="97" t="str">
        <f>IF(OR($A303="",$A303&gt;SUM(Data_Analitik!$AD$2:$AD$351)),"",IFERROR(INDEX(Data_Analitik!$AA$2:$AA$351,MATCH($A303,Data_Analitik!$AE$2:$AE$351,0)),""))</f>
        <v/>
      </c>
      <c r="H303" s="100" t="str">
        <f>IF(OR($A303="",$A303&gt;SUM(Data_Analitik!$AD$2:$AD$351)),"",IFERROR(INDEX(Data_Analitik!$U$2:$U$351,MATCH($A303,Data_Analitik!$AE$2:$AE$351,0)),""))</f>
        <v/>
      </c>
      <c r="I303" s="33" t="str">
        <f>IF(OR($A303="",$A303&gt;SUM(Data_Analitik!$AD$2:$AD$351)),"",IFERROR(INDEX(Data_Analitik!$AB$2:$AB$351,MATCH($A303,Data_Analitik!$AE$2:$AE$351,0)),""))</f>
        <v/>
      </c>
    </row>
    <row r="304" spans="1:9" ht="21.95" customHeight="1" x14ac:dyDescent="0.25">
      <c r="A304" s="32">
        <f t="shared" si="4"/>
        <v>291</v>
      </c>
      <c r="B304" s="99" t="str">
        <f>IF(OR($A304="",$A304&gt;SUM(Data_Analitik!$AD$2:$AD$351)),"",IFERROR(INDEX(Data_Analitik!$B$2:$B$351,MATCH($A304,Data_Analitik!$AE$2:$AE$351,0)),""))</f>
        <v/>
      </c>
      <c r="C304" s="101" t="str">
        <f>IF(OR($A304="",$A304&gt;SUM(Data_Analitik!$AD$2:$AD$351)),"",IFERROR(INDEX(Data_Analitik!$C$2:$C$351,MATCH($A304,Data_Analitik!$AE$2:$AE$351,0)),""))</f>
        <v/>
      </c>
      <c r="D304" s="99" t="str">
        <f>IF(OR($A304="",$A304&gt;SUM(Data_Analitik!$AD$2:$AD$351)),"",IFERROR(INDEX(Data_Analitik!$D$2:$D$351,MATCH($A304,Data_Analitik!$AE$2:$AE$351,0)),""))</f>
        <v/>
      </c>
      <c r="E304" s="100" t="str">
        <f>IF(OR($A304="",$A304&gt;SUM(Data_Analitik!$AD$2:$AD$351)),"",IFERROR(INDEX(Data_Analitik!$E$2:$E$351,MATCH($A304,Data_Analitik!$AE$2:$AE$351,0)),""))</f>
        <v/>
      </c>
      <c r="F304" s="97" t="str">
        <f>IF(OR($A304="",$A304&gt;SUM(Data_Analitik!$AD$2:$AD$351)),"",IFERROR(INDEX(Data_Analitik!$Z$2:$Z$351,MATCH($A304,Data_Analitik!$AE$2:$AE$351,0)),""))</f>
        <v/>
      </c>
      <c r="G304" s="97" t="str">
        <f>IF(OR($A304="",$A304&gt;SUM(Data_Analitik!$AD$2:$AD$351)),"",IFERROR(INDEX(Data_Analitik!$AA$2:$AA$351,MATCH($A304,Data_Analitik!$AE$2:$AE$351,0)),""))</f>
        <v/>
      </c>
      <c r="H304" s="100" t="str">
        <f>IF(OR($A304="",$A304&gt;SUM(Data_Analitik!$AD$2:$AD$351)),"",IFERROR(INDEX(Data_Analitik!$U$2:$U$351,MATCH($A304,Data_Analitik!$AE$2:$AE$351,0)),""))</f>
        <v/>
      </c>
      <c r="I304" s="33" t="str">
        <f>IF(OR($A304="",$A304&gt;SUM(Data_Analitik!$AD$2:$AD$351)),"",IFERROR(INDEX(Data_Analitik!$AB$2:$AB$351,MATCH($A304,Data_Analitik!$AE$2:$AE$351,0)),""))</f>
        <v/>
      </c>
    </row>
    <row r="305" spans="1:9" ht="21.95" customHeight="1" x14ac:dyDescent="0.25">
      <c r="A305" s="32">
        <f t="shared" si="4"/>
        <v>292</v>
      </c>
      <c r="B305" s="99" t="str">
        <f>IF(OR($A305="",$A305&gt;SUM(Data_Analitik!$AD$2:$AD$351)),"",IFERROR(INDEX(Data_Analitik!$B$2:$B$351,MATCH($A305,Data_Analitik!$AE$2:$AE$351,0)),""))</f>
        <v/>
      </c>
      <c r="C305" s="101" t="str">
        <f>IF(OR($A305="",$A305&gt;SUM(Data_Analitik!$AD$2:$AD$351)),"",IFERROR(INDEX(Data_Analitik!$C$2:$C$351,MATCH($A305,Data_Analitik!$AE$2:$AE$351,0)),""))</f>
        <v/>
      </c>
      <c r="D305" s="99" t="str">
        <f>IF(OR($A305="",$A305&gt;SUM(Data_Analitik!$AD$2:$AD$351)),"",IFERROR(INDEX(Data_Analitik!$D$2:$D$351,MATCH($A305,Data_Analitik!$AE$2:$AE$351,0)),""))</f>
        <v/>
      </c>
      <c r="E305" s="100" t="str">
        <f>IF(OR($A305="",$A305&gt;SUM(Data_Analitik!$AD$2:$AD$351)),"",IFERROR(INDEX(Data_Analitik!$E$2:$E$351,MATCH($A305,Data_Analitik!$AE$2:$AE$351,0)),""))</f>
        <v/>
      </c>
      <c r="F305" s="97" t="str">
        <f>IF(OR($A305="",$A305&gt;SUM(Data_Analitik!$AD$2:$AD$351)),"",IFERROR(INDEX(Data_Analitik!$Z$2:$Z$351,MATCH($A305,Data_Analitik!$AE$2:$AE$351,0)),""))</f>
        <v/>
      </c>
      <c r="G305" s="97" t="str">
        <f>IF(OR($A305="",$A305&gt;SUM(Data_Analitik!$AD$2:$AD$351)),"",IFERROR(INDEX(Data_Analitik!$AA$2:$AA$351,MATCH($A305,Data_Analitik!$AE$2:$AE$351,0)),""))</f>
        <v/>
      </c>
      <c r="H305" s="100" t="str">
        <f>IF(OR($A305="",$A305&gt;SUM(Data_Analitik!$AD$2:$AD$351)),"",IFERROR(INDEX(Data_Analitik!$U$2:$U$351,MATCH($A305,Data_Analitik!$AE$2:$AE$351,0)),""))</f>
        <v/>
      </c>
      <c r="I305" s="33" t="str">
        <f>IF(OR($A305="",$A305&gt;SUM(Data_Analitik!$AD$2:$AD$351)),"",IFERROR(INDEX(Data_Analitik!$AB$2:$AB$351,MATCH($A305,Data_Analitik!$AE$2:$AE$351,0)),""))</f>
        <v/>
      </c>
    </row>
    <row r="306" spans="1:9" ht="21.95" customHeight="1" x14ac:dyDescent="0.25">
      <c r="A306" s="32">
        <f t="shared" si="4"/>
        <v>293</v>
      </c>
      <c r="B306" s="99" t="str">
        <f>IF(OR($A306="",$A306&gt;SUM(Data_Analitik!$AD$2:$AD$351)),"",IFERROR(INDEX(Data_Analitik!$B$2:$B$351,MATCH($A306,Data_Analitik!$AE$2:$AE$351,0)),""))</f>
        <v/>
      </c>
      <c r="C306" s="101" t="str">
        <f>IF(OR($A306="",$A306&gt;SUM(Data_Analitik!$AD$2:$AD$351)),"",IFERROR(INDEX(Data_Analitik!$C$2:$C$351,MATCH($A306,Data_Analitik!$AE$2:$AE$351,0)),""))</f>
        <v/>
      </c>
      <c r="D306" s="99" t="str">
        <f>IF(OR($A306="",$A306&gt;SUM(Data_Analitik!$AD$2:$AD$351)),"",IFERROR(INDEX(Data_Analitik!$D$2:$D$351,MATCH($A306,Data_Analitik!$AE$2:$AE$351,0)),""))</f>
        <v/>
      </c>
      <c r="E306" s="100" t="str">
        <f>IF(OR($A306="",$A306&gt;SUM(Data_Analitik!$AD$2:$AD$351)),"",IFERROR(INDEX(Data_Analitik!$E$2:$E$351,MATCH($A306,Data_Analitik!$AE$2:$AE$351,0)),""))</f>
        <v/>
      </c>
      <c r="F306" s="97" t="str">
        <f>IF(OR($A306="",$A306&gt;SUM(Data_Analitik!$AD$2:$AD$351)),"",IFERROR(INDEX(Data_Analitik!$Z$2:$Z$351,MATCH($A306,Data_Analitik!$AE$2:$AE$351,0)),""))</f>
        <v/>
      </c>
      <c r="G306" s="97" t="str">
        <f>IF(OR($A306="",$A306&gt;SUM(Data_Analitik!$AD$2:$AD$351)),"",IFERROR(INDEX(Data_Analitik!$AA$2:$AA$351,MATCH($A306,Data_Analitik!$AE$2:$AE$351,0)),""))</f>
        <v/>
      </c>
      <c r="H306" s="100" t="str">
        <f>IF(OR($A306="",$A306&gt;SUM(Data_Analitik!$AD$2:$AD$351)),"",IFERROR(INDEX(Data_Analitik!$U$2:$U$351,MATCH($A306,Data_Analitik!$AE$2:$AE$351,0)),""))</f>
        <v/>
      </c>
      <c r="I306" s="33" t="str">
        <f>IF(OR($A306="",$A306&gt;SUM(Data_Analitik!$AD$2:$AD$351)),"",IFERROR(INDEX(Data_Analitik!$AB$2:$AB$351,MATCH($A306,Data_Analitik!$AE$2:$AE$351,0)),""))</f>
        <v/>
      </c>
    </row>
    <row r="307" spans="1:9" ht="21.95" customHeight="1" x14ac:dyDescent="0.25">
      <c r="A307" s="32">
        <f t="shared" si="4"/>
        <v>294</v>
      </c>
      <c r="B307" s="99" t="str">
        <f>IF(OR($A307="",$A307&gt;SUM(Data_Analitik!$AD$2:$AD$351)),"",IFERROR(INDEX(Data_Analitik!$B$2:$B$351,MATCH($A307,Data_Analitik!$AE$2:$AE$351,0)),""))</f>
        <v/>
      </c>
      <c r="C307" s="101" t="str">
        <f>IF(OR($A307="",$A307&gt;SUM(Data_Analitik!$AD$2:$AD$351)),"",IFERROR(INDEX(Data_Analitik!$C$2:$C$351,MATCH($A307,Data_Analitik!$AE$2:$AE$351,0)),""))</f>
        <v/>
      </c>
      <c r="D307" s="99" t="str">
        <f>IF(OR($A307="",$A307&gt;SUM(Data_Analitik!$AD$2:$AD$351)),"",IFERROR(INDEX(Data_Analitik!$D$2:$D$351,MATCH($A307,Data_Analitik!$AE$2:$AE$351,0)),""))</f>
        <v/>
      </c>
      <c r="E307" s="100" t="str">
        <f>IF(OR($A307="",$A307&gt;SUM(Data_Analitik!$AD$2:$AD$351)),"",IFERROR(INDEX(Data_Analitik!$E$2:$E$351,MATCH($A307,Data_Analitik!$AE$2:$AE$351,0)),""))</f>
        <v/>
      </c>
      <c r="F307" s="97" t="str">
        <f>IF(OR($A307="",$A307&gt;SUM(Data_Analitik!$AD$2:$AD$351)),"",IFERROR(INDEX(Data_Analitik!$Z$2:$Z$351,MATCH($A307,Data_Analitik!$AE$2:$AE$351,0)),""))</f>
        <v/>
      </c>
      <c r="G307" s="97" t="str">
        <f>IF(OR($A307="",$A307&gt;SUM(Data_Analitik!$AD$2:$AD$351)),"",IFERROR(INDEX(Data_Analitik!$AA$2:$AA$351,MATCH($A307,Data_Analitik!$AE$2:$AE$351,0)),""))</f>
        <v/>
      </c>
      <c r="H307" s="100" t="str">
        <f>IF(OR($A307="",$A307&gt;SUM(Data_Analitik!$AD$2:$AD$351)),"",IFERROR(INDEX(Data_Analitik!$U$2:$U$351,MATCH($A307,Data_Analitik!$AE$2:$AE$351,0)),""))</f>
        <v/>
      </c>
      <c r="I307" s="33" t="str">
        <f>IF(OR($A307="",$A307&gt;SUM(Data_Analitik!$AD$2:$AD$351)),"",IFERROR(INDEX(Data_Analitik!$AB$2:$AB$351,MATCH($A307,Data_Analitik!$AE$2:$AE$351,0)),""))</f>
        <v/>
      </c>
    </row>
    <row r="308" spans="1:9" ht="21.95" customHeight="1" x14ac:dyDescent="0.25">
      <c r="A308" s="32">
        <f t="shared" si="4"/>
        <v>295</v>
      </c>
      <c r="B308" s="99" t="str">
        <f>IF(OR($A308="",$A308&gt;SUM(Data_Analitik!$AD$2:$AD$351)),"",IFERROR(INDEX(Data_Analitik!$B$2:$B$351,MATCH($A308,Data_Analitik!$AE$2:$AE$351,0)),""))</f>
        <v/>
      </c>
      <c r="C308" s="101" t="str">
        <f>IF(OR($A308="",$A308&gt;SUM(Data_Analitik!$AD$2:$AD$351)),"",IFERROR(INDEX(Data_Analitik!$C$2:$C$351,MATCH($A308,Data_Analitik!$AE$2:$AE$351,0)),""))</f>
        <v/>
      </c>
      <c r="D308" s="99" t="str">
        <f>IF(OR($A308="",$A308&gt;SUM(Data_Analitik!$AD$2:$AD$351)),"",IFERROR(INDEX(Data_Analitik!$D$2:$D$351,MATCH($A308,Data_Analitik!$AE$2:$AE$351,0)),""))</f>
        <v/>
      </c>
      <c r="E308" s="100" t="str">
        <f>IF(OR($A308="",$A308&gt;SUM(Data_Analitik!$AD$2:$AD$351)),"",IFERROR(INDEX(Data_Analitik!$E$2:$E$351,MATCH($A308,Data_Analitik!$AE$2:$AE$351,0)),""))</f>
        <v/>
      </c>
      <c r="F308" s="97" t="str">
        <f>IF(OR($A308="",$A308&gt;SUM(Data_Analitik!$AD$2:$AD$351)),"",IFERROR(INDEX(Data_Analitik!$Z$2:$Z$351,MATCH($A308,Data_Analitik!$AE$2:$AE$351,0)),""))</f>
        <v/>
      </c>
      <c r="G308" s="97" t="str">
        <f>IF(OR($A308="",$A308&gt;SUM(Data_Analitik!$AD$2:$AD$351)),"",IFERROR(INDEX(Data_Analitik!$AA$2:$AA$351,MATCH($A308,Data_Analitik!$AE$2:$AE$351,0)),""))</f>
        <v/>
      </c>
      <c r="H308" s="100" t="str">
        <f>IF(OR($A308="",$A308&gt;SUM(Data_Analitik!$AD$2:$AD$351)),"",IFERROR(INDEX(Data_Analitik!$U$2:$U$351,MATCH($A308,Data_Analitik!$AE$2:$AE$351,0)),""))</f>
        <v/>
      </c>
      <c r="I308" s="33" t="str">
        <f>IF(OR($A308="",$A308&gt;SUM(Data_Analitik!$AD$2:$AD$351)),"",IFERROR(INDEX(Data_Analitik!$AB$2:$AB$351,MATCH($A308,Data_Analitik!$AE$2:$AE$351,0)),""))</f>
        <v/>
      </c>
    </row>
    <row r="309" spans="1:9" ht="21.95" customHeight="1" x14ac:dyDescent="0.25">
      <c r="A309" s="32">
        <f t="shared" si="4"/>
        <v>296</v>
      </c>
      <c r="B309" s="99" t="str">
        <f>IF(OR($A309="",$A309&gt;SUM(Data_Analitik!$AD$2:$AD$351)),"",IFERROR(INDEX(Data_Analitik!$B$2:$B$351,MATCH($A309,Data_Analitik!$AE$2:$AE$351,0)),""))</f>
        <v/>
      </c>
      <c r="C309" s="101" t="str">
        <f>IF(OR($A309="",$A309&gt;SUM(Data_Analitik!$AD$2:$AD$351)),"",IFERROR(INDEX(Data_Analitik!$C$2:$C$351,MATCH($A309,Data_Analitik!$AE$2:$AE$351,0)),""))</f>
        <v/>
      </c>
      <c r="D309" s="99" t="str">
        <f>IF(OR($A309="",$A309&gt;SUM(Data_Analitik!$AD$2:$AD$351)),"",IFERROR(INDEX(Data_Analitik!$D$2:$D$351,MATCH($A309,Data_Analitik!$AE$2:$AE$351,0)),""))</f>
        <v/>
      </c>
      <c r="E309" s="100" t="str">
        <f>IF(OR($A309="",$A309&gt;SUM(Data_Analitik!$AD$2:$AD$351)),"",IFERROR(INDEX(Data_Analitik!$E$2:$E$351,MATCH($A309,Data_Analitik!$AE$2:$AE$351,0)),""))</f>
        <v/>
      </c>
      <c r="F309" s="97" t="str">
        <f>IF(OR($A309="",$A309&gt;SUM(Data_Analitik!$AD$2:$AD$351)),"",IFERROR(INDEX(Data_Analitik!$Z$2:$Z$351,MATCH($A309,Data_Analitik!$AE$2:$AE$351,0)),""))</f>
        <v/>
      </c>
      <c r="G309" s="97" t="str">
        <f>IF(OR($A309="",$A309&gt;SUM(Data_Analitik!$AD$2:$AD$351)),"",IFERROR(INDEX(Data_Analitik!$AA$2:$AA$351,MATCH($A309,Data_Analitik!$AE$2:$AE$351,0)),""))</f>
        <v/>
      </c>
      <c r="H309" s="100" t="str">
        <f>IF(OR($A309="",$A309&gt;SUM(Data_Analitik!$AD$2:$AD$351)),"",IFERROR(INDEX(Data_Analitik!$U$2:$U$351,MATCH($A309,Data_Analitik!$AE$2:$AE$351,0)),""))</f>
        <v/>
      </c>
      <c r="I309" s="33" t="str">
        <f>IF(OR($A309="",$A309&gt;SUM(Data_Analitik!$AD$2:$AD$351)),"",IFERROR(INDEX(Data_Analitik!$AB$2:$AB$351,MATCH($A309,Data_Analitik!$AE$2:$AE$351,0)),""))</f>
        <v/>
      </c>
    </row>
    <row r="310" spans="1:9" ht="21.95" customHeight="1" x14ac:dyDescent="0.25">
      <c r="A310" s="32">
        <f t="shared" si="4"/>
        <v>297</v>
      </c>
      <c r="B310" s="99" t="str">
        <f>IF(OR($A310="",$A310&gt;SUM(Data_Analitik!$AD$2:$AD$351)),"",IFERROR(INDEX(Data_Analitik!$B$2:$B$351,MATCH($A310,Data_Analitik!$AE$2:$AE$351,0)),""))</f>
        <v/>
      </c>
      <c r="C310" s="101" t="str">
        <f>IF(OR($A310="",$A310&gt;SUM(Data_Analitik!$AD$2:$AD$351)),"",IFERROR(INDEX(Data_Analitik!$C$2:$C$351,MATCH($A310,Data_Analitik!$AE$2:$AE$351,0)),""))</f>
        <v/>
      </c>
      <c r="D310" s="99" t="str">
        <f>IF(OR($A310="",$A310&gt;SUM(Data_Analitik!$AD$2:$AD$351)),"",IFERROR(INDEX(Data_Analitik!$D$2:$D$351,MATCH($A310,Data_Analitik!$AE$2:$AE$351,0)),""))</f>
        <v/>
      </c>
      <c r="E310" s="100" t="str">
        <f>IF(OR($A310="",$A310&gt;SUM(Data_Analitik!$AD$2:$AD$351)),"",IFERROR(INDEX(Data_Analitik!$E$2:$E$351,MATCH($A310,Data_Analitik!$AE$2:$AE$351,0)),""))</f>
        <v/>
      </c>
      <c r="F310" s="97" t="str">
        <f>IF(OR($A310="",$A310&gt;SUM(Data_Analitik!$AD$2:$AD$351)),"",IFERROR(INDEX(Data_Analitik!$Z$2:$Z$351,MATCH($A310,Data_Analitik!$AE$2:$AE$351,0)),""))</f>
        <v/>
      </c>
      <c r="G310" s="97" t="str">
        <f>IF(OR($A310="",$A310&gt;SUM(Data_Analitik!$AD$2:$AD$351)),"",IFERROR(INDEX(Data_Analitik!$AA$2:$AA$351,MATCH($A310,Data_Analitik!$AE$2:$AE$351,0)),""))</f>
        <v/>
      </c>
      <c r="H310" s="100" t="str">
        <f>IF(OR($A310="",$A310&gt;SUM(Data_Analitik!$AD$2:$AD$351)),"",IFERROR(INDEX(Data_Analitik!$U$2:$U$351,MATCH($A310,Data_Analitik!$AE$2:$AE$351,0)),""))</f>
        <v/>
      </c>
      <c r="I310" s="33" t="str">
        <f>IF(OR($A310="",$A310&gt;SUM(Data_Analitik!$AD$2:$AD$351)),"",IFERROR(INDEX(Data_Analitik!$AB$2:$AB$351,MATCH($A310,Data_Analitik!$AE$2:$AE$351,0)),""))</f>
        <v/>
      </c>
    </row>
    <row r="311" spans="1:9" ht="21.95" customHeight="1" x14ac:dyDescent="0.25">
      <c r="A311" s="32">
        <f t="shared" si="4"/>
        <v>298</v>
      </c>
      <c r="B311" s="99" t="str">
        <f>IF(OR($A311="",$A311&gt;SUM(Data_Analitik!$AD$2:$AD$351)),"",IFERROR(INDEX(Data_Analitik!$B$2:$B$351,MATCH($A311,Data_Analitik!$AE$2:$AE$351,0)),""))</f>
        <v/>
      </c>
      <c r="C311" s="101" t="str">
        <f>IF(OR($A311="",$A311&gt;SUM(Data_Analitik!$AD$2:$AD$351)),"",IFERROR(INDEX(Data_Analitik!$C$2:$C$351,MATCH($A311,Data_Analitik!$AE$2:$AE$351,0)),""))</f>
        <v/>
      </c>
      <c r="D311" s="99" t="str">
        <f>IF(OR($A311="",$A311&gt;SUM(Data_Analitik!$AD$2:$AD$351)),"",IFERROR(INDEX(Data_Analitik!$D$2:$D$351,MATCH($A311,Data_Analitik!$AE$2:$AE$351,0)),""))</f>
        <v/>
      </c>
      <c r="E311" s="100" t="str">
        <f>IF(OR($A311="",$A311&gt;SUM(Data_Analitik!$AD$2:$AD$351)),"",IFERROR(INDEX(Data_Analitik!$E$2:$E$351,MATCH($A311,Data_Analitik!$AE$2:$AE$351,0)),""))</f>
        <v/>
      </c>
      <c r="F311" s="97" t="str">
        <f>IF(OR($A311="",$A311&gt;SUM(Data_Analitik!$AD$2:$AD$351)),"",IFERROR(INDEX(Data_Analitik!$Z$2:$Z$351,MATCH($A311,Data_Analitik!$AE$2:$AE$351,0)),""))</f>
        <v/>
      </c>
      <c r="G311" s="97" t="str">
        <f>IF(OR($A311="",$A311&gt;SUM(Data_Analitik!$AD$2:$AD$351)),"",IFERROR(INDEX(Data_Analitik!$AA$2:$AA$351,MATCH($A311,Data_Analitik!$AE$2:$AE$351,0)),""))</f>
        <v/>
      </c>
      <c r="H311" s="100" t="str">
        <f>IF(OR($A311="",$A311&gt;SUM(Data_Analitik!$AD$2:$AD$351)),"",IFERROR(INDEX(Data_Analitik!$U$2:$U$351,MATCH($A311,Data_Analitik!$AE$2:$AE$351,0)),""))</f>
        <v/>
      </c>
      <c r="I311" s="33" t="str">
        <f>IF(OR($A311="",$A311&gt;SUM(Data_Analitik!$AD$2:$AD$351)),"",IFERROR(INDEX(Data_Analitik!$AB$2:$AB$351,MATCH($A311,Data_Analitik!$AE$2:$AE$351,0)),""))</f>
        <v/>
      </c>
    </row>
    <row r="312" spans="1:9" ht="21.95" customHeight="1" x14ac:dyDescent="0.25">
      <c r="A312" s="32">
        <f t="shared" si="4"/>
        <v>299</v>
      </c>
      <c r="B312" s="99" t="str">
        <f>IF(OR($A312="",$A312&gt;SUM(Data_Analitik!$AD$2:$AD$351)),"",IFERROR(INDEX(Data_Analitik!$B$2:$B$351,MATCH($A312,Data_Analitik!$AE$2:$AE$351,0)),""))</f>
        <v/>
      </c>
      <c r="C312" s="101" t="str">
        <f>IF(OR($A312="",$A312&gt;SUM(Data_Analitik!$AD$2:$AD$351)),"",IFERROR(INDEX(Data_Analitik!$C$2:$C$351,MATCH($A312,Data_Analitik!$AE$2:$AE$351,0)),""))</f>
        <v/>
      </c>
      <c r="D312" s="99" t="str">
        <f>IF(OR($A312="",$A312&gt;SUM(Data_Analitik!$AD$2:$AD$351)),"",IFERROR(INDEX(Data_Analitik!$D$2:$D$351,MATCH($A312,Data_Analitik!$AE$2:$AE$351,0)),""))</f>
        <v/>
      </c>
      <c r="E312" s="100" t="str">
        <f>IF(OR($A312="",$A312&gt;SUM(Data_Analitik!$AD$2:$AD$351)),"",IFERROR(INDEX(Data_Analitik!$E$2:$E$351,MATCH($A312,Data_Analitik!$AE$2:$AE$351,0)),""))</f>
        <v/>
      </c>
      <c r="F312" s="97" t="str">
        <f>IF(OR($A312="",$A312&gt;SUM(Data_Analitik!$AD$2:$AD$351)),"",IFERROR(INDEX(Data_Analitik!$Z$2:$Z$351,MATCH($A312,Data_Analitik!$AE$2:$AE$351,0)),""))</f>
        <v/>
      </c>
      <c r="G312" s="97" t="str">
        <f>IF(OR($A312="",$A312&gt;SUM(Data_Analitik!$AD$2:$AD$351)),"",IFERROR(INDEX(Data_Analitik!$AA$2:$AA$351,MATCH($A312,Data_Analitik!$AE$2:$AE$351,0)),""))</f>
        <v/>
      </c>
      <c r="H312" s="100" t="str">
        <f>IF(OR($A312="",$A312&gt;SUM(Data_Analitik!$AD$2:$AD$351)),"",IFERROR(INDEX(Data_Analitik!$U$2:$U$351,MATCH($A312,Data_Analitik!$AE$2:$AE$351,0)),""))</f>
        <v/>
      </c>
      <c r="I312" s="33" t="str">
        <f>IF(OR($A312="",$A312&gt;SUM(Data_Analitik!$AD$2:$AD$351)),"",IFERROR(INDEX(Data_Analitik!$AB$2:$AB$351,MATCH($A312,Data_Analitik!$AE$2:$AE$351,0)),""))</f>
        <v/>
      </c>
    </row>
    <row r="313" spans="1:9" ht="21.95" customHeight="1" x14ac:dyDescent="0.25">
      <c r="A313" s="32">
        <f t="shared" si="4"/>
        <v>300</v>
      </c>
      <c r="B313" s="99" t="str">
        <f>IF(OR($A313="",$A313&gt;SUM(Data_Analitik!$AD$2:$AD$351)),"",IFERROR(INDEX(Data_Analitik!$B$2:$B$351,MATCH($A313,Data_Analitik!$AE$2:$AE$351,0)),""))</f>
        <v/>
      </c>
      <c r="C313" s="101" t="str">
        <f>IF(OR($A313="",$A313&gt;SUM(Data_Analitik!$AD$2:$AD$351)),"",IFERROR(INDEX(Data_Analitik!$C$2:$C$351,MATCH($A313,Data_Analitik!$AE$2:$AE$351,0)),""))</f>
        <v/>
      </c>
      <c r="D313" s="99" t="str">
        <f>IF(OR($A313="",$A313&gt;SUM(Data_Analitik!$AD$2:$AD$351)),"",IFERROR(INDEX(Data_Analitik!$D$2:$D$351,MATCH($A313,Data_Analitik!$AE$2:$AE$351,0)),""))</f>
        <v/>
      </c>
      <c r="E313" s="100" t="str">
        <f>IF(OR($A313="",$A313&gt;SUM(Data_Analitik!$AD$2:$AD$351)),"",IFERROR(INDEX(Data_Analitik!$E$2:$E$351,MATCH($A313,Data_Analitik!$AE$2:$AE$351,0)),""))</f>
        <v/>
      </c>
      <c r="F313" s="97" t="str">
        <f>IF(OR($A313="",$A313&gt;SUM(Data_Analitik!$AD$2:$AD$351)),"",IFERROR(INDEX(Data_Analitik!$Z$2:$Z$351,MATCH($A313,Data_Analitik!$AE$2:$AE$351,0)),""))</f>
        <v/>
      </c>
      <c r="G313" s="97" t="str">
        <f>IF(OR($A313="",$A313&gt;SUM(Data_Analitik!$AD$2:$AD$351)),"",IFERROR(INDEX(Data_Analitik!$AA$2:$AA$351,MATCH($A313,Data_Analitik!$AE$2:$AE$351,0)),""))</f>
        <v/>
      </c>
      <c r="H313" s="100" t="str">
        <f>IF(OR($A313="",$A313&gt;SUM(Data_Analitik!$AD$2:$AD$351)),"",IFERROR(INDEX(Data_Analitik!$U$2:$U$351,MATCH($A313,Data_Analitik!$AE$2:$AE$351,0)),""))</f>
        <v/>
      </c>
      <c r="I313" s="33" t="str">
        <f>IF(OR($A313="",$A313&gt;SUM(Data_Analitik!$AD$2:$AD$351)),"",IFERROR(INDEX(Data_Analitik!$AB$2:$AB$351,MATCH($A313,Data_Analitik!$AE$2:$AE$351,0)),""))</f>
        <v/>
      </c>
    </row>
    <row r="314" spans="1:9" ht="21.95" customHeight="1" x14ac:dyDescent="0.25">
      <c r="A314" s="32">
        <f t="shared" si="4"/>
        <v>301</v>
      </c>
      <c r="B314" s="99" t="str">
        <f>IF(OR($A314="",$A314&gt;SUM(Data_Analitik!$AD$2:$AD$351)),"",IFERROR(INDEX(Data_Analitik!$B$2:$B$351,MATCH($A314,Data_Analitik!$AE$2:$AE$351,0)),""))</f>
        <v/>
      </c>
      <c r="C314" s="101" t="str">
        <f>IF(OR($A314="",$A314&gt;SUM(Data_Analitik!$AD$2:$AD$351)),"",IFERROR(INDEX(Data_Analitik!$C$2:$C$351,MATCH($A314,Data_Analitik!$AE$2:$AE$351,0)),""))</f>
        <v/>
      </c>
      <c r="D314" s="99" t="str">
        <f>IF(OR($A314="",$A314&gt;SUM(Data_Analitik!$AD$2:$AD$351)),"",IFERROR(INDEX(Data_Analitik!$D$2:$D$351,MATCH($A314,Data_Analitik!$AE$2:$AE$351,0)),""))</f>
        <v/>
      </c>
      <c r="E314" s="100" t="str">
        <f>IF(OR($A314="",$A314&gt;SUM(Data_Analitik!$AD$2:$AD$351)),"",IFERROR(INDEX(Data_Analitik!$E$2:$E$351,MATCH($A314,Data_Analitik!$AE$2:$AE$351,0)),""))</f>
        <v/>
      </c>
      <c r="F314" s="97" t="str">
        <f>IF(OR($A314="",$A314&gt;SUM(Data_Analitik!$AD$2:$AD$351)),"",IFERROR(INDEX(Data_Analitik!$Z$2:$Z$351,MATCH($A314,Data_Analitik!$AE$2:$AE$351,0)),""))</f>
        <v/>
      </c>
      <c r="G314" s="97" t="str">
        <f>IF(OR($A314="",$A314&gt;SUM(Data_Analitik!$AD$2:$AD$351)),"",IFERROR(INDEX(Data_Analitik!$AA$2:$AA$351,MATCH($A314,Data_Analitik!$AE$2:$AE$351,0)),""))</f>
        <v/>
      </c>
      <c r="H314" s="100" t="str">
        <f>IF(OR($A314="",$A314&gt;SUM(Data_Analitik!$AD$2:$AD$351)),"",IFERROR(INDEX(Data_Analitik!$U$2:$U$351,MATCH($A314,Data_Analitik!$AE$2:$AE$351,0)),""))</f>
        <v/>
      </c>
      <c r="I314" s="33" t="str">
        <f>IF(OR($A314="",$A314&gt;SUM(Data_Analitik!$AD$2:$AD$351)),"",IFERROR(INDEX(Data_Analitik!$AB$2:$AB$351,MATCH($A314,Data_Analitik!$AE$2:$AE$351,0)),""))</f>
        <v/>
      </c>
    </row>
    <row r="315" spans="1:9" ht="21.95" customHeight="1" x14ac:dyDescent="0.25">
      <c r="A315" s="32">
        <f t="shared" si="4"/>
        <v>302</v>
      </c>
      <c r="B315" s="99" t="str">
        <f>IF(OR($A315="",$A315&gt;SUM(Data_Analitik!$AD$2:$AD$351)),"",IFERROR(INDEX(Data_Analitik!$B$2:$B$351,MATCH($A315,Data_Analitik!$AE$2:$AE$351,0)),""))</f>
        <v/>
      </c>
      <c r="C315" s="101" t="str">
        <f>IF(OR($A315="",$A315&gt;SUM(Data_Analitik!$AD$2:$AD$351)),"",IFERROR(INDEX(Data_Analitik!$C$2:$C$351,MATCH($A315,Data_Analitik!$AE$2:$AE$351,0)),""))</f>
        <v/>
      </c>
      <c r="D315" s="99" t="str">
        <f>IF(OR($A315="",$A315&gt;SUM(Data_Analitik!$AD$2:$AD$351)),"",IFERROR(INDEX(Data_Analitik!$D$2:$D$351,MATCH($A315,Data_Analitik!$AE$2:$AE$351,0)),""))</f>
        <v/>
      </c>
      <c r="E315" s="100" t="str">
        <f>IF(OR($A315="",$A315&gt;SUM(Data_Analitik!$AD$2:$AD$351)),"",IFERROR(INDEX(Data_Analitik!$E$2:$E$351,MATCH($A315,Data_Analitik!$AE$2:$AE$351,0)),""))</f>
        <v/>
      </c>
      <c r="F315" s="97" t="str">
        <f>IF(OR($A315="",$A315&gt;SUM(Data_Analitik!$AD$2:$AD$351)),"",IFERROR(INDEX(Data_Analitik!$Z$2:$Z$351,MATCH($A315,Data_Analitik!$AE$2:$AE$351,0)),""))</f>
        <v/>
      </c>
      <c r="G315" s="97" t="str">
        <f>IF(OR($A315="",$A315&gt;SUM(Data_Analitik!$AD$2:$AD$351)),"",IFERROR(INDEX(Data_Analitik!$AA$2:$AA$351,MATCH($A315,Data_Analitik!$AE$2:$AE$351,0)),""))</f>
        <v/>
      </c>
      <c r="H315" s="100" t="str">
        <f>IF(OR($A315="",$A315&gt;SUM(Data_Analitik!$AD$2:$AD$351)),"",IFERROR(INDEX(Data_Analitik!$U$2:$U$351,MATCH($A315,Data_Analitik!$AE$2:$AE$351,0)),""))</f>
        <v/>
      </c>
      <c r="I315" s="33" t="str">
        <f>IF(OR($A315="",$A315&gt;SUM(Data_Analitik!$AD$2:$AD$351)),"",IFERROR(INDEX(Data_Analitik!$AB$2:$AB$351,MATCH($A315,Data_Analitik!$AE$2:$AE$351,0)),""))</f>
        <v/>
      </c>
    </row>
    <row r="316" spans="1:9" ht="21.95" customHeight="1" x14ac:dyDescent="0.25">
      <c r="A316" s="32">
        <f t="shared" si="4"/>
        <v>303</v>
      </c>
      <c r="B316" s="99" t="str">
        <f>IF(OR($A316="",$A316&gt;SUM(Data_Analitik!$AD$2:$AD$351)),"",IFERROR(INDEX(Data_Analitik!$B$2:$B$351,MATCH($A316,Data_Analitik!$AE$2:$AE$351,0)),""))</f>
        <v/>
      </c>
      <c r="C316" s="101" t="str">
        <f>IF(OR($A316="",$A316&gt;SUM(Data_Analitik!$AD$2:$AD$351)),"",IFERROR(INDEX(Data_Analitik!$C$2:$C$351,MATCH($A316,Data_Analitik!$AE$2:$AE$351,0)),""))</f>
        <v/>
      </c>
      <c r="D316" s="99" t="str">
        <f>IF(OR($A316="",$A316&gt;SUM(Data_Analitik!$AD$2:$AD$351)),"",IFERROR(INDEX(Data_Analitik!$D$2:$D$351,MATCH($A316,Data_Analitik!$AE$2:$AE$351,0)),""))</f>
        <v/>
      </c>
      <c r="E316" s="100" t="str">
        <f>IF(OR($A316="",$A316&gt;SUM(Data_Analitik!$AD$2:$AD$351)),"",IFERROR(INDEX(Data_Analitik!$E$2:$E$351,MATCH($A316,Data_Analitik!$AE$2:$AE$351,0)),""))</f>
        <v/>
      </c>
      <c r="F316" s="97" t="str">
        <f>IF(OR($A316="",$A316&gt;SUM(Data_Analitik!$AD$2:$AD$351)),"",IFERROR(INDEX(Data_Analitik!$Z$2:$Z$351,MATCH($A316,Data_Analitik!$AE$2:$AE$351,0)),""))</f>
        <v/>
      </c>
      <c r="G316" s="97" t="str">
        <f>IF(OR($A316="",$A316&gt;SUM(Data_Analitik!$AD$2:$AD$351)),"",IFERROR(INDEX(Data_Analitik!$AA$2:$AA$351,MATCH($A316,Data_Analitik!$AE$2:$AE$351,0)),""))</f>
        <v/>
      </c>
      <c r="H316" s="100" t="str">
        <f>IF(OR($A316="",$A316&gt;SUM(Data_Analitik!$AD$2:$AD$351)),"",IFERROR(INDEX(Data_Analitik!$U$2:$U$351,MATCH($A316,Data_Analitik!$AE$2:$AE$351,0)),""))</f>
        <v/>
      </c>
      <c r="I316" s="33" t="str">
        <f>IF(OR($A316="",$A316&gt;SUM(Data_Analitik!$AD$2:$AD$351)),"",IFERROR(INDEX(Data_Analitik!$AB$2:$AB$351,MATCH($A316,Data_Analitik!$AE$2:$AE$351,0)),""))</f>
        <v/>
      </c>
    </row>
    <row r="317" spans="1:9" ht="21.95" customHeight="1" x14ac:dyDescent="0.25">
      <c r="A317" s="32">
        <f t="shared" si="4"/>
        <v>304</v>
      </c>
      <c r="B317" s="99" t="str">
        <f>IF(OR($A317="",$A317&gt;SUM(Data_Analitik!$AD$2:$AD$351)),"",IFERROR(INDEX(Data_Analitik!$B$2:$B$351,MATCH($A317,Data_Analitik!$AE$2:$AE$351,0)),""))</f>
        <v/>
      </c>
      <c r="C317" s="101" t="str">
        <f>IF(OR($A317="",$A317&gt;SUM(Data_Analitik!$AD$2:$AD$351)),"",IFERROR(INDEX(Data_Analitik!$C$2:$C$351,MATCH($A317,Data_Analitik!$AE$2:$AE$351,0)),""))</f>
        <v/>
      </c>
      <c r="D317" s="99" t="str">
        <f>IF(OR($A317="",$A317&gt;SUM(Data_Analitik!$AD$2:$AD$351)),"",IFERROR(INDEX(Data_Analitik!$D$2:$D$351,MATCH($A317,Data_Analitik!$AE$2:$AE$351,0)),""))</f>
        <v/>
      </c>
      <c r="E317" s="100" t="str">
        <f>IF(OR($A317="",$A317&gt;SUM(Data_Analitik!$AD$2:$AD$351)),"",IFERROR(INDEX(Data_Analitik!$E$2:$E$351,MATCH($A317,Data_Analitik!$AE$2:$AE$351,0)),""))</f>
        <v/>
      </c>
      <c r="F317" s="97" t="str">
        <f>IF(OR($A317="",$A317&gt;SUM(Data_Analitik!$AD$2:$AD$351)),"",IFERROR(INDEX(Data_Analitik!$Z$2:$Z$351,MATCH($A317,Data_Analitik!$AE$2:$AE$351,0)),""))</f>
        <v/>
      </c>
      <c r="G317" s="97" t="str">
        <f>IF(OR($A317="",$A317&gt;SUM(Data_Analitik!$AD$2:$AD$351)),"",IFERROR(INDEX(Data_Analitik!$AA$2:$AA$351,MATCH($A317,Data_Analitik!$AE$2:$AE$351,0)),""))</f>
        <v/>
      </c>
      <c r="H317" s="100" t="str">
        <f>IF(OR($A317="",$A317&gt;SUM(Data_Analitik!$AD$2:$AD$351)),"",IFERROR(INDEX(Data_Analitik!$U$2:$U$351,MATCH($A317,Data_Analitik!$AE$2:$AE$351,0)),""))</f>
        <v/>
      </c>
      <c r="I317" s="33" t="str">
        <f>IF(OR($A317="",$A317&gt;SUM(Data_Analitik!$AD$2:$AD$351)),"",IFERROR(INDEX(Data_Analitik!$AB$2:$AB$351,MATCH($A317,Data_Analitik!$AE$2:$AE$351,0)),""))</f>
        <v/>
      </c>
    </row>
    <row r="318" spans="1:9" ht="21.95" customHeight="1" x14ac:dyDescent="0.25">
      <c r="A318" s="32">
        <f t="shared" si="4"/>
        <v>305</v>
      </c>
      <c r="B318" s="99" t="str">
        <f>IF(OR($A318="",$A318&gt;SUM(Data_Analitik!$AD$2:$AD$351)),"",IFERROR(INDEX(Data_Analitik!$B$2:$B$351,MATCH($A318,Data_Analitik!$AE$2:$AE$351,0)),""))</f>
        <v/>
      </c>
      <c r="C318" s="101" t="str">
        <f>IF(OR($A318="",$A318&gt;SUM(Data_Analitik!$AD$2:$AD$351)),"",IFERROR(INDEX(Data_Analitik!$C$2:$C$351,MATCH($A318,Data_Analitik!$AE$2:$AE$351,0)),""))</f>
        <v/>
      </c>
      <c r="D318" s="99" t="str">
        <f>IF(OR($A318="",$A318&gt;SUM(Data_Analitik!$AD$2:$AD$351)),"",IFERROR(INDEX(Data_Analitik!$D$2:$D$351,MATCH($A318,Data_Analitik!$AE$2:$AE$351,0)),""))</f>
        <v/>
      </c>
      <c r="E318" s="100" t="str">
        <f>IF(OR($A318="",$A318&gt;SUM(Data_Analitik!$AD$2:$AD$351)),"",IFERROR(INDEX(Data_Analitik!$E$2:$E$351,MATCH($A318,Data_Analitik!$AE$2:$AE$351,0)),""))</f>
        <v/>
      </c>
      <c r="F318" s="97" t="str">
        <f>IF(OR($A318="",$A318&gt;SUM(Data_Analitik!$AD$2:$AD$351)),"",IFERROR(INDEX(Data_Analitik!$Z$2:$Z$351,MATCH($A318,Data_Analitik!$AE$2:$AE$351,0)),""))</f>
        <v/>
      </c>
      <c r="G318" s="97" t="str">
        <f>IF(OR($A318="",$A318&gt;SUM(Data_Analitik!$AD$2:$AD$351)),"",IFERROR(INDEX(Data_Analitik!$AA$2:$AA$351,MATCH($A318,Data_Analitik!$AE$2:$AE$351,0)),""))</f>
        <v/>
      </c>
      <c r="H318" s="100" t="str">
        <f>IF(OR($A318="",$A318&gt;SUM(Data_Analitik!$AD$2:$AD$351)),"",IFERROR(INDEX(Data_Analitik!$U$2:$U$351,MATCH($A318,Data_Analitik!$AE$2:$AE$351,0)),""))</f>
        <v/>
      </c>
      <c r="I318" s="33" t="str">
        <f>IF(OR($A318="",$A318&gt;SUM(Data_Analitik!$AD$2:$AD$351)),"",IFERROR(INDEX(Data_Analitik!$AB$2:$AB$351,MATCH($A318,Data_Analitik!$AE$2:$AE$351,0)),""))</f>
        <v/>
      </c>
    </row>
    <row r="319" spans="1:9" ht="21.95" customHeight="1" x14ac:dyDescent="0.25">
      <c r="A319" s="32">
        <f t="shared" si="4"/>
        <v>306</v>
      </c>
      <c r="B319" s="99" t="str">
        <f>IF(OR($A319="",$A319&gt;SUM(Data_Analitik!$AD$2:$AD$351)),"",IFERROR(INDEX(Data_Analitik!$B$2:$B$351,MATCH($A319,Data_Analitik!$AE$2:$AE$351,0)),""))</f>
        <v/>
      </c>
      <c r="C319" s="101" t="str">
        <f>IF(OR($A319="",$A319&gt;SUM(Data_Analitik!$AD$2:$AD$351)),"",IFERROR(INDEX(Data_Analitik!$C$2:$C$351,MATCH($A319,Data_Analitik!$AE$2:$AE$351,0)),""))</f>
        <v/>
      </c>
      <c r="D319" s="99" t="str">
        <f>IF(OR($A319="",$A319&gt;SUM(Data_Analitik!$AD$2:$AD$351)),"",IFERROR(INDEX(Data_Analitik!$D$2:$D$351,MATCH($A319,Data_Analitik!$AE$2:$AE$351,0)),""))</f>
        <v/>
      </c>
      <c r="E319" s="100" t="str">
        <f>IF(OR($A319="",$A319&gt;SUM(Data_Analitik!$AD$2:$AD$351)),"",IFERROR(INDEX(Data_Analitik!$E$2:$E$351,MATCH($A319,Data_Analitik!$AE$2:$AE$351,0)),""))</f>
        <v/>
      </c>
      <c r="F319" s="97" t="str">
        <f>IF(OR($A319="",$A319&gt;SUM(Data_Analitik!$AD$2:$AD$351)),"",IFERROR(INDEX(Data_Analitik!$Z$2:$Z$351,MATCH($A319,Data_Analitik!$AE$2:$AE$351,0)),""))</f>
        <v/>
      </c>
      <c r="G319" s="97" t="str">
        <f>IF(OR($A319="",$A319&gt;SUM(Data_Analitik!$AD$2:$AD$351)),"",IFERROR(INDEX(Data_Analitik!$AA$2:$AA$351,MATCH($A319,Data_Analitik!$AE$2:$AE$351,0)),""))</f>
        <v/>
      </c>
      <c r="H319" s="100" t="str">
        <f>IF(OR($A319="",$A319&gt;SUM(Data_Analitik!$AD$2:$AD$351)),"",IFERROR(INDEX(Data_Analitik!$U$2:$U$351,MATCH($A319,Data_Analitik!$AE$2:$AE$351,0)),""))</f>
        <v/>
      </c>
      <c r="I319" s="33" t="str">
        <f>IF(OR($A319="",$A319&gt;SUM(Data_Analitik!$AD$2:$AD$351)),"",IFERROR(INDEX(Data_Analitik!$AB$2:$AB$351,MATCH($A319,Data_Analitik!$AE$2:$AE$351,0)),""))</f>
        <v/>
      </c>
    </row>
    <row r="320" spans="1:9" ht="21.95" customHeight="1" x14ac:dyDescent="0.25">
      <c r="A320" s="32">
        <f t="shared" si="4"/>
        <v>307</v>
      </c>
      <c r="B320" s="99" t="str">
        <f>IF(OR($A320="",$A320&gt;SUM(Data_Analitik!$AD$2:$AD$351)),"",IFERROR(INDEX(Data_Analitik!$B$2:$B$351,MATCH($A320,Data_Analitik!$AE$2:$AE$351,0)),""))</f>
        <v/>
      </c>
      <c r="C320" s="101" t="str">
        <f>IF(OR($A320="",$A320&gt;SUM(Data_Analitik!$AD$2:$AD$351)),"",IFERROR(INDEX(Data_Analitik!$C$2:$C$351,MATCH($A320,Data_Analitik!$AE$2:$AE$351,0)),""))</f>
        <v/>
      </c>
      <c r="D320" s="99" t="str">
        <f>IF(OR($A320="",$A320&gt;SUM(Data_Analitik!$AD$2:$AD$351)),"",IFERROR(INDEX(Data_Analitik!$D$2:$D$351,MATCH($A320,Data_Analitik!$AE$2:$AE$351,0)),""))</f>
        <v/>
      </c>
      <c r="E320" s="100" t="str">
        <f>IF(OR($A320="",$A320&gt;SUM(Data_Analitik!$AD$2:$AD$351)),"",IFERROR(INDEX(Data_Analitik!$E$2:$E$351,MATCH($A320,Data_Analitik!$AE$2:$AE$351,0)),""))</f>
        <v/>
      </c>
      <c r="F320" s="97" t="str">
        <f>IF(OR($A320="",$A320&gt;SUM(Data_Analitik!$AD$2:$AD$351)),"",IFERROR(INDEX(Data_Analitik!$Z$2:$Z$351,MATCH($A320,Data_Analitik!$AE$2:$AE$351,0)),""))</f>
        <v/>
      </c>
      <c r="G320" s="97" t="str">
        <f>IF(OR($A320="",$A320&gt;SUM(Data_Analitik!$AD$2:$AD$351)),"",IFERROR(INDEX(Data_Analitik!$AA$2:$AA$351,MATCH($A320,Data_Analitik!$AE$2:$AE$351,0)),""))</f>
        <v/>
      </c>
      <c r="H320" s="100" t="str">
        <f>IF(OR($A320="",$A320&gt;SUM(Data_Analitik!$AD$2:$AD$351)),"",IFERROR(INDEX(Data_Analitik!$U$2:$U$351,MATCH($A320,Data_Analitik!$AE$2:$AE$351,0)),""))</f>
        <v/>
      </c>
      <c r="I320" s="33" t="str">
        <f>IF(OR($A320="",$A320&gt;SUM(Data_Analitik!$AD$2:$AD$351)),"",IFERROR(INDEX(Data_Analitik!$AB$2:$AB$351,MATCH($A320,Data_Analitik!$AE$2:$AE$351,0)),""))</f>
        <v/>
      </c>
    </row>
    <row r="321" spans="1:9" ht="21.95" customHeight="1" x14ac:dyDescent="0.25">
      <c r="A321" s="32">
        <f t="shared" si="4"/>
        <v>308</v>
      </c>
      <c r="B321" s="99" t="str">
        <f>IF(OR($A321="",$A321&gt;SUM(Data_Analitik!$AD$2:$AD$351)),"",IFERROR(INDEX(Data_Analitik!$B$2:$B$351,MATCH($A321,Data_Analitik!$AE$2:$AE$351,0)),""))</f>
        <v/>
      </c>
      <c r="C321" s="101" t="str">
        <f>IF(OR($A321="",$A321&gt;SUM(Data_Analitik!$AD$2:$AD$351)),"",IFERROR(INDEX(Data_Analitik!$C$2:$C$351,MATCH($A321,Data_Analitik!$AE$2:$AE$351,0)),""))</f>
        <v/>
      </c>
      <c r="D321" s="99" t="str">
        <f>IF(OR($A321="",$A321&gt;SUM(Data_Analitik!$AD$2:$AD$351)),"",IFERROR(INDEX(Data_Analitik!$D$2:$D$351,MATCH($A321,Data_Analitik!$AE$2:$AE$351,0)),""))</f>
        <v/>
      </c>
      <c r="E321" s="100" t="str">
        <f>IF(OR($A321="",$A321&gt;SUM(Data_Analitik!$AD$2:$AD$351)),"",IFERROR(INDEX(Data_Analitik!$E$2:$E$351,MATCH($A321,Data_Analitik!$AE$2:$AE$351,0)),""))</f>
        <v/>
      </c>
      <c r="F321" s="97" t="str">
        <f>IF(OR($A321="",$A321&gt;SUM(Data_Analitik!$AD$2:$AD$351)),"",IFERROR(INDEX(Data_Analitik!$Z$2:$Z$351,MATCH($A321,Data_Analitik!$AE$2:$AE$351,0)),""))</f>
        <v/>
      </c>
      <c r="G321" s="97" t="str">
        <f>IF(OR($A321="",$A321&gt;SUM(Data_Analitik!$AD$2:$AD$351)),"",IFERROR(INDEX(Data_Analitik!$AA$2:$AA$351,MATCH($A321,Data_Analitik!$AE$2:$AE$351,0)),""))</f>
        <v/>
      </c>
      <c r="H321" s="100" t="str">
        <f>IF(OR($A321="",$A321&gt;SUM(Data_Analitik!$AD$2:$AD$351)),"",IFERROR(INDEX(Data_Analitik!$U$2:$U$351,MATCH($A321,Data_Analitik!$AE$2:$AE$351,0)),""))</f>
        <v/>
      </c>
      <c r="I321" s="33" t="str">
        <f>IF(OR($A321="",$A321&gt;SUM(Data_Analitik!$AD$2:$AD$351)),"",IFERROR(INDEX(Data_Analitik!$AB$2:$AB$351,MATCH($A321,Data_Analitik!$AE$2:$AE$351,0)),""))</f>
        <v/>
      </c>
    </row>
    <row r="322" spans="1:9" ht="21.95" customHeight="1" x14ac:dyDescent="0.25">
      <c r="A322" s="32">
        <f t="shared" si="4"/>
        <v>309</v>
      </c>
      <c r="B322" s="99" t="str">
        <f>IF(OR($A322="",$A322&gt;SUM(Data_Analitik!$AD$2:$AD$351)),"",IFERROR(INDEX(Data_Analitik!$B$2:$B$351,MATCH($A322,Data_Analitik!$AE$2:$AE$351,0)),""))</f>
        <v/>
      </c>
      <c r="C322" s="101" t="str">
        <f>IF(OR($A322="",$A322&gt;SUM(Data_Analitik!$AD$2:$AD$351)),"",IFERROR(INDEX(Data_Analitik!$C$2:$C$351,MATCH($A322,Data_Analitik!$AE$2:$AE$351,0)),""))</f>
        <v/>
      </c>
      <c r="D322" s="99" t="str">
        <f>IF(OR($A322="",$A322&gt;SUM(Data_Analitik!$AD$2:$AD$351)),"",IFERROR(INDEX(Data_Analitik!$D$2:$D$351,MATCH($A322,Data_Analitik!$AE$2:$AE$351,0)),""))</f>
        <v/>
      </c>
      <c r="E322" s="100" t="str">
        <f>IF(OR($A322="",$A322&gt;SUM(Data_Analitik!$AD$2:$AD$351)),"",IFERROR(INDEX(Data_Analitik!$E$2:$E$351,MATCH($A322,Data_Analitik!$AE$2:$AE$351,0)),""))</f>
        <v/>
      </c>
      <c r="F322" s="97" t="str">
        <f>IF(OR($A322="",$A322&gt;SUM(Data_Analitik!$AD$2:$AD$351)),"",IFERROR(INDEX(Data_Analitik!$Z$2:$Z$351,MATCH($A322,Data_Analitik!$AE$2:$AE$351,0)),""))</f>
        <v/>
      </c>
      <c r="G322" s="97" t="str">
        <f>IF(OR($A322="",$A322&gt;SUM(Data_Analitik!$AD$2:$AD$351)),"",IFERROR(INDEX(Data_Analitik!$AA$2:$AA$351,MATCH($A322,Data_Analitik!$AE$2:$AE$351,0)),""))</f>
        <v/>
      </c>
      <c r="H322" s="100" t="str">
        <f>IF(OR($A322="",$A322&gt;SUM(Data_Analitik!$AD$2:$AD$351)),"",IFERROR(INDEX(Data_Analitik!$U$2:$U$351,MATCH($A322,Data_Analitik!$AE$2:$AE$351,0)),""))</f>
        <v/>
      </c>
      <c r="I322" s="33" t="str">
        <f>IF(OR($A322="",$A322&gt;SUM(Data_Analitik!$AD$2:$AD$351)),"",IFERROR(INDEX(Data_Analitik!$AB$2:$AB$351,MATCH($A322,Data_Analitik!$AE$2:$AE$351,0)),""))</f>
        <v/>
      </c>
    </row>
    <row r="323" spans="1:9" ht="21.95" customHeight="1" x14ac:dyDescent="0.25">
      <c r="A323" s="32">
        <f t="shared" si="4"/>
        <v>310</v>
      </c>
      <c r="B323" s="99" t="str">
        <f>IF(OR($A323="",$A323&gt;SUM(Data_Analitik!$AD$2:$AD$351)),"",IFERROR(INDEX(Data_Analitik!$B$2:$B$351,MATCH($A323,Data_Analitik!$AE$2:$AE$351,0)),""))</f>
        <v/>
      </c>
      <c r="C323" s="101" t="str">
        <f>IF(OR($A323="",$A323&gt;SUM(Data_Analitik!$AD$2:$AD$351)),"",IFERROR(INDEX(Data_Analitik!$C$2:$C$351,MATCH($A323,Data_Analitik!$AE$2:$AE$351,0)),""))</f>
        <v/>
      </c>
      <c r="D323" s="99" t="str">
        <f>IF(OR($A323="",$A323&gt;SUM(Data_Analitik!$AD$2:$AD$351)),"",IFERROR(INDEX(Data_Analitik!$D$2:$D$351,MATCH($A323,Data_Analitik!$AE$2:$AE$351,0)),""))</f>
        <v/>
      </c>
      <c r="E323" s="100" t="str">
        <f>IF(OR($A323="",$A323&gt;SUM(Data_Analitik!$AD$2:$AD$351)),"",IFERROR(INDEX(Data_Analitik!$E$2:$E$351,MATCH($A323,Data_Analitik!$AE$2:$AE$351,0)),""))</f>
        <v/>
      </c>
      <c r="F323" s="97" t="str">
        <f>IF(OR($A323="",$A323&gt;SUM(Data_Analitik!$AD$2:$AD$351)),"",IFERROR(INDEX(Data_Analitik!$Z$2:$Z$351,MATCH($A323,Data_Analitik!$AE$2:$AE$351,0)),""))</f>
        <v/>
      </c>
      <c r="G323" s="97" t="str">
        <f>IF(OR($A323="",$A323&gt;SUM(Data_Analitik!$AD$2:$AD$351)),"",IFERROR(INDEX(Data_Analitik!$AA$2:$AA$351,MATCH($A323,Data_Analitik!$AE$2:$AE$351,0)),""))</f>
        <v/>
      </c>
      <c r="H323" s="100" t="str">
        <f>IF(OR($A323="",$A323&gt;SUM(Data_Analitik!$AD$2:$AD$351)),"",IFERROR(INDEX(Data_Analitik!$U$2:$U$351,MATCH($A323,Data_Analitik!$AE$2:$AE$351,0)),""))</f>
        <v/>
      </c>
      <c r="I323" s="33" t="str">
        <f>IF(OR($A323="",$A323&gt;SUM(Data_Analitik!$AD$2:$AD$351)),"",IFERROR(INDEX(Data_Analitik!$AB$2:$AB$351,MATCH($A323,Data_Analitik!$AE$2:$AE$351,0)),""))</f>
        <v/>
      </c>
    </row>
    <row r="324" spans="1:9" ht="21.95" customHeight="1" x14ac:dyDescent="0.25">
      <c r="A324" s="32">
        <f t="shared" si="4"/>
        <v>311</v>
      </c>
      <c r="B324" s="99" t="str">
        <f>IF(OR($A324="",$A324&gt;SUM(Data_Analitik!$AD$2:$AD$351)),"",IFERROR(INDEX(Data_Analitik!$B$2:$B$351,MATCH($A324,Data_Analitik!$AE$2:$AE$351,0)),""))</f>
        <v/>
      </c>
      <c r="C324" s="101" t="str">
        <f>IF(OR($A324="",$A324&gt;SUM(Data_Analitik!$AD$2:$AD$351)),"",IFERROR(INDEX(Data_Analitik!$C$2:$C$351,MATCH($A324,Data_Analitik!$AE$2:$AE$351,0)),""))</f>
        <v/>
      </c>
      <c r="D324" s="99" t="str">
        <f>IF(OR($A324="",$A324&gt;SUM(Data_Analitik!$AD$2:$AD$351)),"",IFERROR(INDEX(Data_Analitik!$D$2:$D$351,MATCH($A324,Data_Analitik!$AE$2:$AE$351,0)),""))</f>
        <v/>
      </c>
      <c r="E324" s="100" t="str">
        <f>IF(OR($A324="",$A324&gt;SUM(Data_Analitik!$AD$2:$AD$351)),"",IFERROR(INDEX(Data_Analitik!$E$2:$E$351,MATCH($A324,Data_Analitik!$AE$2:$AE$351,0)),""))</f>
        <v/>
      </c>
      <c r="F324" s="97" t="str">
        <f>IF(OR($A324="",$A324&gt;SUM(Data_Analitik!$AD$2:$AD$351)),"",IFERROR(INDEX(Data_Analitik!$Z$2:$Z$351,MATCH($A324,Data_Analitik!$AE$2:$AE$351,0)),""))</f>
        <v/>
      </c>
      <c r="G324" s="97" t="str">
        <f>IF(OR($A324="",$A324&gt;SUM(Data_Analitik!$AD$2:$AD$351)),"",IFERROR(INDEX(Data_Analitik!$AA$2:$AA$351,MATCH($A324,Data_Analitik!$AE$2:$AE$351,0)),""))</f>
        <v/>
      </c>
      <c r="H324" s="100" t="str">
        <f>IF(OR($A324="",$A324&gt;SUM(Data_Analitik!$AD$2:$AD$351)),"",IFERROR(INDEX(Data_Analitik!$U$2:$U$351,MATCH($A324,Data_Analitik!$AE$2:$AE$351,0)),""))</f>
        <v/>
      </c>
      <c r="I324" s="33" t="str">
        <f>IF(OR($A324="",$A324&gt;SUM(Data_Analitik!$AD$2:$AD$351)),"",IFERROR(INDEX(Data_Analitik!$AB$2:$AB$351,MATCH($A324,Data_Analitik!$AE$2:$AE$351,0)),""))</f>
        <v/>
      </c>
    </row>
    <row r="325" spans="1:9" ht="21.95" customHeight="1" x14ac:dyDescent="0.25">
      <c r="A325" s="32">
        <f t="shared" si="4"/>
        <v>312</v>
      </c>
      <c r="B325" s="99" t="str">
        <f>IF(OR($A325="",$A325&gt;SUM(Data_Analitik!$AD$2:$AD$351)),"",IFERROR(INDEX(Data_Analitik!$B$2:$B$351,MATCH($A325,Data_Analitik!$AE$2:$AE$351,0)),""))</f>
        <v/>
      </c>
      <c r="C325" s="101" t="str">
        <f>IF(OR($A325="",$A325&gt;SUM(Data_Analitik!$AD$2:$AD$351)),"",IFERROR(INDEX(Data_Analitik!$C$2:$C$351,MATCH($A325,Data_Analitik!$AE$2:$AE$351,0)),""))</f>
        <v/>
      </c>
      <c r="D325" s="99" t="str">
        <f>IF(OR($A325="",$A325&gt;SUM(Data_Analitik!$AD$2:$AD$351)),"",IFERROR(INDEX(Data_Analitik!$D$2:$D$351,MATCH($A325,Data_Analitik!$AE$2:$AE$351,0)),""))</f>
        <v/>
      </c>
      <c r="E325" s="100" t="str">
        <f>IF(OR($A325="",$A325&gt;SUM(Data_Analitik!$AD$2:$AD$351)),"",IFERROR(INDEX(Data_Analitik!$E$2:$E$351,MATCH($A325,Data_Analitik!$AE$2:$AE$351,0)),""))</f>
        <v/>
      </c>
      <c r="F325" s="97" t="str">
        <f>IF(OR($A325="",$A325&gt;SUM(Data_Analitik!$AD$2:$AD$351)),"",IFERROR(INDEX(Data_Analitik!$Z$2:$Z$351,MATCH($A325,Data_Analitik!$AE$2:$AE$351,0)),""))</f>
        <v/>
      </c>
      <c r="G325" s="97" t="str">
        <f>IF(OR($A325="",$A325&gt;SUM(Data_Analitik!$AD$2:$AD$351)),"",IFERROR(INDEX(Data_Analitik!$AA$2:$AA$351,MATCH($A325,Data_Analitik!$AE$2:$AE$351,0)),""))</f>
        <v/>
      </c>
      <c r="H325" s="100" t="str">
        <f>IF(OR($A325="",$A325&gt;SUM(Data_Analitik!$AD$2:$AD$351)),"",IFERROR(INDEX(Data_Analitik!$U$2:$U$351,MATCH($A325,Data_Analitik!$AE$2:$AE$351,0)),""))</f>
        <v/>
      </c>
      <c r="I325" s="33" t="str">
        <f>IF(OR($A325="",$A325&gt;SUM(Data_Analitik!$AD$2:$AD$351)),"",IFERROR(INDEX(Data_Analitik!$AB$2:$AB$351,MATCH($A325,Data_Analitik!$AE$2:$AE$351,0)),""))</f>
        <v/>
      </c>
    </row>
    <row r="326" spans="1:9" ht="21.95" customHeight="1" x14ac:dyDescent="0.25">
      <c r="A326" s="32">
        <f t="shared" si="4"/>
        <v>313</v>
      </c>
      <c r="B326" s="99" t="str">
        <f>IF(OR($A326="",$A326&gt;SUM(Data_Analitik!$AD$2:$AD$351)),"",IFERROR(INDEX(Data_Analitik!$B$2:$B$351,MATCH($A326,Data_Analitik!$AE$2:$AE$351,0)),""))</f>
        <v/>
      </c>
      <c r="C326" s="101" t="str">
        <f>IF(OR($A326="",$A326&gt;SUM(Data_Analitik!$AD$2:$AD$351)),"",IFERROR(INDEX(Data_Analitik!$C$2:$C$351,MATCH($A326,Data_Analitik!$AE$2:$AE$351,0)),""))</f>
        <v/>
      </c>
      <c r="D326" s="99" t="str">
        <f>IF(OR($A326="",$A326&gt;SUM(Data_Analitik!$AD$2:$AD$351)),"",IFERROR(INDEX(Data_Analitik!$D$2:$D$351,MATCH($A326,Data_Analitik!$AE$2:$AE$351,0)),""))</f>
        <v/>
      </c>
      <c r="E326" s="100" t="str">
        <f>IF(OR($A326="",$A326&gt;SUM(Data_Analitik!$AD$2:$AD$351)),"",IFERROR(INDEX(Data_Analitik!$E$2:$E$351,MATCH($A326,Data_Analitik!$AE$2:$AE$351,0)),""))</f>
        <v/>
      </c>
      <c r="F326" s="97" t="str">
        <f>IF(OR($A326="",$A326&gt;SUM(Data_Analitik!$AD$2:$AD$351)),"",IFERROR(INDEX(Data_Analitik!$Z$2:$Z$351,MATCH($A326,Data_Analitik!$AE$2:$AE$351,0)),""))</f>
        <v/>
      </c>
      <c r="G326" s="97" t="str">
        <f>IF(OR($A326="",$A326&gt;SUM(Data_Analitik!$AD$2:$AD$351)),"",IFERROR(INDEX(Data_Analitik!$AA$2:$AA$351,MATCH($A326,Data_Analitik!$AE$2:$AE$351,0)),""))</f>
        <v/>
      </c>
      <c r="H326" s="100" t="str">
        <f>IF(OR($A326="",$A326&gt;SUM(Data_Analitik!$AD$2:$AD$351)),"",IFERROR(INDEX(Data_Analitik!$U$2:$U$351,MATCH($A326,Data_Analitik!$AE$2:$AE$351,0)),""))</f>
        <v/>
      </c>
      <c r="I326" s="33" t="str">
        <f>IF(OR($A326="",$A326&gt;SUM(Data_Analitik!$AD$2:$AD$351)),"",IFERROR(INDEX(Data_Analitik!$AB$2:$AB$351,MATCH($A326,Data_Analitik!$AE$2:$AE$351,0)),""))</f>
        <v/>
      </c>
    </row>
    <row r="327" spans="1:9" ht="21.95" customHeight="1" x14ac:dyDescent="0.25">
      <c r="A327" s="32">
        <f t="shared" si="4"/>
        <v>314</v>
      </c>
      <c r="B327" s="99" t="str">
        <f>IF(OR($A327="",$A327&gt;SUM(Data_Analitik!$AD$2:$AD$351)),"",IFERROR(INDEX(Data_Analitik!$B$2:$B$351,MATCH($A327,Data_Analitik!$AE$2:$AE$351,0)),""))</f>
        <v/>
      </c>
      <c r="C327" s="101" t="str">
        <f>IF(OR($A327="",$A327&gt;SUM(Data_Analitik!$AD$2:$AD$351)),"",IFERROR(INDEX(Data_Analitik!$C$2:$C$351,MATCH($A327,Data_Analitik!$AE$2:$AE$351,0)),""))</f>
        <v/>
      </c>
      <c r="D327" s="99" t="str">
        <f>IF(OR($A327="",$A327&gt;SUM(Data_Analitik!$AD$2:$AD$351)),"",IFERROR(INDEX(Data_Analitik!$D$2:$D$351,MATCH($A327,Data_Analitik!$AE$2:$AE$351,0)),""))</f>
        <v/>
      </c>
      <c r="E327" s="100" t="str">
        <f>IF(OR($A327="",$A327&gt;SUM(Data_Analitik!$AD$2:$AD$351)),"",IFERROR(INDEX(Data_Analitik!$E$2:$E$351,MATCH($A327,Data_Analitik!$AE$2:$AE$351,0)),""))</f>
        <v/>
      </c>
      <c r="F327" s="97" t="str">
        <f>IF(OR($A327="",$A327&gt;SUM(Data_Analitik!$AD$2:$AD$351)),"",IFERROR(INDEX(Data_Analitik!$Z$2:$Z$351,MATCH($A327,Data_Analitik!$AE$2:$AE$351,0)),""))</f>
        <v/>
      </c>
      <c r="G327" s="97" t="str">
        <f>IF(OR($A327="",$A327&gt;SUM(Data_Analitik!$AD$2:$AD$351)),"",IFERROR(INDEX(Data_Analitik!$AA$2:$AA$351,MATCH($A327,Data_Analitik!$AE$2:$AE$351,0)),""))</f>
        <v/>
      </c>
      <c r="H327" s="100" t="str">
        <f>IF(OR($A327="",$A327&gt;SUM(Data_Analitik!$AD$2:$AD$351)),"",IFERROR(INDEX(Data_Analitik!$U$2:$U$351,MATCH($A327,Data_Analitik!$AE$2:$AE$351,0)),""))</f>
        <v/>
      </c>
      <c r="I327" s="33" t="str">
        <f>IF(OR($A327="",$A327&gt;SUM(Data_Analitik!$AD$2:$AD$351)),"",IFERROR(INDEX(Data_Analitik!$AB$2:$AB$351,MATCH($A327,Data_Analitik!$AE$2:$AE$351,0)),""))</f>
        <v/>
      </c>
    </row>
    <row r="328" spans="1:9" ht="21.95" customHeight="1" x14ac:dyDescent="0.25">
      <c r="A328" s="32">
        <f t="shared" si="4"/>
        <v>315</v>
      </c>
      <c r="B328" s="99" t="str">
        <f>IF(OR($A328="",$A328&gt;SUM(Data_Analitik!$AD$2:$AD$351)),"",IFERROR(INDEX(Data_Analitik!$B$2:$B$351,MATCH($A328,Data_Analitik!$AE$2:$AE$351,0)),""))</f>
        <v/>
      </c>
      <c r="C328" s="101" t="str">
        <f>IF(OR($A328="",$A328&gt;SUM(Data_Analitik!$AD$2:$AD$351)),"",IFERROR(INDEX(Data_Analitik!$C$2:$C$351,MATCH($A328,Data_Analitik!$AE$2:$AE$351,0)),""))</f>
        <v/>
      </c>
      <c r="D328" s="99" t="str">
        <f>IF(OR($A328="",$A328&gt;SUM(Data_Analitik!$AD$2:$AD$351)),"",IFERROR(INDEX(Data_Analitik!$D$2:$D$351,MATCH($A328,Data_Analitik!$AE$2:$AE$351,0)),""))</f>
        <v/>
      </c>
      <c r="E328" s="100" t="str">
        <f>IF(OR($A328="",$A328&gt;SUM(Data_Analitik!$AD$2:$AD$351)),"",IFERROR(INDEX(Data_Analitik!$E$2:$E$351,MATCH($A328,Data_Analitik!$AE$2:$AE$351,0)),""))</f>
        <v/>
      </c>
      <c r="F328" s="97" t="str">
        <f>IF(OR($A328="",$A328&gt;SUM(Data_Analitik!$AD$2:$AD$351)),"",IFERROR(INDEX(Data_Analitik!$Z$2:$Z$351,MATCH($A328,Data_Analitik!$AE$2:$AE$351,0)),""))</f>
        <v/>
      </c>
      <c r="G328" s="97" t="str">
        <f>IF(OR($A328="",$A328&gt;SUM(Data_Analitik!$AD$2:$AD$351)),"",IFERROR(INDEX(Data_Analitik!$AA$2:$AA$351,MATCH($A328,Data_Analitik!$AE$2:$AE$351,0)),""))</f>
        <v/>
      </c>
      <c r="H328" s="100" t="str">
        <f>IF(OR($A328="",$A328&gt;SUM(Data_Analitik!$AD$2:$AD$351)),"",IFERROR(INDEX(Data_Analitik!$U$2:$U$351,MATCH($A328,Data_Analitik!$AE$2:$AE$351,0)),""))</f>
        <v/>
      </c>
      <c r="I328" s="33" t="str">
        <f>IF(OR($A328="",$A328&gt;SUM(Data_Analitik!$AD$2:$AD$351)),"",IFERROR(INDEX(Data_Analitik!$AB$2:$AB$351,MATCH($A328,Data_Analitik!$AE$2:$AE$351,0)),""))</f>
        <v/>
      </c>
    </row>
    <row r="329" spans="1:9" ht="21.95" customHeight="1" x14ac:dyDescent="0.25">
      <c r="A329" s="32">
        <f t="shared" si="4"/>
        <v>316</v>
      </c>
      <c r="B329" s="99" t="str">
        <f>IF(OR($A329="",$A329&gt;SUM(Data_Analitik!$AD$2:$AD$351)),"",IFERROR(INDEX(Data_Analitik!$B$2:$B$351,MATCH($A329,Data_Analitik!$AE$2:$AE$351,0)),""))</f>
        <v/>
      </c>
      <c r="C329" s="101" t="str">
        <f>IF(OR($A329="",$A329&gt;SUM(Data_Analitik!$AD$2:$AD$351)),"",IFERROR(INDEX(Data_Analitik!$C$2:$C$351,MATCH($A329,Data_Analitik!$AE$2:$AE$351,0)),""))</f>
        <v/>
      </c>
      <c r="D329" s="99" t="str">
        <f>IF(OR($A329="",$A329&gt;SUM(Data_Analitik!$AD$2:$AD$351)),"",IFERROR(INDEX(Data_Analitik!$D$2:$D$351,MATCH($A329,Data_Analitik!$AE$2:$AE$351,0)),""))</f>
        <v/>
      </c>
      <c r="E329" s="100" t="str">
        <f>IF(OR($A329="",$A329&gt;SUM(Data_Analitik!$AD$2:$AD$351)),"",IFERROR(INDEX(Data_Analitik!$E$2:$E$351,MATCH($A329,Data_Analitik!$AE$2:$AE$351,0)),""))</f>
        <v/>
      </c>
      <c r="F329" s="97" t="str">
        <f>IF(OR($A329="",$A329&gt;SUM(Data_Analitik!$AD$2:$AD$351)),"",IFERROR(INDEX(Data_Analitik!$Z$2:$Z$351,MATCH($A329,Data_Analitik!$AE$2:$AE$351,0)),""))</f>
        <v/>
      </c>
      <c r="G329" s="97" t="str">
        <f>IF(OR($A329="",$A329&gt;SUM(Data_Analitik!$AD$2:$AD$351)),"",IFERROR(INDEX(Data_Analitik!$AA$2:$AA$351,MATCH($A329,Data_Analitik!$AE$2:$AE$351,0)),""))</f>
        <v/>
      </c>
      <c r="H329" s="100" t="str">
        <f>IF(OR($A329="",$A329&gt;SUM(Data_Analitik!$AD$2:$AD$351)),"",IFERROR(INDEX(Data_Analitik!$U$2:$U$351,MATCH($A329,Data_Analitik!$AE$2:$AE$351,0)),""))</f>
        <v/>
      </c>
      <c r="I329" s="33" t="str">
        <f>IF(OR($A329="",$A329&gt;SUM(Data_Analitik!$AD$2:$AD$351)),"",IFERROR(INDEX(Data_Analitik!$AB$2:$AB$351,MATCH($A329,Data_Analitik!$AE$2:$AE$351,0)),""))</f>
        <v/>
      </c>
    </row>
    <row r="330" spans="1:9" ht="21.95" customHeight="1" x14ac:dyDescent="0.25">
      <c r="A330" s="32">
        <f t="shared" si="4"/>
        <v>317</v>
      </c>
      <c r="B330" s="99" t="str">
        <f>IF(OR($A330="",$A330&gt;SUM(Data_Analitik!$AD$2:$AD$351)),"",IFERROR(INDEX(Data_Analitik!$B$2:$B$351,MATCH($A330,Data_Analitik!$AE$2:$AE$351,0)),""))</f>
        <v/>
      </c>
      <c r="C330" s="101" t="str">
        <f>IF(OR($A330="",$A330&gt;SUM(Data_Analitik!$AD$2:$AD$351)),"",IFERROR(INDEX(Data_Analitik!$C$2:$C$351,MATCH($A330,Data_Analitik!$AE$2:$AE$351,0)),""))</f>
        <v/>
      </c>
      <c r="D330" s="99" t="str">
        <f>IF(OR($A330="",$A330&gt;SUM(Data_Analitik!$AD$2:$AD$351)),"",IFERROR(INDEX(Data_Analitik!$D$2:$D$351,MATCH($A330,Data_Analitik!$AE$2:$AE$351,0)),""))</f>
        <v/>
      </c>
      <c r="E330" s="100" t="str">
        <f>IF(OR($A330="",$A330&gt;SUM(Data_Analitik!$AD$2:$AD$351)),"",IFERROR(INDEX(Data_Analitik!$E$2:$E$351,MATCH($A330,Data_Analitik!$AE$2:$AE$351,0)),""))</f>
        <v/>
      </c>
      <c r="F330" s="97" t="str">
        <f>IF(OR($A330="",$A330&gt;SUM(Data_Analitik!$AD$2:$AD$351)),"",IFERROR(INDEX(Data_Analitik!$Z$2:$Z$351,MATCH($A330,Data_Analitik!$AE$2:$AE$351,0)),""))</f>
        <v/>
      </c>
      <c r="G330" s="97" t="str">
        <f>IF(OR($A330="",$A330&gt;SUM(Data_Analitik!$AD$2:$AD$351)),"",IFERROR(INDEX(Data_Analitik!$AA$2:$AA$351,MATCH($A330,Data_Analitik!$AE$2:$AE$351,0)),""))</f>
        <v/>
      </c>
      <c r="H330" s="100" t="str">
        <f>IF(OR($A330="",$A330&gt;SUM(Data_Analitik!$AD$2:$AD$351)),"",IFERROR(INDEX(Data_Analitik!$U$2:$U$351,MATCH($A330,Data_Analitik!$AE$2:$AE$351,0)),""))</f>
        <v/>
      </c>
      <c r="I330" s="33" t="str">
        <f>IF(OR($A330="",$A330&gt;SUM(Data_Analitik!$AD$2:$AD$351)),"",IFERROR(INDEX(Data_Analitik!$AB$2:$AB$351,MATCH($A330,Data_Analitik!$AE$2:$AE$351,0)),""))</f>
        <v/>
      </c>
    </row>
    <row r="331" spans="1:9" ht="21.95" customHeight="1" x14ac:dyDescent="0.25">
      <c r="A331" s="32">
        <f t="shared" si="4"/>
        <v>318</v>
      </c>
      <c r="B331" s="99" t="str">
        <f>IF(OR($A331="",$A331&gt;SUM(Data_Analitik!$AD$2:$AD$351)),"",IFERROR(INDEX(Data_Analitik!$B$2:$B$351,MATCH($A331,Data_Analitik!$AE$2:$AE$351,0)),""))</f>
        <v/>
      </c>
      <c r="C331" s="101" t="str">
        <f>IF(OR($A331="",$A331&gt;SUM(Data_Analitik!$AD$2:$AD$351)),"",IFERROR(INDEX(Data_Analitik!$C$2:$C$351,MATCH($A331,Data_Analitik!$AE$2:$AE$351,0)),""))</f>
        <v/>
      </c>
      <c r="D331" s="99" t="str">
        <f>IF(OR($A331="",$A331&gt;SUM(Data_Analitik!$AD$2:$AD$351)),"",IFERROR(INDEX(Data_Analitik!$D$2:$D$351,MATCH($A331,Data_Analitik!$AE$2:$AE$351,0)),""))</f>
        <v/>
      </c>
      <c r="E331" s="100" t="str">
        <f>IF(OR($A331="",$A331&gt;SUM(Data_Analitik!$AD$2:$AD$351)),"",IFERROR(INDEX(Data_Analitik!$E$2:$E$351,MATCH($A331,Data_Analitik!$AE$2:$AE$351,0)),""))</f>
        <v/>
      </c>
      <c r="F331" s="97" t="str">
        <f>IF(OR($A331="",$A331&gt;SUM(Data_Analitik!$AD$2:$AD$351)),"",IFERROR(INDEX(Data_Analitik!$Z$2:$Z$351,MATCH($A331,Data_Analitik!$AE$2:$AE$351,0)),""))</f>
        <v/>
      </c>
      <c r="G331" s="97" t="str">
        <f>IF(OR($A331="",$A331&gt;SUM(Data_Analitik!$AD$2:$AD$351)),"",IFERROR(INDEX(Data_Analitik!$AA$2:$AA$351,MATCH($A331,Data_Analitik!$AE$2:$AE$351,0)),""))</f>
        <v/>
      </c>
      <c r="H331" s="100" t="str">
        <f>IF(OR($A331="",$A331&gt;SUM(Data_Analitik!$AD$2:$AD$351)),"",IFERROR(INDEX(Data_Analitik!$U$2:$U$351,MATCH($A331,Data_Analitik!$AE$2:$AE$351,0)),""))</f>
        <v/>
      </c>
      <c r="I331" s="33" t="str">
        <f>IF(OR($A331="",$A331&gt;SUM(Data_Analitik!$AD$2:$AD$351)),"",IFERROR(INDEX(Data_Analitik!$AB$2:$AB$351,MATCH($A331,Data_Analitik!$AE$2:$AE$351,0)),""))</f>
        <v/>
      </c>
    </row>
    <row r="332" spans="1:9" ht="21.95" customHeight="1" x14ac:dyDescent="0.25">
      <c r="A332" s="32">
        <f t="shared" si="4"/>
        <v>319</v>
      </c>
      <c r="B332" s="99" t="str">
        <f>IF(OR($A332="",$A332&gt;SUM(Data_Analitik!$AD$2:$AD$351)),"",IFERROR(INDEX(Data_Analitik!$B$2:$B$351,MATCH($A332,Data_Analitik!$AE$2:$AE$351,0)),""))</f>
        <v/>
      </c>
      <c r="C332" s="101" t="str">
        <f>IF(OR($A332="",$A332&gt;SUM(Data_Analitik!$AD$2:$AD$351)),"",IFERROR(INDEX(Data_Analitik!$C$2:$C$351,MATCH($A332,Data_Analitik!$AE$2:$AE$351,0)),""))</f>
        <v/>
      </c>
      <c r="D332" s="99" t="str">
        <f>IF(OR($A332="",$A332&gt;SUM(Data_Analitik!$AD$2:$AD$351)),"",IFERROR(INDEX(Data_Analitik!$D$2:$D$351,MATCH($A332,Data_Analitik!$AE$2:$AE$351,0)),""))</f>
        <v/>
      </c>
      <c r="E332" s="100" t="str">
        <f>IF(OR($A332="",$A332&gt;SUM(Data_Analitik!$AD$2:$AD$351)),"",IFERROR(INDEX(Data_Analitik!$E$2:$E$351,MATCH($A332,Data_Analitik!$AE$2:$AE$351,0)),""))</f>
        <v/>
      </c>
      <c r="F332" s="97" t="str">
        <f>IF(OR($A332="",$A332&gt;SUM(Data_Analitik!$AD$2:$AD$351)),"",IFERROR(INDEX(Data_Analitik!$Z$2:$Z$351,MATCH($A332,Data_Analitik!$AE$2:$AE$351,0)),""))</f>
        <v/>
      </c>
      <c r="G332" s="97" t="str">
        <f>IF(OR($A332="",$A332&gt;SUM(Data_Analitik!$AD$2:$AD$351)),"",IFERROR(INDEX(Data_Analitik!$AA$2:$AA$351,MATCH($A332,Data_Analitik!$AE$2:$AE$351,0)),""))</f>
        <v/>
      </c>
      <c r="H332" s="100" t="str">
        <f>IF(OR($A332="",$A332&gt;SUM(Data_Analitik!$AD$2:$AD$351)),"",IFERROR(INDEX(Data_Analitik!$U$2:$U$351,MATCH($A332,Data_Analitik!$AE$2:$AE$351,0)),""))</f>
        <v/>
      </c>
      <c r="I332" s="33" t="str">
        <f>IF(OR($A332="",$A332&gt;SUM(Data_Analitik!$AD$2:$AD$351)),"",IFERROR(INDEX(Data_Analitik!$AB$2:$AB$351,MATCH($A332,Data_Analitik!$AE$2:$AE$351,0)),""))</f>
        <v/>
      </c>
    </row>
    <row r="333" spans="1:9" ht="21.95" customHeight="1" x14ac:dyDescent="0.25">
      <c r="A333" s="32">
        <f t="shared" si="4"/>
        <v>320</v>
      </c>
      <c r="B333" s="99" t="str">
        <f>IF(OR($A333="",$A333&gt;SUM(Data_Analitik!$AD$2:$AD$351)),"",IFERROR(INDEX(Data_Analitik!$B$2:$B$351,MATCH($A333,Data_Analitik!$AE$2:$AE$351,0)),""))</f>
        <v/>
      </c>
      <c r="C333" s="101" t="str">
        <f>IF(OR($A333="",$A333&gt;SUM(Data_Analitik!$AD$2:$AD$351)),"",IFERROR(INDEX(Data_Analitik!$C$2:$C$351,MATCH($A333,Data_Analitik!$AE$2:$AE$351,0)),""))</f>
        <v/>
      </c>
      <c r="D333" s="99" t="str">
        <f>IF(OR($A333="",$A333&gt;SUM(Data_Analitik!$AD$2:$AD$351)),"",IFERROR(INDEX(Data_Analitik!$D$2:$D$351,MATCH($A333,Data_Analitik!$AE$2:$AE$351,0)),""))</f>
        <v/>
      </c>
      <c r="E333" s="100" t="str">
        <f>IF(OR($A333="",$A333&gt;SUM(Data_Analitik!$AD$2:$AD$351)),"",IFERROR(INDEX(Data_Analitik!$E$2:$E$351,MATCH($A333,Data_Analitik!$AE$2:$AE$351,0)),""))</f>
        <v/>
      </c>
      <c r="F333" s="97" t="str">
        <f>IF(OR($A333="",$A333&gt;SUM(Data_Analitik!$AD$2:$AD$351)),"",IFERROR(INDEX(Data_Analitik!$Z$2:$Z$351,MATCH($A333,Data_Analitik!$AE$2:$AE$351,0)),""))</f>
        <v/>
      </c>
      <c r="G333" s="97" t="str">
        <f>IF(OR($A333="",$A333&gt;SUM(Data_Analitik!$AD$2:$AD$351)),"",IFERROR(INDEX(Data_Analitik!$AA$2:$AA$351,MATCH($A333,Data_Analitik!$AE$2:$AE$351,0)),""))</f>
        <v/>
      </c>
      <c r="H333" s="100" t="str">
        <f>IF(OR($A333="",$A333&gt;SUM(Data_Analitik!$AD$2:$AD$351)),"",IFERROR(INDEX(Data_Analitik!$U$2:$U$351,MATCH($A333,Data_Analitik!$AE$2:$AE$351,0)),""))</f>
        <v/>
      </c>
      <c r="I333" s="33" t="str">
        <f>IF(OR($A333="",$A333&gt;SUM(Data_Analitik!$AD$2:$AD$351)),"",IFERROR(INDEX(Data_Analitik!$AB$2:$AB$351,MATCH($A333,Data_Analitik!$AE$2:$AE$351,0)),""))</f>
        <v/>
      </c>
    </row>
    <row r="334" spans="1:9" ht="21.95" customHeight="1" x14ac:dyDescent="0.25">
      <c r="A334" s="32">
        <f t="shared" si="4"/>
        <v>321</v>
      </c>
      <c r="B334" s="99" t="str">
        <f>IF(OR($A334="",$A334&gt;SUM(Data_Analitik!$AD$2:$AD$351)),"",IFERROR(INDEX(Data_Analitik!$B$2:$B$351,MATCH($A334,Data_Analitik!$AE$2:$AE$351,0)),""))</f>
        <v/>
      </c>
      <c r="C334" s="101" t="str">
        <f>IF(OR($A334="",$A334&gt;SUM(Data_Analitik!$AD$2:$AD$351)),"",IFERROR(INDEX(Data_Analitik!$C$2:$C$351,MATCH($A334,Data_Analitik!$AE$2:$AE$351,0)),""))</f>
        <v/>
      </c>
      <c r="D334" s="99" t="str">
        <f>IF(OR($A334="",$A334&gt;SUM(Data_Analitik!$AD$2:$AD$351)),"",IFERROR(INDEX(Data_Analitik!$D$2:$D$351,MATCH($A334,Data_Analitik!$AE$2:$AE$351,0)),""))</f>
        <v/>
      </c>
      <c r="E334" s="100" t="str">
        <f>IF(OR($A334="",$A334&gt;SUM(Data_Analitik!$AD$2:$AD$351)),"",IFERROR(INDEX(Data_Analitik!$E$2:$E$351,MATCH($A334,Data_Analitik!$AE$2:$AE$351,0)),""))</f>
        <v/>
      </c>
      <c r="F334" s="97" t="str">
        <f>IF(OR($A334="",$A334&gt;SUM(Data_Analitik!$AD$2:$AD$351)),"",IFERROR(INDEX(Data_Analitik!$Z$2:$Z$351,MATCH($A334,Data_Analitik!$AE$2:$AE$351,0)),""))</f>
        <v/>
      </c>
      <c r="G334" s="97" t="str">
        <f>IF(OR($A334="",$A334&gt;SUM(Data_Analitik!$AD$2:$AD$351)),"",IFERROR(INDEX(Data_Analitik!$AA$2:$AA$351,MATCH($A334,Data_Analitik!$AE$2:$AE$351,0)),""))</f>
        <v/>
      </c>
      <c r="H334" s="100" t="str">
        <f>IF(OR($A334="",$A334&gt;SUM(Data_Analitik!$AD$2:$AD$351)),"",IFERROR(INDEX(Data_Analitik!$U$2:$U$351,MATCH($A334,Data_Analitik!$AE$2:$AE$351,0)),""))</f>
        <v/>
      </c>
      <c r="I334" s="33" t="str">
        <f>IF(OR($A334="",$A334&gt;SUM(Data_Analitik!$AD$2:$AD$351)),"",IFERROR(INDEX(Data_Analitik!$AB$2:$AB$351,MATCH($A334,Data_Analitik!$AE$2:$AE$351,0)),""))</f>
        <v/>
      </c>
    </row>
    <row r="335" spans="1:9" ht="21.95" customHeight="1" x14ac:dyDescent="0.25">
      <c r="A335" s="32">
        <f t="shared" si="4"/>
        <v>322</v>
      </c>
      <c r="B335" s="99" t="str">
        <f>IF(OR($A335="",$A335&gt;SUM(Data_Analitik!$AD$2:$AD$351)),"",IFERROR(INDEX(Data_Analitik!$B$2:$B$351,MATCH($A335,Data_Analitik!$AE$2:$AE$351,0)),""))</f>
        <v/>
      </c>
      <c r="C335" s="101" t="str">
        <f>IF(OR($A335="",$A335&gt;SUM(Data_Analitik!$AD$2:$AD$351)),"",IFERROR(INDEX(Data_Analitik!$C$2:$C$351,MATCH($A335,Data_Analitik!$AE$2:$AE$351,0)),""))</f>
        <v/>
      </c>
      <c r="D335" s="99" t="str">
        <f>IF(OR($A335="",$A335&gt;SUM(Data_Analitik!$AD$2:$AD$351)),"",IFERROR(INDEX(Data_Analitik!$D$2:$D$351,MATCH($A335,Data_Analitik!$AE$2:$AE$351,0)),""))</f>
        <v/>
      </c>
      <c r="E335" s="100" t="str">
        <f>IF(OR($A335="",$A335&gt;SUM(Data_Analitik!$AD$2:$AD$351)),"",IFERROR(INDEX(Data_Analitik!$E$2:$E$351,MATCH($A335,Data_Analitik!$AE$2:$AE$351,0)),""))</f>
        <v/>
      </c>
      <c r="F335" s="97" t="str">
        <f>IF(OR($A335="",$A335&gt;SUM(Data_Analitik!$AD$2:$AD$351)),"",IFERROR(INDEX(Data_Analitik!$Z$2:$Z$351,MATCH($A335,Data_Analitik!$AE$2:$AE$351,0)),""))</f>
        <v/>
      </c>
      <c r="G335" s="97" t="str">
        <f>IF(OR($A335="",$A335&gt;SUM(Data_Analitik!$AD$2:$AD$351)),"",IFERROR(INDEX(Data_Analitik!$AA$2:$AA$351,MATCH($A335,Data_Analitik!$AE$2:$AE$351,0)),""))</f>
        <v/>
      </c>
      <c r="H335" s="100" t="str">
        <f>IF(OR($A335="",$A335&gt;SUM(Data_Analitik!$AD$2:$AD$351)),"",IFERROR(INDEX(Data_Analitik!$U$2:$U$351,MATCH($A335,Data_Analitik!$AE$2:$AE$351,0)),""))</f>
        <v/>
      </c>
      <c r="I335" s="33" t="str">
        <f>IF(OR($A335="",$A335&gt;SUM(Data_Analitik!$AD$2:$AD$351)),"",IFERROR(INDEX(Data_Analitik!$AB$2:$AB$351,MATCH($A335,Data_Analitik!$AE$2:$AE$351,0)),""))</f>
        <v/>
      </c>
    </row>
    <row r="336" spans="1:9" ht="21.95" customHeight="1" x14ac:dyDescent="0.25">
      <c r="A336" s="32">
        <f t="shared" si="4"/>
        <v>323</v>
      </c>
      <c r="B336" s="99" t="str">
        <f>IF(OR($A336="",$A336&gt;SUM(Data_Analitik!$AD$2:$AD$351)),"",IFERROR(INDEX(Data_Analitik!$B$2:$B$351,MATCH($A336,Data_Analitik!$AE$2:$AE$351,0)),""))</f>
        <v/>
      </c>
      <c r="C336" s="101" t="str">
        <f>IF(OR($A336="",$A336&gt;SUM(Data_Analitik!$AD$2:$AD$351)),"",IFERROR(INDEX(Data_Analitik!$C$2:$C$351,MATCH($A336,Data_Analitik!$AE$2:$AE$351,0)),""))</f>
        <v/>
      </c>
      <c r="D336" s="99" t="str">
        <f>IF(OR($A336="",$A336&gt;SUM(Data_Analitik!$AD$2:$AD$351)),"",IFERROR(INDEX(Data_Analitik!$D$2:$D$351,MATCH($A336,Data_Analitik!$AE$2:$AE$351,0)),""))</f>
        <v/>
      </c>
      <c r="E336" s="100" t="str">
        <f>IF(OR($A336="",$A336&gt;SUM(Data_Analitik!$AD$2:$AD$351)),"",IFERROR(INDEX(Data_Analitik!$E$2:$E$351,MATCH($A336,Data_Analitik!$AE$2:$AE$351,0)),""))</f>
        <v/>
      </c>
      <c r="F336" s="97" t="str">
        <f>IF(OR($A336="",$A336&gt;SUM(Data_Analitik!$AD$2:$AD$351)),"",IFERROR(INDEX(Data_Analitik!$Z$2:$Z$351,MATCH($A336,Data_Analitik!$AE$2:$AE$351,0)),""))</f>
        <v/>
      </c>
      <c r="G336" s="97" t="str">
        <f>IF(OR($A336="",$A336&gt;SUM(Data_Analitik!$AD$2:$AD$351)),"",IFERROR(INDEX(Data_Analitik!$AA$2:$AA$351,MATCH($A336,Data_Analitik!$AE$2:$AE$351,0)),""))</f>
        <v/>
      </c>
      <c r="H336" s="100" t="str">
        <f>IF(OR($A336="",$A336&gt;SUM(Data_Analitik!$AD$2:$AD$351)),"",IFERROR(INDEX(Data_Analitik!$U$2:$U$351,MATCH($A336,Data_Analitik!$AE$2:$AE$351,0)),""))</f>
        <v/>
      </c>
      <c r="I336" s="33" t="str">
        <f>IF(OR($A336="",$A336&gt;SUM(Data_Analitik!$AD$2:$AD$351)),"",IFERROR(INDEX(Data_Analitik!$AB$2:$AB$351,MATCH($A336,Data_Analitik!$AE$2:$AE$351,0)),""))</f>
        <v/>
      </c>
    </row>
    <row r="337" spans="1:9" ht="21.95" customHeight="1" x14ac:dyDescent="0.25">
      <c r="A337" s="32">
        <f t="shared" ref="A337:A363" si="5">IF(ROW()-13&lt;=$B$11,ROW()-13,"")</f>
        <v>324</v>
      </c>
      <c r="B337" s="99" t="str">
        <f>IF(OR($A337="",$A337&gt;SUM(Data_Analitik!$AD$2:$AD$351)),"",IFERROR(INDEX(Data_Analitik!$B$2:$B$351,MATCH($A337,Data_Analitik!$AE$2:$AE$351,0)),""))</f>
        <v/>
      </c>
      <c r="C337" s="101" t="str">
        <f>IF(OR($A337="",$A337&gt;SUM(Data_Analitik!$AD$2:$AD$351)),"",IFERROR(INDEX(Data_Analitik!$C$2:$C$351,MATCH($A337,Data_Analitik!$AE$2:$AE$351,0)),""))</f>
        <v/>
      </c>
      <c r="D337" s="99" t="str">
        <f>IF(OR($A337="",$A337&gt;SUM(Data_Analitik!$AD$2:$AD$351)),"",IFERROR(INDEX(Data_Analitik!$D$2:$D$351,MATCH($A337,Data_Analitik!$AE$2:$AE$351,0)),""))</f>
        <v/>
      </c>
      <c r="E337" s="100" t="str">
        <f>IF(OR($A337="",$A337&gt;SUM(Data_Analitik!$AD$2:$AD$351)),"",IFERROR(INDEX(Data_Analitik!$E$2:$E$351,MATCH($A337,Data_Analitik!$AE$2:$AE$351,0)),""))</f>
        <v/>
      </c>
      <c r="F337" s="97" t="str">
        <f>IF(OR($A337="",$A337&gt;SUM(Data_Analitik!$AD$2:$AD$351)),"",IFERROR(INDEX(Data_Analitik!$Z$2:$Z$351,MATCH($A337,Data_Analitik!$AE$2:$AE$351,0)),""))</f>
        <v/>
      </c>
      <c r="G337" s="97" t="str">
        <f>IF(OR($A337="",$A337&gt;SUM(Data_Analitik!$AD$2:$AD$351)),"",IFERROR(INDEX(Data_Analitik!$AA$2:$AA$351,MATCH($A337,Data_Analitik!$AE$2:$AE$351,0)),""))</f>
        <v/>
      </c>
      <c r="H337" s="100" t="str">
        <f>IF(OR($A337="",$A337&gt;SUM(Data_Analitik!$AD$2:$AD$351)),"",IFERROR(INDEX(Data_Analitik!$U$2:$U$351,MATCH($A337,Data_Analitik!$AE$2:$AE$351,0)),""))</f>
        <v/>
      </c>
      <c r="I337" s="33" t="str">
        <f>IF(OR($A337="",$A337&gt;SUM(Data_Analitik!$AD$2:$AD$351)),"",IFERROR(INDEX(Data_Analitik!$AB$2:$AB$351,MATCH($A337,Data_Analitik!$AE$2:$AE$351,0)),""))</f>
        <v/>
      </c>
    </row>
    <row r="338" spans="1:9" ht="21.95" customHeight="1" x14ac:dyDescent="0.25">
      <c r="A338" s="32">
        <f t="shared" si="5"/>
        <v>325</v>
      </c>
      <c r="B338" s="99" t="str">
        <f>IF(OR($A338="",$A338&gt;SUM(Data_Analitik!$AD$2:$AD$351)),"",IFERROR(INDEX(Data_Analitik!$B$2:$B$351,MATCH($A338,Data_Analitik!$AE$2:$AE$351,0)),""))</f>
        <v/>
      </c>
      <c r="C338" s="101" t="str">
        <f>IF(OR($A338="",$A338&gt;SUM(Data_Analitik!$AD$2:$AD$351)),"",IFERROR(INDEX(Data_Analitik!$C$2:$C$351,MATCH($A338,Data_Analitik!$AE$2:$AE$351,0)),""))</f>
        <v/>
      </c>
      <c r="D338" s="99" t="str">
        <f>IF(OR($A338="",$A338&gt;SUM(Data_Analitik!$AD$2:$AD$351)),"",IFERROR(INDEX(Data_Analitik!$D$2:$D$351,MATCH($A338,Data_Analitik!$AE$2:$AE$351,0)),""))</f>
        <v/>
      </c>
      <c r="E338" s="100" t="str">
        <f>IF(OR($A338="",$A338&gt;SUM(Data_Analitik!$AD$2:$AD$351)),"",IFERROR(INDEX(Data_Analitik!$E$2:$E$351,MATCH($A338,Data_Analitik!$AE$2:$AE$351,0)),""))</f>
        <v/>
      </c>
      <c r="F338" s="97" t="str">
        <f>IF(OR($A338="",$A338&gt;SUM(Data_Analitik!$AD$2:$AD$351)),"",IFERROR(INDEX(Data_Analitik!$Z$2:$Z$351,MATCH($A338,Data_Analitik!$AE$2:$AE$351,0)),""))</f>
        <v/>
      </c>
      <c r="G338" s="97" t="str">
        <f>IF(OR($A338="",$A338&gt;SUM(Data_Analitik!$AD$2:$AD$351)),"",IFERROR(INDEX(Data_Analitik!$AA$2:$AA$351,MATCH($A338,Data_Analitik!$AE$2:$AE$351,0)),""))</f>
        <v/>
      </c>
      <c r="H338" s="100" t="str">
        <f>IF(OR($A338="",$A338&gt;SUM(Data_Analitik!$AD$2:$AD$351)),"",IFERROR(INDEX(Data_Analitik!$U$2:$U$351,MATCH($A338,Data_Analitik!$AE$2:$AE$351,0)),""))</f>
        <v/>
      </c>
      <c r="I338" s="33" t="str">
        <f>IF(OR($A338="",$A338&gt;SUM(Data_Analitik!$AD$2:$AD$351)),"",IFERROR(INDEX(Data_Analitik!$AB$2:$AB$351,MATCH($A338,Data_Analitik!$AE$2:$AE$351,0)),""))</f>
        <v/>
      </c>
    </row>
    <row r="339" spans="1:9" ht="21.95" customHeight="1" x14ac:dyDescent="0.25">
      <c r="A339" s="32">
        <f t="shared" si="5"/>
        <v>326</v>
      </c>
      <c r="B339" s="99" t="str">
        <f>IF(OR($A339="",$A339&gt;SUM(Data_Analitik!$AD$2:$AD$351)),"",IFERROR(INDEX(Data_Analitik!$B$2:$B$351,MATCH($A339,Data_Analitik!$AE$2:$AE$351,0)),""))</f>
        <v/>
      </c>
      <c r="C339" s="101" t="str">
        <f>IF(OR($A339="",$A339&gt;SUM(Data_Analitik!$AD$2:$AD$351)),"",IFERROR(INDEX(Data_Analitik!$C$2:$C$351,MATCH($A339,Data_Analitik!$AE$2:$AE$351,0)),""))</f>
        <v/>
      </c>
      <c r="D339" s="99" t="str">
        <f>IF(OR($A339="",$A339&gt;SUM(Data_Analitik!$AD$2:$AD$351)),"",IFERROR(INDEX(Data_Analitik!$D$2:$D$351,MATCH($A339,Data_Analitik!$AE$2:$AE$351,0)),""))</f>
        <v/>
      </c>
      <c r="E339" s="100" t="str">
        <f>IF(OR($A339="",$A339&gt;SUM(Data_Analitik!$AD$2:$AD$351)),"",IFERROR(INDEX(Data_Analitik!$E$2:$E$351,MATCH($A339,Data_Analitik!$AE$2:$AE$351,0)),""))</f>
        <v/>
      </c>
      <c r="F339" s="97" t="str">
        <f>IF(OR($A339="",$A339&gt;SUM(Data_Analitik!$AD$2:$AD$351)),"",IFERROR(INDEX(Data_Analitik!$Z$2:$Z$351,MATCH($A339,Data_Analitik!$AE$2:$AE$351,0)),""))</f>
        <v/>
      </c>
      <c r="G339" s="97" t="str">
        <f>IF(OR($A339="",$A339&gt;SUM(Data_Analitik!$AD$2:$AD$351)),"",IFERROR(INDEX(Data_Analitik!$AA$2:$AA$351,MATCH($A339,Data_Analitik!$AE$2:$AE$351,0)),""))</f>
        <v/>
      </c>
      <c r="H339" s="100" t="str">
        <f>IF(OR($A339="",$A339&gt;SUM(Data_Analitik!$AD$2:$AD$351)),"",IFERROR(INDEX(Data_Analitik!$U$2:$U$351,MATCH($A339,Data_Analitik!$AE$2:$AE$351,0)),""))</f>
        <v/>
      </c>
      <c r="I339" s="33" t="str">
        <f>IF(OR($A339="",$A339&gt;SUM(Data_Analitik!$AD$2:$AD$351)),"",IFERROR(INDEX(Data_Analitik!$AB$2:$AB$351,MATCH($A339,Data_Analitik!$AE$2:$AE$351,0)),""))</f>
        <v/>
      </c>
    </row>
    <row r="340" spans="1:9" ht="21.95" customHeight="1" x14ac:dyDescent="0.25">
      <c r="A340" s="32">
        <f t="shared" si="5"/>
        <v>327</v>
      </c>
      <c r="B340" s="99" t="str">
        <f>IF(OR($A340="",$A340&gt;SUM(Data_Analitik!$AD$2:$AD$351)),"",IFERROR(INDEX(Data_Analitik!$B$2:$B$351,MATCH($A340,Data_Analitik!$AE$2:$AE$351,0)),""))</f>
        <v/>
      </c>
      <c r="C340" s="101" t="str">
        <f>IF(OR($A340="",$A340&gt;SUM(Data_Analitik!$AD$2:$AD$351)),"",IFERROR(INDEX(Data_Analitik!$C$2:$C$351,MATCH($A340,Data_Analitik!$AE$2:$AE$351,0)),""))</f>
        <v/>
      </c>
      <c r="D340" s="99" t="str">
        <f>IF(OR($A340="",$A340&gt;SUM(Data_Analitik!$AD$2:$AD$351)),"",IFERROR(INDEX(Data_Analitik!$D$2:$D$351,MATCH($A340,Data_Analitik!$AE$2:$AE$351,0)),""))</f>
        <v/>
      </c>
      <c r="E340" s="100" t="str">
        <f>IF(OR($A340="",$A340&gt;SUM(Data_Analitik!$AD$2:$AD$351)),"",IFERROR(INDEX(Data_Analitik!$E$2:$E$351,MATCH($A340,Data_Analitik!$AE$2:$AE$351,0)),""))</f>
        <v/>
      </c>
      <c r="F340" s="97" t="str">
        <f>IF(OR($A340="",$A340&gt;SUM(Data_Analitik!$AD$2:$AD$351)),"",IFERROR(INDEX(Data_Analitik!$Z$2:$Z$351,MATCH($A340,Data_Analitik!$AE$2:$AE$351,0)),""))</f>
        <v/>
      </c>
      <c r="G340" s="97" t="str">
        <f>IF(OR($A340="",$A340&gt;SUM(Data_Analitik!$AD$2:$AD$351)),"",IFERROR(INDEX(Data_Analitik!$AA$2:$AA$351,MATCH($A340,Data_Analitik!$AE$2:$AE$351,0)),""))</f>
        <v/>
      </c>
      <c r="H340" s="100" t="str">
        <f>IF(OR($A340="",$A340&gt;SUM(Data_Analitik!$AD$2:$AD$351)),"",IFERROR(INDEX(Data_Analitik!$U$2:$U$351,MATCH($A340,Data_Analitik!$AE$2:$AE$351,0)),""))</f>
        <v/>
      </c>
      <c r="I340" s="33" t="str">
        <f>IF(OR($A340="",$A340&gt;SUM(Data_Analitik!$AD$2:$AD$351)),"",IFERROR(INDEX(Data_Analitik!$AB$2:$AB$351,MATCH($A340,Data_Analitik!$AE$2:$AE$351,0)),""))</f>
        <v/>
      </c>
    </row>
    <row r="341" spans="1:9" ht="21.95" customHeight="1" x14ac:dyDescent="0.25">
      <c r="A341" s="32">
        <f t="shared" si="5"/>
        <v>328</v>
      </c>
      <c r="B341" s="99" t="str">
        <f>IF(OR($A341="",$A341&gt;SUM(Data_Analitik!$AD$2:$AD$351)),"",IFERROR(INDEX(Data_Analitik!$B$2:$B$351,MATCH($A341,Data_Analitik!$AE$2:$AE$351,0)),""))</f>
        <v/>
      </c>
      <c r="C341" s="101" t="str">
        <f>IF(OR($A341="",$A341&gt;SUM(Data_Analitik!$AD$2:$AD$351)),"",IFERROR(INDEX(Data_Analitik!$C$2:$C$351,MATCH($A341,Data_Analitik!$AE$2:$AE$351,0)),""))</f>
        <v/>
      </c>
      <c r="D341" s="99" t="str">
        <f>IF(OR($A341="",$A341&gt;SUM(Data_Analitik!$AD$2:$AD$351)),"",IFERROR(INDEX(Data_Analitik!$D$2:$D$351,MATCH($A341,Data_Analitik!$AE$2:$AE$351,0)),""))</f>
        <v/>
      </c>
      <c r="E341" s="100" t="str">
        <f>IF(OR($A341="",$A341&gt;SUM(Data_Analitik!$AD$2:$AD$351)),"",IFERROR(INDEX(Data_Analitik!$E$2:$E$351,MATCH($A341,Data_Analitik!$AE$2:$AE$351,0)),""))</f>
        <v/>
      </c>
      <c r="F341" s="97" t="str">
        <f>IF(OR($A341="",$A341&gt;SUM(Data_Analitik!$AD$2:$AD$351)),"",IFERROR(INDEX(Data_Analitik!$Z$2:$Z$351,MATCH($A341,Data_Analitik!$AE$2:$AE$351,0)),""))</f>
        <v/>
      </c>
      <c r="G341" s="97" t="str">
        <f>IF(OR($A341="",$A341&gt;SUM(Data_Analitik!$AD$2:$AD$351)),"",IFERROR(INDEX(Data_Analitik!$AA$2:$AA$351,MATCH($A341,Data_Analitik!$AE$2:$AE$351,0)),""))</f>
        <v/>
      </c>
      <c r="H341" s="100" t="str">
        <f>IF(OR($A341="",$A341&gt;SUM(Data_Analitik!$AD$2:$AD$351)),"",IFERROR(INDEX(Data_Analitik!$U$2:$U$351,MATCH($A341,Data_Analitik!$AE$2:$AE$351,0)),""))</f>
        <v/>
      </c>
      <c r="I341" s="33" t="str">
        <f>IF(OR($A341="",$A341&gt;SUM(Data_Analitik!$AD$2:$AD$351)),"",IFERROR(INDEX(Data_Analitik!$AB$2:$AB$351,MATCH($A341,Data_Analitik!$AE$2:$AE$351,0)),""))</f>
        <v/>
      </c>
    </row>
    <row r="342" spans="1:9" ht="21.95" customHeight="1" x14ac:dyDescent="0.25">
      <c r="A342" s="32">
        <f t="shared" si="5"/>
        <v>329</v>
      </c>
      <c r="B342" s="99" t="str">
        <f>IF(OR($A342="",$A342&gt;SUM(Data_Analitik!$AD$2:$AD$351)),"",IFERROR(INDEX(Data_Analitik!$B$2:$B$351,MATCH($A342,Data_Analitik!$AE$2:$AE$351,0)),""))</f>
        <v/>
      </c>
      <c r="C342" s="101" t="str">
        <f>IF(OR($A342="",$A342&gt;SUM(Data_Analitik!$AD$2:$AD$351)),"",IFERROR(INDEX(Data_Analitik!$C$2:$C$351,MATCH($A342,Data_Analitik!$AE$2:$AE$351,0)),""))</f>
        <v/>
      </c>
      <c r="D342" s="99" t="str">
        <f>IF(OR($A342="",$A342&gt;SUM(Data_Analitik!$AD$2:$AD$351)),"",IFERROR(INDEX(Data_Analitik!$D$2:$D$351,MATCH($A342,Data_Analitik!$AE$2:$AE$351,0)),""))</f>
        <v/>
      </c>
      <c r="E342" s="100" t="str">
        <f>IF(OR($A342="",$A342&gt;SUM(Data_Analitik!$AD$2:$AD$351)),"",IFERROR(INDEX(Data_Analitik!$E$2:$E$351,MATCH($A342,Data_Analitik!$AE$2:$AE$351,0)),""))</f>
        <v/>
      </c>
      <c r="F342" s="97" t="str">
        <f>IF(OR($A342="",$A342&gt;SUM(Data_Analitik!$AD$2:$AD$351)),"",IFERROR(INDEX(Data_Analitik!$Z$2:$Z$351,MATCH($A342,Data_Analitik!$AE$2:$AE$351,0)),""))</f>
        <v/>
      </c>
      <c r="G342" s="97" t="str">
        <f>IF(OR($A342="",$A342&gt;SUM(Data_Analitik!$AD$2:$AD$351)),"",IFERROR(INDEX(Data_Analitik!$AA$2:$AA$351,MATCH($A342,Data_Analitik!$AE$2:$AE$351,0)),""))</f>
        <v/>
      </c>
      <c r="H342" s="100" t="str">
        <f>IF(OR($A342="",$A342&gt;SUM(Data_Analitik!$AD$2:$AD$351)),"",IFERROR(INDEX(Data_Analitik!$U$2:$U$351,MATCH($A342,Data_Analitik!$AE$2:$AE$351,0)),""))</f>
        <v/>
      </c>
      <c r="I342" s="33" t="str">
        <f>IF(OR($A342="",$A342&gt;SUM(Data_Analitik!$AD$2:$AD$351)),"",IFERROR(INDEX(Data_Analitik!$AB$2:$AB$351,MATCH($A342,Data_Analitik!$AE$2:$AE$351,0)),""))</f>
        <v/>
      </c>
    </row>
    <row r="343" spans="1:9" ht="21.95" customHeight="1" x14ac:dyDescent="0.25">
      <c r="A343" s="32">
        <f t="shared" si="5"/>
        <v>330</v>
      </c>
      <c r="B343" s="99" t="str">
        <f>IF(OR($A343="",$A343&gt;SUM(Data_Analitik!$AD$2:$AD$351)),"",IFERROR(INDEX(Data_Analitik!$B$2:$B$351,MATCH($A343,Data_Analitik!$AE$2:$AE$351,0)),""))</f>
        <v/>
      </c>
      <c r="C343" s="101" t="str">
        <f>IF(OR($A343="",$A343&gt;SUM(Data_Analitik!$AD$2:$AD$351)),"",IFERROR(INDEX(Data_Analitik!$C$2:$C$351,MATCH($A343,Data_Analitik!$AE$2:$AE$351,0)),""))</f>
        <v/>
      </c>
      <c r="D343" s="99" t="str">
        <f>IF(OR($A343="",$A343&gt;SUM(Data_Analitik!$AD$2:$AD$351)),"",IFERROR(INDEX(Data_Analitik!$D$2:$D$351,MATCH($A343,Data_Analitik!$AE$2:$AE$351,0)),""))</f>
        <v/>
      </c>
      <c r="E343" s="100" t="str">
        <f>IF(OR($A343="",$A343&gt;SUM(Data_Analitik!$AD$2:$AD$351)),"",IFERROR(INDEX(Data_Analitik!$E$2:$E$351,MATCH($A343,Data_Analitik!$AE$2:$AE$351,0)),""))</f>
        <v/>
      </c>
      <c r="F343" s="97" t="str">
        <f>IF(OR($A343="",$A343&gt;SUM(Data_Analitik!$AD$2:$AD$351)),"",IFERROR(INDEX(Data_Analitik!$Z$2:$Z$351,MATCH($A343,Data_Analitik!$AE$2:$AE$351,0)),""))</f>
        <v/>
      </c>
      <c r="G343" s="97" t="str">
        <f>IF(OR($A343="",$A343&gt;SUM(Data_Analitik!$AD$2:$AD$351)),"",IFERROR(INDEX(Data_Analitik!$AA$2:$AA$351,MATCH($A343,Data_Analitik!$AE$2:$AE$351,0)),""))</f>
        <v/>
      </c>
      <c r="H343" s="100" t="str">
        <f>IF(OR($A343="",$A343&gt;SUM(Data_Analitik!$AD$2:$AD$351)),"",IFERROR(INDEX(Data_Analitik!$U$2:$U$351,MATCH($A343,Data_Analitik!$AE$2:$AE$351,0)),""))</f>
        <v/>
      </c>
      <c r="I343" s="33" t="str">
        <f>IF(OR($A343="",$A343&gt;SUM(Data_Analitik!$AD$2:$AD$351)),"",IFERROR(INDEX(Data_Analitik!$AB$2:$AB$351,MATCH($A343,Data_Analitik!$AE$2:$AE$351,0)),""))</f>
        <v/>
      </c>
    </row>
    <row r="344" spans="1:9" ht="21.95" customHeight="1" x14ac:dyDescent="0.25">
      <c r="A344" s="32">
        <f t="shared" si="5"/>
        <v>331</v>
      </c>
      <c r="B344" s="99" t="str">
        <f>IF(OR($A344="",$A344&gt;SUM(Data_Analitik!$AD$2:$AD$351)),"",IFERROR(INDEX(Data_Analitik!$B$2:$B$351,MATCH($A344,Data_Analitik!$AE$2:$AE$351,0)),""))</f>
        <v/>
      </c>
      <c r="C344" s="101" t="str">
        <f>IF(OR($A344="",$A344&gt;SUM(Data_Analitik!$AD$2:$AD$351)),"",IFERROR(INDEX(Data_Analitik!$C$2:$C$351,MATCH($A344,Data_Analitik!$AE$2:$AE$351,0)),""))</f>
        <v/>
      </c>
      <c r="D344" s="99" t="str">
        <f>IF(OR($A344="",$A344&gt;SUM(Data_Analitik!$AD$2:$AD$351)),"",IFERROR(INDEX(Data_Analitik!$D$2:$D$351,MATCH($A344,Data_Analitik!$AE$2:$AE$351,0)),""))</f>
        <v/>
      </c>
      <c r="E344" s="100" t="str">
        <f>IF(OR($A344="",$A344&gt;SUM(Data_Analitik!$AD$2:$AD$351)),"",IFERROR(INDEX(Data_Analitik!$E$2:$E$351,MATCH($A344,Data_Analitik!$AE$2:$AE$351,0)),""))</f>
        <v/>
      </c>
      <c r="F344" s="97" t="str">
        <f>IF(OR($A344="",$A344&gt;SUM(Data_Analitik!$AD$2:$AD$351)),"",IFERROR(INDEX(Data_Analitik!$Z$2:$Z$351,MATCH($A344,Data_Analitik!$AE$2:$AE$351,0)),""))</f>
        <v/>
      </c>
      <c r="G344" s="97" t="str">
        <f>IF(OR($A344="",$A344&gt;SUM(Data_Analitik!$AD$2:$AD$351)),"",IFERROR(INDEX(Data_Analitik!$AA$2:$AA$351,MATCH($A344,Data_Analitik!$AE$2:$AE$351,0)),""))</f>
        <v/>
      </c>
      <c r="H344" s="100" t="str">
        <f>IF(OR($A344="",$A344&gt;SUM(Data_Analitik!$AD$2:$AD$351)),"",IFERROR(INDEX(Data_Analitik!$U$2:$U$351,MATCH($A344,Data_Analitik!$AE$2:$AE$351,0)),""))</f>
        <v/>
      </c>
      <c r="I344" s="33" t="str">
        <f>IF(OR($A344="",$A344&gt;SUM(Data_Analitik!$AD$2:$AD$351)),"",IFERROR(INDEX(Data_Analitik!$AB$2:$AB$351,MATCH($A344,Data_Analitik!$AE$2:$AE$351,0)),""))</f>
        <v/>
      </c>
    </row>
    <row r="345" spans="1:9" ht="21.95" customHeight="1" x14ac:dyDescent="0.25">
      <c r="A345" s="32">
        <f t="shared" si="5"/>
        <v>332</v>
      </c>
      <c r="B345" s="99" t="str">
        <f>IF(OR($A345="",$A345&gt;SUM(Data_Analitik!$AD$2:$AD$351)),"",IFERROR(INDEX(Data_Analitik!$B$2:$B$351,MATCH($A345,Data_Analitik!$AE$2:$AE$351,0)),""))</f>
        <v/>
      </c>
      <c r="C345" s="101" t="str">
        <f>IF(OR($A345="",$A345&gt;SUM(Data_Analitik!$AD$2:$AD$351)),"",IFERROR(INDEX(Data_Analitik!$C$2:$C$351,MATCH($A345,Data_Analitik!$AE$2:$AE$351,0)),""))</f>
        <v/>
      </c>
      <c r="D345" s="99" t="str">
        <f>IF(OR($A345="",$A345&gt;SUM(Data_Analitik!$AD$2:$AD$351)),"",IFERROR(INDEX(Data_Analitik!$D$2:$D$351,MATCH($A345,Data_Analitik!$AE$2:$AE$351,0)),""))</f>
        <v/>
      </c>
      <c r="E345" s="100" t="str">
        <f>IF(OR($A345="",$A345&gt;SUM(Data_Analitik!$AD$2:$AD$351)),"",IFERROR(INDEX(Data_Analitik!$E$2:$E$351,MATCH($A345,Data_Analitik!$AE$2:$AE$351,0)),""))</f>
        <v/>
      </c>
      <c r="F345" s="97" t="str">
        <f>IF(OR($A345="",$A345&gt;SUM(Data_Analitik!$AD$2:$AD$351)),"",IFERROR(INDEX(Data_Analitik!$Z$2:$Z$351,MATCH($A345,Data_Analitik!$AE$2:$AE$351,0)),""))</f>
        <v/>
      </c>
      <c r="G345" s="97" t="str">
        <f>IF(OR($A345="",$A345&gt;SUM(Data_Analitik!$AD$2:$AD$351)),"",IFERROR(INDEX(Data_Analitik!$AA$2:$AA$351,MATCH($A345,Data_Analitik!$AE$2:$AE$351,0)),""))</f>
        <v/>
      </c>
      <c r="H345" s="100" t="str">
        <f>IF(OR($A345="",$A345&gt;SUM(Data_Analitik!$AD$2:$AD$351)),"",IFERROR(INDEX(Data_Analitik!$U$2:$U$351,MATCH($A345,Data_Analitik!$AE$2:$AE$351,0)),""))</f>
        <v/>
      </c>
      <c r="I345" s="33" t="str">
        <f>IF(OR($A345="",$A345&gt;SUM(Data_Analitik!$AD$2:$AD$351)),"",IFERROR(INDEX(Data_Analitik!$AB$2:$AB$351,MATCH($A345,Data_Analitik!$AE$2:$AE$351,0)),""))</f>
        <v/>
      </c>
    </row>
    <row r="346" spans="1:9" ht="21.95" customHeight="1" x14ac:dyDescent="0.25">
      <c r="A346" s="32">
        <f t="shared" si="5"/>
        <v>333</v>
      </c>
      <c r="B346" s="99" t="str">
        <f>IF(OR($A346="",$A346&gt;SUM(Data_Analitik!$AD$2:$AD$351)),"",IFERROR(INDEX(Data_Analitik!$B$2:$B$351,MATCH($A346,Data_Analitik!$AE$2:$AE$351,0)),""))</f>
        <v/>
      </c>
      <c r="C346" s="101" t="str">
        <f>IF(OR($A346="",$A346&gt;SUM(Data_Analitik!$AD$2:$AD$351)),"",IFERROR(INDEX(Data_Analitik!$C$2:$C$351,MATCH($A346,Data_Analitik!$AE$2:$AE$351,0)),""))</f>
        <v/>
      </c>
      <c r="D346" s="99" t="str">
        <f>IF(OR($A346="",$A346&gt;SUM(Data_Analitik!$AD$2:$AD$351)),"",IFERROR(INDEX(Data_Analitik!$D$2:$D$351,MATCH($A346,Data_Analitik!$AE$2:$AE$351,0)),""))</f>
        <v/>
      </c>
      <c r="E346" s="100" t="str">
        <f>IF(OR($A346="",$A346&gt;SUM(Data_Analitik!$AD$2:$AD$351)),"",IFERROR(INDEX(Data_Analitik!$E$2:$E$351,MATCH($A346,Data_Analitik!$AE$2:$AE$351,0)),""))</f>
        <v/>
      </c>
      <c r="F346" s="97" t="str">
        <f>IF(OR($A346="",$A346&gt;SUM(Data_Analitik!$AD$2:$AD$351)),"",IFERROR(INDEX(Data_Analitik!$Z$2:$Z$351,MATCH($A346,Data_Analitik!$AE$2:$AE$351,0)),""))</f>
        <v/>
      </c>
      <c r="G346" s="97" t="str">
        <f>IF(OR($A346="",$A346&gt;SUM(Data_Analitik!$AD$2:$AD$351)),"",IFERROR(INDEX(Data_Analitik!$AA$2:$AA$351,MATCH($A346,Data_Analitik!$AE$2:$AE$351,0)),""))</f>
        <v/>
      </c>
      <c r="H346" s="100" t="str">
        <f>IF(OR($A346="",$A346&gt;SUM(Data_Analitik!$AD$2:$AD$351)),"",IFERROR(INDEX(Data_Analitik!$U$2:$U$351,MATCH($A346,Data_Analitik!$AE$2:$AE$351,0)),""))</f>
        <v/>
      </c>
      <c r="I346" s="33" t="str">
        <f>IF(OR($A346="",$A346&gt;SUM(Data_Analitik!$AD$2:$AD$351)),"",IFERROR(INDEX(Data_Analitik!$AB$2:$AB$351,MATCH($A346,Data_Analitik!$AE$2:$AE$351,0)),""))</f>
        <v/>
      </c>
    </row>
    <row r="347" spans="1:9" ht="21.95" customHeight="1" x14ac:dyDescent="0.25">
      <c r="A347" s="32">
        <f t="shared" si="5"/>
        <v>334</v>
      </c>
      <c r="B347" s="99" t="str">
        <f>IF(OR($A347="",$A347&gt;SUM(Data_Analitik!$AD$2:$AD$351)),"",IFERROR(INDEX(Data_Analitik!$B$2:$B$351,MATCH($A347,Data_Analitik!$AE$2:$AE$351,0)),""))</f>
        <v/>
      </c>
      <c r="C347" s="101" t="str">
        <f>IF(OR($A347="",$A347&gt;SUM(Data_Analitik!$AD$2:$AD$351)),"",IFERROR(INDEX(Data_Analitik!$C$2:$C$351,MATCH($A347,Data_Analitik!$AE$2:$AE$351,0)),""))</f>
        <v/>
      </c>
      <c r="D347" s="99" t="str">
        <f>IF(OR($A347="",$A347&gt;SUM(Data_Analitik!$AD$2:$AD$351)),"",IFERROR(INDEX(Data_Analitik!$D$2:$D$351,MATCH($A347,Data_Analitik!$AE$2:$AE$351,0)),""))</f>
        <v/>
      </c>
      <c r="E347" s="100" t="str">
        <f>IF(OR($A347="",$A347&gt;SUM(Data_Analitik!$AD$2:$AD$351)),"",IFERROR(INDEX(Data_Analitik!$E$2:$E$351,MATCH($A347,Data_Analitik!$AE$2:$AE$351,0)),""))</f>
        <v/>
      </c>
      <c r="F347" s="97" t="str">
        <f>IF(OR($A347="",$A347&gt;SUM(Data_Analitik!$AD$2:$AD$351)),"",IFERROR(INDEX(Data_Analitik!$Z$2:$Z$351,MATCH($A347,Data_Analitik!$AE$2:$AE$351,0)),""))</f>
        <v/>
      </c>
      <c r="G347" s="97" t="str">
        <f>IF(OR($A347="",$A347&gt;SUM(Data_Analitik!$AD$2:$AD$351)),"",IFERROR(INDEX(Data_Analitik!$AA$2:$AA$351,MATCH($A347,Data_Analitik!$AE$2:$AE$351,0)),""))</f>
        <v/>
      </c>
      <c r="H347" s="100" t="str">
        <f>IF(OR($A347="",$A347&gt;SUM(Data_Analitik!$AD$2:$AD$351)),"",IFERROR(INDEX(Data_Analitik!$U$2:$U$351,MATCH($A347,Data_Analitik!$AE$2:$AE$351,0)),""))</f>
        <v/>
      </c>
      <c r="I347" s="33" t="str">
        <f>IF(OR($A347="",$A347&gt;SUM(Data_Analitik!$AD$2:$AD$351)),"",IFERROR(INDEX(Data_Analitik!$AB$2:$AB$351,MATCH($A347,Data_Analitik!$AE$2:$AE$351,0)),""))</f>
        <v/>
      </c>
    </row>
    <row r="348" spans="1:9" ht="21.95" customHeight="1" x14ac:dyDescent="0.25">
      <c r="A348" s="32">
        <f t="shared" si="5"/>
        <v>335</v>
      </c>
      <c r="B348" s="99" t="str">
        <f>IF(OR($A348="",$A348&gt;SUM(Data_Analitik!$AD$2:$AD$351)),"",IFERROR(INDEX(Data_Analitik!$B$2:$B$351,MATCH($A348,Data_Analitik!$AE$2:$AE$351,0)),""))</f>
        <v/>
      </c>
      <c r="C348" s="101" t="str">
        <f>IF(OR($A348="",$A348&gt;SUM(Data_Analitik!$AD$2:$AD$351)),"",IFERROR(INDEX(Data_Analitik!$C$2:$C$351,MATCH($A348,Data_Analitik!$AE$2:$AE$351,0)),""))</f>
        <v/>
      </c>
      <c r="D348" s="99" t="str">
        <f>IF(OR($A348="",$A348&gt;SUM(Data_Analitik!$AD$2:$AD$351)),"",IFERROR(INDEX(Data_Analitik!$D$2:$D$351,MATCH($A348,Data_Analitik!$AE$2:$AE$351,0)),""))</f>
        <v/>
      </c>
      <c r="E348" s="100" t="str">
        <f>IF(OR($A348="",$A348&gt;SUM(Data_Analitik!$AD$2:$AD$351)),"",IFERROR(INDEX(Data_Analitik!$E$2:$E$351,MATCH($A348,Data_Analitik!$AE$2:$AE$351,0)),""))</f>
        <v/>
      </c>
      <c r="F348" s="97" t="str">
        <f>IF(OR($A348="",$A348&gt;SUM(Data_Analitik!$AD$2:$AD$351)),"",IFERROR(INDEX(Data_Analitik!$Z$2:$Z$351,MATCH($A348,Data_Analitik!$AE$2:$AE$351,0)),""))</f>
        <v/>
      </c>
      <c r="G348" s="97" t="str">
        <f>IF(OR($A348="",$A348&gt;SUM(Data_Analitik!$AD$2:$AD$351)),"",IFERROR(INDEX(Data_Analitik!$AA$2:$AA$351,MATCH($A348,Data_Analitik!$AE$2:$AE$351,0)),""))</f>
        <v/>
      </c>
      <c r="H348" s="100" t="str">
        <f>IF(OR($A348="",$A348&gt;SUM(Data_Analitik!$AD$2:$AD$351)),"",IFERROR(INDEX(Data_Analitik!$U$2:$U$351,MATCH($A348,Data_Analitik!$AE$2:$AE$351,0)),""))</f>
        <v/>
      </c>
      <c r="I348" s="33" t="str">
        <f>IF(OR($A348="",$A348&gt;SUM(Data_Analitik!$AD$2:$AD$351)),"",IFERROR(INDEX(Data_Analitik!$AB$2:$AB$351,MATCH($A348,Data_Analitik!$AE$2:$AE$351,0)),""))</f>
        <v/>
      </c>
    </row>
    <row r="349" spans="1:9" ht="21.95" customHeight="1" x14ac:dyDescent="0.25">
      <c r="A349" s="32">
        <f t="shared" si="5"/>
        <v>336</v>
      </c>
      <c r="B349" s="99" t="str">
        <f>IF(OR($A349="",$A349&gt;SUM(Data_Analitik!$AD$2:$AD$351)),"",IFERROR(INDEX(Data_Analitik!$B$2:$B$351,MATCH($A349,Data_Analitik!$AE$2:$AE$351,0)),""))</f>
        <v/>
      </c>
      <c r="C349" s="101" t="str">
        <f>IF(OR($A349="",$A349&gt;SUM(Data_Analitik!$AD$2:$AD$351)),"",IFERROR(INDEX(Data_Analitik!$C$2:$C$351,MATCH($A349,Data_Analitik!$AE$2:$AE$351,0)),""))</f>
        <v/>
      </c>
      <c r="D349" s="99" t="str">
        <f>IF(OR($A349="",$A349&gt;SUM(Data_Analitik!$AD$2:$AD$351)),"",IFERROR(INDEX(Data_Analitik!$D$2:$D$351,MATCH($A349,Data_Analitik!$AE$2:$AE$351,0)),""))</f>
        <v/>
      </c>
      <c r="E349" s="100" t="str">
        <f>IF(OR($A349="",$A349&gt;SUM(Data_Analitik!$AD$2:$AD$351)),"",IFERROR(INDEX(Data_Analitik!$E$2:$E$351,MATCH($A349,Data_Analitik!$AE$2:$AE$351,0)),""))</f>
        <v/>
      </c>
      <c r="F349" s="97" t="str">
        <f>IF(OR($A349="",$A349&gt;SUM(Data_Analitik!$AD$2:$AD$351)),"",IFERROR(INDEX(Data_Analitik!$Z$2:$Z$351,MATCH($A349,Data_Analitik!$AE$2:$AE$351,0)),""))</f>
        <v/>
      </c>
      <c r="G349" s="97" t="str">
        <f>IF(OR($A349="",$A349&gt;SUM(Data_Analitik!$AD$2:$AD$351)),"",IFERROR(INDEX(Data_Analitik!$AA$2:$AA$351,MATCH($A349,Data_Analitik!$AE$2:$AE$351,0)),""))</f>
        <v/>
      </c>
      <c r="H349" s="100" t="str">
        <f>IF(OR($A349="",$A349&gt;SUM(Data_Analitik!$AD$2:$AD$351)),"",IFERROR(INDEX(Data_Analitik!$U$2:$U$351,MATCH($A349,Data_Analitik!$AE$2:$AE$351,0)),""))</f>
        <v/>
      </c>
      <c r="I349" s="33" t="str">
        <f>IF(OR($A349="",$A349&gt;SUM(Data_Analitik!$AD$2:$AD$351)),"",IFERROR(INDEX(Data_Analitik!$AB$2:$AB$351,MATCH($A349,Data_Analitik!$AE$2:$AE$351,0)),""))</f>
        <v/>
      </c>
    </row>
    <row r="350" spans="1:9" ht="21.95" customHeight="1" x14ac:dyDescent="0.25">
      <c r="A350" s="32">
        <f t="shared" si="5"/>
        <v>337</v>
      </c>
      <c r="B350" s="99" t="str">
        <f>IF(OR($A350="",$A350&gt;SUM(Data_Analitik!$AD$2:$AD$351)),"",IFERROR(INDEX(Data_Analitik!$B$2:$B$351,MATCH($A350,Data_Analitik!$AE$2:$AE$351,0)),""))</f>
        <v/>
      </c>
      <c r="C350" s="101" t="str">
        <f>IF(OR($A350="",$A350&gt;SUM(Data_Analitik!$AD$2:$AD$351)),"",IFERROR(INDEX(Data_Analitik!$C$2:$C$351,MATCH($A350,Data_Analitik!$AE$2:$AE$351,0)),""))</f>
        <v/>
      </c>
      <c r="D350" s="99" t="str">
        <f>IF(OR($A350="",$A350&gt;SUM(Data_Analitik!$AD$2:$AD$351)),"",IFERROR(INDEX(Data_Analitik!$D$2:$D$351,MATCH($A350,Data_Analitik!$AE$2:$AE$351,0)),""))</f>
        <v/>
      </c>
      <c r="E350" s="100" t="str">
        <f>IF(OR($A350="",$A350&gt;SUM(Data_Analitik!$AD$2:$AD$351)),"",IFERROR(INDEX(Data_Analitik!$E$2:$E$351,MATCH($A350,Data_Analitik!$AE$2:$AE$351,0)),""))</f>
        <v/>
      </c>
      <c r="F350" s="97" t="str">
        <f>IF(OR($A350="",$A350&gt;SUM(Data_Analitik!$AD$2:$AD$351)),"",IFERROR(INDEX(Data_Analitik!$Z$2:$Z$351,MATCH($A350,Data_Analitik!$AE$2:$AE$351,0)),""))</f>
        <v/>
      </c>
      <c r="G350" s="97" t="str">
        <f>IF(OR($A350="",$A350&gt;SUM(Data_Analitik!$AD$2:$AD$351)),"",IFERROR(INDEX(Data_Analitik!$AA$2:$AA$351,MATCH($A350,Data_Analitik!$AE$2:$AE$351,0)),""))</f>
        <v/>
      </c>
      <c r="H350" s="100" t="str">
        <f>IF(OR($A350="",$A350&gt;SUM(Data_Analitik!$AD$2:$AD$351)),"",IFERROR(INDEX(Data_Analitik!$U$2:$U$351,MATCH($A350,Data_Analitik!$AE$2:$AE$351,0)),""))</f>
        <v/>
      </c>
      <c r="I350" s="33" t="str">
        <f>IF(OR($A350="",$A350&gt;SUM(Data_Analitik!$AD$2:$AD$351)),"",IFERROR(INDEX(Data_Analitik!$AB$2:$AB$351,MATCH($A350,Data_Analitik!$AE$2:$AE$351,0)),""))</f>
        <v/>
      </c>
    </row>
    <row r="351" spans="1:9" ht="21.95" customHeight="1" x14ac:dyDescent="0.25">
      <c r="A351" s="32">
        <f t="shared" si="5"/>
        <v>338</v>
      </c>
      <c r="B351" s="99" t="str">
        <f>IF(OR($A351="",$A351&gt;SUM(Data_Analitik!$AD$2:$AD$351)),"",IFERROR(INDEX(Data_Analitik!$B$2:$B$351,MATCH($A351,Data_Analitik!$AE$2:$AE$351,0)),""))</f>
        <v/>
      </c>
      <c r="C351" s="101" t="str">
        <f>IF(OR($A351="",$A351&gt;SUM(Data_Analitik!$AD$2:$AD$351)),"",IFERROR(INDEX(Data_Analitik!$C$2:$C$351,MATCH($A351,Data_Analitik!$AE$2:$AE$351,0)),""))</f>
        <v/>
      </c>
      <c r="D351" s="99" t="str">
        <f>IF(OR($A351="",$A351&gt;SUM(Data_Analitik!$AD$2:$AD$351)),"",IFERROR(INDEX(Data_Analitik!$D$2:$D$351,MATCH($A351,Data_Analitik!$AE$2:$AE$351,0)),""))</f>
        <v/>
      </c>
      <c r="E351" s="100" t="str">
        <f>IF(OR($A351="",$A351&gt;SUM(Data_Analitik!$AD$2:$AD$351)),"",IFERROR(INDEX(Data_Analitik!$E$2:$E$351,MATCH($A351,Data_Analitik!$AE$2:$AE$351,0)),""))</f>
        <v/>
      </c>
      <c r="F351" s="97" t="str">
        <f>IF(OR($A351="",$A351&gt;SUM(Data_Analitik!$AD$2:$AD$351)),"",IFERROR(INDEX(Data_Analitik!$Z$2:$Z$351,MATCH($A351,Data_Analitik!$AE$2:$AE$351,0)),""))</f>
        <v/>
      </c>
      <c r="G351" s="97" t="str">
        <f>IF(OR($A351="",$A351&gt;SUM(Data_Analitik!$AD$2:$AD$351)),"",IFERROR(INDEX(Data_Analitik!$AA$2:$AA$351,MATCH($A351,Data_Analitik!$AE$2:$AE$351,0)),""))</f>
        <v/>
      </c>
      <c r="H351" s="100" t="str">
        <f>IF(OR($A351="",$A351&gt;SUM(Data_Analitik!$AD$2:$AD$351)),"",IFERROR(INDEX(Data_Analitik!$U$2:$U$351,MATCH($A351,Data_Analitik!$AE$2:$AE$351,0)),""))</f>
        <v/>
      </c>
      <c r="I351" s="33" t="str">
        <f>IF(OR($A351="",$A351&gt;SUM(Data_Analitik!$AD$2:$AD$351)),"",IFERROR(INDEX(Data_Analitik!$AB$2:$AB$351,MATCH($A351,Data_Analitik!$AE$2:$AE$351,0)),""))</f>
        <v/>
      </c>
    </row>
    <row r="352" spans="1:9" ht="21.95" customHeight="1" x14ac:dyDescent="0.25">
      <c r="A352" s="32">
        <f t="shared" si="5"/>
        <v>339</v>
      </c>
      <c r="B352" s="99" t="str">
        <f>IF(OR($A352="",$A352&gt;SUM(Data_Analitik!$AD$2:$AD$351)),"",IFERROR(INDEX(Data_Analitik!$B$2:$B$351,MATCH($A352,Data_Analitik!$AE$2:$AE$351,0)),""))</f>
        <v/>
      </c>
      <c r="C352" s="101" t="str">
        <f>IF(OR($A352="",$A352&gt;SUM(Data_Analitik!$AD$2:$AD$351)),"",IFERROR(INDEX(Data_Analitik!$C$2:$C$351,MATCH($A352,Data_Analitik!$AE$2:$AE$351,0)),""))</f>
        <v/>
      </c>
      <c r="D352" s="99" t="str">
        <f>IF(OR($A352="",$A352&gt;SUM(Data_Analitik!$AD$2:$AD$351)),"",IFERROR(INDEX(Data_Analitik!$D$2:$D$351,MATCH($A352,Data_Analitik!$AE$2:$AE$351,0)),""))</f>
        <v/>
      </c>
      <c r="E352" s="100" t="str">
        <f>IF(OR($A352="",$A352&gt;SUM(Data_Analitik!$AD$2:$AD$351)),"",IFERROR(INDEX(Data_Analitik!$E$2:$E$351,MATCH($A352,Data_Analitik!$AE$2:$AE$351,0)),""))</f>
        <v/>
      </c>
      <c r="F352" s="97" t="str">
        <f>IF(OR($A352="",$A352&gt;SUM(Data_Analitik!$AD$2:$AD$351)),"",IFERROR(INDEX(Data_Analitik!$Z$2:$Z$351,MATCH($A352,Data_Analitik!$AE$2:$AE$351,0)),""))</f>
        <v/>
      </c>
      <c r="G352" s="97" t="str">
        <f>IF(OR($A352="",$A352&gt;SUM(Data_Analitik!$AD$2:$AD$351)),"",IFERROR(INDEX(Data_Analitik!$AA$2:$AA$351,MATCH($A352,Data_Analitik!$AE$2:$AE$351,0)),""))</f>
        <v/>
      </c>
      <c r="H352" s="100" t="str">
        <f>IF(OR($A352="",$A352&gt;SUM(Data_Analitik!$AD$2:$AD$351)),"",IFERROR(INDEX(Data_Analitik!$U$2:$U$351,MATCH($A352,Data_Analitik!$AE$2:$AE$351,0)),""))</f>
        <v/>
      </c>
      <c r="I352" s="33" t="str">
        <f>IF(OR($A352="",$A352&gt;SUM(Data_Analitik!$AD$2:$AD$351)),"",IFERROR(INDEX(Data_Analitik!$AB$2:$AB$351,MATCH($A352,Data_Analitik!$AE$2:$AE$351,0)),""))</f>
        <v/>
      </c>
    </row>
    <row r="353" spans="1:9" ht="21.95" customHeight="1" x14ac:dyDescent="0.25">
      <c r="A353" s="32">
        <f t="shared" si="5"/>
        <v>340</v>
      </c>
      <c r="B353" s="99" t="str">
        <f>IF(OR($A353="",$A353&gt;SUM(Data_Analitik!$AD$2:$AD$351)),"",IFERROR(INDEX(Data_Analitik!$B$2:$B$351,MATCH($A353,Data_Analitik!$AE$2:$AE$351,0)),""))</f>
        <v/>
      </c>
      <c r="C353" s="101" t="str">
        <f>IF(OR($A353="",$A353&gt;SUM(Data_Analitik!$AD$2:$AD$351)),"",IFERROR(INDEX(Data_Analitik!$C$2:$C$351,MATCH($A353,Data_Analitik!$AE$2:$AE$351,0)),""))</f>
        <v/>
      </c>
      <c r="D353" s="99" t="str">
        <f>IF(OR($A353="",$A353&gt;SUM(Data_Analitik!$AD$2:$AD$351)),"",IFERROR(INDEX(Data_Analitik!$D$2:$D$351,MATCH($A353,Data_Analitik!$AE$2:$AE$351,0)),""))</f>
        <v/>
      </c>
      <c r="E353" s="100" t="str">
        <f>IF(OR($A353="",$A353&gt;SUM(Data_Analitik!$AD$2:$AD$351)),"",IFERROR(INDEX(Data_Analitik!$E$2:$E$351,MATCH($A353,Data_Analitik!$AE$2:$AE$351,0)),""))</f>
        <v/>
      </c>
      <c r="F353" s="97" t="str">
        <f>IF(OR($A353="",$A353&gt;SUM(Data_Analitik!$AD$2:$AD$351)),"",IFERROR(INDEX(Data_Analitik!$Z$2:$Z$351,MATCH($A353,Data_Analitik!$AE$2:$AE$351,0)),""))</f>
        <v/>
      </c>
      <c r="G353" s="97" t="str">
        <f>IF(OR($A353="",$A353&gt;SUM(Data_Analitik!$AD$2:$AD$351)),"",IFERROR(INDEX(Data_Analitik!$AA$2:$AA$351,MATCH($A353,Data_Analitik!$AE$2:$AE$351,0)),""))</f>
        <v/>
      </c>
      <c r="H353" s="100" t="str">
        <f>IF(OR($A353="",$A353&gt;SUM(Data_Analitik!$AD$2:$AD$351)),"",IFERROR(INDEX(Data_Analitik!$U$2:$U$351,MATCH($A353,Data_Analitik!$AE$2:$AE$351,0)),""))</f>
        <v/>
      </c>
      <c r="I353" s="33" t="str">
        <f>IF(OR($A353="",$A353&gt;SUM(Data_Analitik!$AD$2:$AD$351)),"",IFERROR(INDEX(Data_Analitik!$AB$2:$AB$351,MATCH($A353,Data_Analitik!$AE$2:$AE$351,0)),""))</f>
        <v/>
      </c>
    </row>
    <row r="354" spans="1:9" ht="21.95" customHeight="1" x14ac:dyDescent="0.25">
      <c r="A354" s="32">
        <f t="shared" si="5"/>
        <v>341</v>
      </c>
      <c r="B354" s="99" t="str">
        <f>IF(OR($A354="",$A354&gt;SUM(Data_Analitik!$AD$2:$AD$351)),"",IFERROR(INDEX(Data_Analitik!$B$2:$B$351,MATCH($A354,Data_Analitik!$AE$2:$AE$351,0)),""))</f>
        <v/>
      </c>
      <c r="C354" s="101" t="str">
        <f>IF(OR($A354="",$A354&gt;SUM(Data_Analitik!$AD$2:$AD$351)),"",IFERROR(INDEX(Data_Analitik!$C$2:$C$351,MATCH($A354,Data_Analitik!$AE$2:$AE$351,0)),""))</f>
        <v/>
      </c>
      <c r="D354" s="99" t="str">
        <f>IF(OR($A354="",$A354&gt;SUM(Data_Analitik!$AD$2:$AD$351)),"",IFERROR(INDEX(Data_Analitik!$D$2:$D$351,MATCH($A354,Data_Analitik!$AE$2:$AE$351,0)),""))</f>
        <v/>
      </c>
      <c r="E354" s="100" t="str">
        <f>IF(OR($A354="",$A354&gt;SUM(Data_Analitik!$AD$2:$AD$351)),"",IFERROR(INDEX(Data_Analitik!$E$2:$E$351,MATCH($A354,Data_Analitik!$AE$2:$AE$351,0)),""))</f>
        <v/>
      </c>
      <c r="F354" s="97" t="str">
        <f>IF(OR($A354="",$A354&gt;SUM(Data_Analitik!$AD$2:$AD$351)),"",IFERROR(INDEX(Data_Analitik!$Z$2:$Z$351,MATCH($A354,Data_Analitik!$AE$2:$AE$351,0)),""))</f>
        <v/>
      </c>
      <c r="G354" s="97" t="str">
        <f>IF(OR($A354="",$A354&gt;SUM(Data_Analitik!$AD$2:$AD$351)),"",IFERROR(INDEX(Data_Analitik!$AA$2:$AA$351,MATCH($A354,Data_Analitik!$AE$2:$AE$351,0)),""))</f>
        <v/>
      </c>
      <c r="H354" s="100" t="str">
        <f>IF(OR($A354="",$A354&gt;SUM(Data_Analitik!$AD$2:$AD$351)),"",IFERROR(INDEX(Data_Analitik!$U$2:$U$351,MATCH($A354,Data_Analitik!$AE$2:$AE$351,0)),""))</f>
        <v/>
      </c>
      <c r="I354" s="33" t="str">
        <f>IF(OR($A354="",$A354&gt;SUM(Data_Analitik!$AD$2:$AD$351)),"",IFERROR(INDEX(Data_Analitik!$AB$2:$AB$351,MATCH($A354,Data_Analitik!$AE$2:$AE$351,0)),""))</f>
        <v/>
      </c>
    </row>
    <row r="355" spans="1:9" ht="21.95" customHeight="1" x14ac:dyDescent="0.25">
      <c r="A355" s="32">
        <f t="shared" si="5"/>
        <v>342</v>
      </c>
      <c r="B355" s="99" t="str">
        <f>IF(OR($A355="",$A355&gt;SUM(Data_Analitik!$AD$2:$AD$351)),"",IFERROR(INDEX(Data_Analitik!$B$2:$B$351,MATCH($A355,Data_Analitik!$AE$2:$AE$351,0)),""))</f>
        <v/>
      </c>
      <c r="C355" s="101" t="str">
        <f>IF(OR($A355="",$A355&gt;SUM(Data_Analitik!$AD$2:$AD$351)),"",IFERROR(INDEX(Data_Analitik!$C$2:$C$351,MATCH($A355,Data_Analitik!$AE$2:$AE$351,0)),""))</f>
        <v/>
      </c>
      <c r="D355" s="99" t="str">
        <f>IF(OR($A355="",$A355&gt;SUM(Data_Analitik!$AD$2:$AD$351)),"",IFERROR(INDEX(Data_Analitik!$D$2:$D$351,MATCH($A355,Data_Analitik!$AE$2:$AE$351,0)),""))</f>
        <v/>
      </c>
      <c r="E355" s="100" t="str">
        <f>IF(OR($A355="",$A355&gt;SUM(Data_Analitik!$AD$2:$AD$351)),"",IFERROR(INDEX(Data_Analitik!$E$2:$E$351,MATCH($A355,Data_Analitik!$AE$2:$AE$351,0)),""))</f>
        <v/>
      </c>
      <c r="F355" s="97" t="str">
        <f>IF(OR($A355="",$A355&gt;SUM(Data_Analitik!$AD$2:$AD$351)),"",IFERROR(INDEX(Data_Analitik!$Z$2:$Z$351,MATCH($A355,Data_Analitik!$AE$2:$AE$351,0)),""))</f>
        <v/>
      </c>
      <c r="G355" s="97" t="str">
        <f>IF(OR($A355="",$A355&gt;SUM(Data_Analitik!$AD$2:$AD$351)),"",IFERROR(INDEX(Data_Analitik!$AA$2:$AA$351,MATCH($A355,Data_Analitik!$AE$2:$AE$351,0)),""))</f>
        <v/>
      </c>
      <c r="H355" s="100" t="str">
        <f>IF(OR($A355="",$A355&gt;SUM(Data_Analitik!$AD$2:$AD$351)),"",IFERROR(INDEX(Data_Analitik!$U$2:$U$351,MATCH($A355,Data_Analitik!$AE$2:$AE$351,0)),""))</f>
        <v/>
      </c>
      <c r="I355" s="33" t="str">
        <f>IF(OR($A355="",$A355&gt;SUM(Data_Analitik!$AD$2:$AD$351)),"",IFERROR(INDEX(Data_Analitik!$AB$2:$AB$351,MATCH($A355,Data_Analitik!$AE$2:$AE$351,0)),""))</f>
        <v/>
      </c>
    </row>
    <row r="356" spans="1:9" ht="21.95" customHeight="1" x14ac:dyDescent="0.25">
      <c r="A356" s="32">
        <f t="shared" si="5"/>
        <v>343</v>
      </c>
      <c r="B356" s="99" t="str">
        <f>IF(OR($A356="",$A356&gt;SUM(Data_Analitik!$AD$2:$AD$351)),"",IFERROR(INDEX(Data_Analitik!$B$2:$B$351,MATCH($A356,Data_Analitik!$AE$2:$AE$351,0)),""))</f>
        <v/>
      </c>
      <c r="C356" s="101" t="str">
        <f>IF(OR($A356="",$A356&gt;SUM(Data_Analitik!$AD$2:$AD$351)),"",IFERROR(INDEX(Data_Analitik!$C$2:$C$351,MATCH($A356,Data_Analitik!$AE$2:$AE$351,0)),""))</f>
        <v/>
      </c>
      <c r="D356" s="99" t="str">
        <f>IF(OR($A356="",$A356&gt;SUM(Data_Analitik!$AD$2:$AD$351)),"",IFERROR(INDEX(Data_Analitik!$D$2:$D$351,MATCH($A356,Data_Analitik!$AE$2:$AE$351,0)),""))</f>
        <v/>
      </c>
      <c r="E356" s="100" t="str">
        <f>IF(OR($A356="",$A356&gt;SUM(Data_Analitik!$AD$2:$AD$351)),"",IFERROR(INDEX(Data_Analitik!$E$2:$E$351,MATCH($A356,Data_Analitik!$AE$2:$AE$351,0)),""))</f>
        <v/>
      </c>
      <c r="F356" s="97" t="str">
        <f>IF(OR($A356="",$A356&gt;SUM(Data_Analitik!$AD$2:$AD$351)),"",IFERROR(INDEX(Data_Analitik!$Z$2:$Z$351,MATCH($A356,Data_Analitik!$AE$2:$AE$351,0)),""))</f>
        <v/>
      </c>
      <c r="G356" s="97" t="str">
        <f>IF(OR($A356="",$A356&gt;SUM(Data_Analitik!$AD$2:$AD$351)),"",IFERROR(INDEX(Data_Analitik!$AA$2:$AA$351,MATCH($A356,Data_Analitik!$AE$2:$AE$351,0)),""))</f>
        <v/>
      </c>
      <c r="H356" s="100" t="str">
        <f>IF(OR($A356="",$A356&gt;SUM(Data_Analitik!$AD$2:$AD$351)),"",IFERROR(INDEX(Data_Analitik!$U$2:$U$351,MATCH($A356,Data_Analitik!$AE$2:$AE$351,0)),""))</f>
        <v/>
      </c>
      <c r="I356" s="33" t="str">
        <f>IF(OR($A356="",$A356&gt;SUM(Data_Analitik!$AD$2:$AD$351)),"",IFERROR(INDEX(Data_Analitik!$AB$2:$AB$351,MATCH($A356,Data_Analitik!$AE$2:$AE$351,0)),""))</f>
        <v/>
      </c>
    </row>
    <row r="357" spans="1:9" ht="21.95" customHeight="1" x14ac:dyDescent="0.25">
      <c r="A357" s="32">
        <f t="shared" si="5"/>
        <v>344</v>
      </c>
      <c r="B357" s="99" t="str">
        <f>IF(OR($A357="",$A357&gt;SUM(Data_Analitik!$AD$2:$AD$351)),"",IFERROR(INDEX(Data_Analitik!$B$2:$B$351,MATCH($A357,Data_Analitik!$AE$2:$AE$351,0)),""))</f>
        <v/>
      </c>
      <c r="C357" s="101" t="str">
        <f>IF(OR($A357="",$A357&gt;SUM(Data_Analitik!$AD$2:$AD$351)),"",IFERROR(INDEX(Data_Analitik!$C$2:$C$351,MATCH($A357,Data_Analitik!$AE$2:$AE$351,0)),""))</f>
        <v/>
      </c>
      <c r="D357" s="99" t="str">
        <f>IF(OR($A357="",$A357&gt;SUM(Data_Analitik!$AD$2:$AD$351)),"",IFERROR(INDEX(Data_Analitik!$D$2:$D$351,MATCH($A357,Data_Analitik!$AE$2:$AE$351,0)),""))</f>
        <v/>
      </c>
      <c r="E357" s="100" t="str">
        <f>IF(OR($A357="",$A357&gt;SUM(Data_Analitik!$AD$2:$AD$351)),"",IFERROR(INDEX(Data_Analitik!$E$2:$E$351,MATCH($A357,Data_Analitik!$AE$2:$AE$351,0)),""))</f>
        <v/>
      </c>
      <c r="F357" s="97" t="str">
        <f>IF(OR($A357="",$A357&gt;SUM(Data_Analitik!$AD$2:$AD$351)),"",IFERROR(INDEX(Data_Analitik!$Z$2:$Z$351,MATCH($A357,Data_Analitik!$AE$2:$AE$351,0)),""))</f>
        <v/>
      </c>
      <c r="G357" s="97" t="str">
        <f>IF(OR($A357="",$A357&gt;SUM(Data_Analitik!$AD$2:$AD$351)),"",IFERROR(INDEX(Data_Analitik!$AA$2:$AA$351,MATCH($A357,Data_Analitik!$AE$2:$AE$351,0)),""))</f>
        <v/>
      </c>
      <c r="H357" s="100" t="str">
        <f>IF(OR($A357="",$A357&gt;SUM(Data_Analitik!$AD$2:$AD$351)),"",IFERROR(INDEX(Data_Analitik!$U$2:$U$351,MATCH($A357,Data_Analitik!$AE$2:$AE$351,0)),""))</f>
        <v/>
      </c>
      <c r="I357" s="33" t="str">
        <f>IF(OR($A357="",$A357&gt;SUM(Data_Analitik!$AD$2:$AD$351)),"",IFERROR(INDEX(Data_Analitik!$AB$2:$AB$351,MATCH($A357,Data_Analitik!$AE$2:$AE$351,0)),""))</f>
        <v/>
      </c>
    </row>
    <row r="358" spans="1:9" ht="21.95" customHeight="1" x14ac:dyDescent="0.25">
      <c r="A358" s="32">
        <f t="shared" si="5"/>
        <v>345</v>
      </c>
      <c r="B358" s="99" t="str">
        <f>IF(OR($A358="",$A358&gt;SUM(Data_Analitik!$AD$2:$AD$351)),"",IFERROR(INDEX(Data_Analitik!$B$2:$B$351,MATCH($A358,Data_Analitik!$AE$2:$AE$351,0)),""))</f>
        <v/>
      </c>
      <c r="C358" s="101" t="str">
        <f>IF(OR($A358="",$A358&gt;SUM(Data_Analitik!$AD$2:$AD$351)),"",IFERROR(INDEX(Data_Analitik!$C$2:$C$351,MATCH($A358,Data_Analitik!$AE$2:$AE$351,0)),""))</f>
        <v/>
      </c>
      <c r="D358" s="99" t="str">
        <f>IF(OR($A358="",$A358&gt;SUM(Data_Analitik!$AD$2:$AD$351)),"",IFERROR(INDEX(Data_Analitik!$D$2:$D$351,MATCH($A358,Data_Analitik!$AE$2:$AE$351,0)),""))</f>
        <v/>
      </c>
      <c r="E358" s="100" t="str">
        <f>IF(OR($A358="",$A358&gt;SUM(Data_Analitik!$AD$2:$AD$351)),"",IFERROR(INDEX(Data_Analitik!$E$2:$E$351,MATCH($A358,Data_Analitik!$AE$2:$AE$351,0)),""))</f>
        <v/>
      </c>
      <c r="F358" s="97" t="str">
        <f>IF(OR($A358="",$A358&gt;SUM(Data_Analitik!$AD$2:$AD$351)),"",IFERROR(INDEX(Data_Analitik!$Z$2:$Z$351,MATCH($A358,Data_Analitik!$AE$2:$AE$351,0)),""))</f>
        <v/>
      </c>
      <c r="G358" s="97" t="str">
        <f>IF(OR($A358="",$A358&gt;SUM(Data_Analitik!$AD$2:$AD$351)),"",IFERROR(INDEX(Data_Analitik!$AA$2:$AA$351,MATCH($A358,Data_Analitik!$AE$2:$AE$351,0)),""))</f>
        <v/>
      </c>
      <c r="H358" s="100" t="str">
        <f>IF(OR($A358="",$A358&gt;SUM(Data_Analitik!$AD$2:$AD$351)),"",IFERROR(INDEX(Data_Analitik!$U$2:$U$351,MATCH($A358,Data_Analitik!$AE$2:$AE$351,0)),""))</f>
        <v/>
      </c>
      <c r="I358" s="33" t="str">
        <f>IF(OR($A358="",$A358&gt;SUM(Data_Analitik!$AD$2:$AD$351)),"",IFERROR(INDEX(Data_Analitik!$AB$2:$AB$351,MATCH($A358,Data_Analitik!$AE$2:$AE$351,0)),""))</f>
        <v/>
      </c>
    </row>
    <row r="359" spans="1:9" ht="21.95" customHeight="1" x14ac:dyDescent="0.25">
      <c r="A359" s="32">
        <f t="shared" si="5"/>
        <v>346</v>
      </c>
      <c r="B359" s="99" t="str">
        <f>IF(OR($A359="",$A359&gt;SUM(Data_Analitik!$AD$2:$AD$351)),"",IFERROR(INDEX(Data_Analitik!$B$2:$B$351,MATCH($A359,Data_Analitik!$AE$2:$AE$351,0)),""))</f>
        <v/>
      </c>
      <c r="C359" s="101" t="str">
        <f>IF(OR($A359="",$A359&gt;SUM(Data_Analitik!$AD$2:$AD$351)),"",IFERROR(INDEX(Data_Analitik!$C$2:$C$351,MATCH($A359,Data_Analitik!$AE$2:$AE$351,0)),""))</f>
        <v/>
      </c>
      <c r="D359" s="99" t="str">
        <f>IF(OR($A359="",$A359&gt;SUM(Data_Analitik!$AD$2:$AD$351)),"",IFERROR(INDEX(Data_Analitik!$D$2:$D$351,MATCH($A359,Data_Analitik!$AE$2:$AE$351,0)),""))</f>
        <v/>
      </c>
      <c r="E359" s="100" t="str">
        <f>IF(OR($A359="",$A359&gt;SUM(Data_Analitik!$AD$2:$AD$351)),"",IFERROR(INDEX(Data_Analitik!$E$2:$E$351,MATCH($A359,Data_Analitik!$AE$2:$AE$351,0)),""))</f>
        <v/>
      </c>
      <c r="F359" s="97" t="str">
        <f>IF(OR($A359="",$A359&gt;SUM(Data_Analitik!$AD$2:$AD$351)),"",IFERROR(INDEX(Data_Analitik!$Z$2:$Z$351,MATCH($A359,Data_Analitik!$AE$2:$AE$351,0)),""))</f>
        <v/>
      </c>
      <c r="G359" s="97" t="str">
        <f>IF(OR($A359="",$A359&gt;SUM(Data_Analitik!$AD$2:$AD$351)),"",IFERROR(INDEX(Data_Analitik!$AA$2:$AA$351,MATCH($A359,Data_Analitik!$AE$2:$AE$351,0)),""))</f>
        <v/>
      </c>
      <c r="H359" s="100" t="str">
        <f>IF(OR($A359="",$A359&gt;SUM(Data_Analitik!$AD$2:$AD$351)),"",IFERROR(INDEX(Data_Analitik!$U$2:$U$351,MATCH($A359,Data_Analitik!$AE$2:$AE$351,0)),""))</f>
        <v/>
      </c>
      <c r="I359" s="33" t="str">
        <f>IF(OR($A359="",$A359&gt;SUM(Data_Analitik!$AD$2:$AD$351)),"",IFERROR(INDEX(Data_Analitik!$AB$2:$AB$351,MATCH($A359,Data_Analitik!$AE$2:$AE$351,0)),""))</f>
        <v/>
      </c>
    </row>
    <row r="360" spans="1:9" ht="21.95" customHeight="1" x14ac:dyDescent="0.25">
      <c r="A360" s="32">
        <f t="shared" si="5"/>
        <v>347</v>
      </c>
      <c r="B360" s="99" t="str">
        <f>IF(OR($A360="",$A360&gt;SUM(Data_Analitik!$AD$2:$AD$351)),"",IFERROR(INDEX(Data_Analitik!$B$2:$B$351,MATCH($A360,Data_Analitik!$AE$2:$AE$351,0)),""))</f>
        <v/>
      </c>
      <c r="C360" s="101" t="str">
        <f>IF(OR($A360="",$A360&gt;SUM(Data_Analitik!$AD$2:$AD$351)),"",IFERROR(INDEX(Data_Analitik!$C$2:$C$351,MATCH($A360,Data_Analitik!$AE$2:$AE$351,0)),""))</f>
        <v/>
      </c>
      <c r="D360" s="99" t="str">
        <f>IF(OR($A360="",$A360&gt;SUM(Data_Analitik!$AD$2:$AD$351)),"",IFERROR(INDEX(Data_Analitik!$D$2:$D$351,MATCH($A360,Data_Analitik!$AE$2:$AE$351,0)),""))</f>
        <v/>
      </c>
      <c r="E360" s="100" t="str">
        <f>IF(OR($A360="",$A360&gt;SUM(Data_Analitik!$AD$2:$AD$351)),"",IFERROR(INDEX(Data_Analitik!$E$2:$E$351,MATCH($A360,Data_Analitik!$AE$2:$AE$351,0)),""))</f>
        <v/>
      </c>
      <c r="F360" s="97" t="str">
        <f>IF(OR($A360="",$A360&gt;SUM(Data_Analitik!$AD$2:$AD$351)),"",IFERROR(INDEX(Data_Analitik!$Z$2:$Z$351,MATCH($A360,Data_Analitik!$AE$2:$AE$351,0)),""))</f>
        <v/>
      </c>
      <c r="G360" s="97" t="str">
        <f>IF(OR($A360="",$A360&gt;SUM(Data_Analitik!$AD$2:$AD$351)),"",IFERROR(INDEX(Data_Analitik!$AA$2:$AA$351,MATCH($A360,Data_Analitik!$AE$2:$AE$351,0)),""))</f>
        <v/>
      </c>
      <c r="H360" s="100" t="str">
        <f>IF(OR($A360="",$A360&gt;SUM(Data_Analitik!$AD$2:$AD$351)),"",IFERROR(INDEX(Data_Analitik!$U$2:$U$351,MATCH($A360,Data_Analitik!$AE$2:$AE$351,0)),""))</f>
        <v/>
      </c>
      <c r="I360" s="33" t="str">
        <f>IF(OR($A360="",$A360&gt;SUM(Data_Analitik!$AD$2:$AD$351)),"",IFERROR(INDEX(Data_Analitik!$AB$2:$AB$351,MATCH($A360,Data_Analitik!$AE$2:$AE$351,0)),""))</f>
        <v/>
      </c>
    </row>
    <row r="361" spans="1:9" ht="21.95" customHeight="1" x14ac:dyDescent="0.25">
      <c r="A361" s="32">
        <f t="shared" si="5"/>
        <v>348</v>
      </c>
      <c r="B361" s="99" t="str">
        <f>IF(OR($A361="",$A361&gt;SUM(Data_Analitik!$AD$2:$AD$351)),"",IFERROR(INDEX(Data_Analitik!$B$2:$B$351,MATCH($A361,Data_Analitik!$AE$2:$AE$351,0)),""))</f>
        <v/>
      </c>
      <c r="C361" s="101" t="str">
        <f>IF(OR($A361="",$A361&gt;SUM(Data_Analitik!$AD$2:$AD$351)),"",IFERROR(INDEX(Data_Analitik!$C$2:$C$351,MATCH($A361,Data_Analitik!$AE$2:$AE$351,0)),""))</f>
        <v/>
      </c>
      <c r="D361" s="99" t="str">
        <f>IF(OR($A361="",$A361&gt;SUM(Data_Analitik!$AD$2:$AD$351)),"",IFERROR(INDEX(Data_Analitik!$D$2:$D$351,MATCH($A361,Data_Analitik!$AE$2:$AE$351,0)),""))</f>
        <v/>
      </c>
      <c r="E361" s="100" t="str">
        <f>IF(OR($A361="",$A361&gt;SUM(Data_Analitik!$AD$2:$AD$351)),"",IFERROR(INDEX(Data_Analitik!$E$2:$E$351,MATCH($A361,Data_Analitik!$AE$2:$AE$351,0)),""))</f>
        <v/>
      </c>
      <c r="F361" s="97" t="str">
        <f>IF(OR($A361="",$A361&gt;SUM(Data_Analitik!$AD$2:$AD$351)),"",IFERROR(INDEX(Data_Analitik!$Z$2:$Z$351,MATCH($A361,Data_Analitik!$AE$2:$AE$351,0)),""))</f>
        <v/>
      </c>
      <c r="G361" s="97" t="str">
        <f>IF(OR($A361="",$A361&gt;SUM(Data_Analitik!$AD$2:$AD$351)),"",IFERROR(INDEX(Data_Analitik!$AA$2:$AA$351,MATCH($A361,Data_Analitik!$AE$2:$AE$351,0)),""))</f>
        <v/>
      </c>
      <c r="H361" s="100" t="str">
        <f>IF(OR($A361="",$A361&gt;SUM(Data_Analitik!$AD$2:$AD$351)),"",IFERROR(INDEX(Data_Analitik!$U$2:$U$351,MATCH($A361,Data_Analitik!$AE$2:$AE$351,0)),""))</f>
        <v/>
      </c>
      <c r="I361" s="33" t="str">
        <f>IF(OR($A361="",$A361&gt;SUM(Data_Analitik!$AD$2:$AD$351)),"",IFERROR(INDEX(Data_Analitik!$AB$2:$AB$351,MATCH($A361,Data_Analitik!$AE$2:$AE$351,0)),""))</f>
        <v/>
      </c>
    </row>
    <row r="362" spans="1:9" ht="21.95" customHeight="1" x14ac:dyDescent="0.25">
      <c r="A362" s="32" t="str">
        <f t="shared" si="5"/>
        <v/>
      </c>
      <c r="B362" s="99" t="str">
        <f>IF(OR($A362="",$A362&gt;SUM(Data_Analitik!$AD$2:$AD$351)),"",IFERROR(INDEX(Data_Analitik!$B$2:$B$351,MATCH($A362,Data_Analitik!$AE$2:$AE$351,0)),""))</f>
        <v/>
      </c>
      <c r="C362" s="101" t="str">
        <f>IF(OR($A362="",$A362&gt;SUM(Data_Analitik!$AD$2:$AD$351)),"",IFERROR(INDEX(Data_Analitik!$C$2:$C$351,MATCH($A362,Data_Analitik!$AE$2:$AE$351,0)),""))</f>
        <v/>
      </c>
      <c r="D362" s="99" t="str">
        <f>IF(OR($A362="",$A362&gt;SUM(Data_Analitik!$AD$2:$AD$351)),"",IFERROR(INDEX(Data_Analitik!$D$2:$D$351,MATCH($A362,Data_Analitik!$AE$2:$AE$351,0)),""))</f>
        <v/>
      </c>
      <c r="E362" s="100" t="str">
        <f>IF(OR($A362="",$A362&gt;SUM(Data_Analitik!$AD$2:$AD$351)),"",IFERROR(INDEX(Data_Analitik!$E$2:$E$351,MATCH($A362,Data_Analitik!$AE$2:$AE$351,0)),""))</f>
        <v/>
      </c>
      <c r="F362" s="97" t="str">
        <f>IF(OR($A362="",$A362&gt;SUM(Data_Analitik!$AD$2:$AD$351)),"",IFERROR(INDEX(Data_Analitik!$Z$2:$Z$351,MATCH($A362,Data_Analitik!$AE$2:$AE$351,0)),""))</f>
        <v/>
      </c>
      <c r="G362" s="97" t="str">
        <f>IF(OR($A362="",$A362&gt;SUM(Data_Analitik!$AD$2:$AD$351)),"",IFERROR(INDEX(Data_Analitik!$AA$2:$AA$351,MATCH($A362,Data_Analitik!$AE$2:$AE$351,0)),""))</f>
        <v/>
      </c>
      <c r="H362" s="100" t="str">
        <f>IF(OR($A362="",$A362&gt;SUM(Data_Analitik!$AD$2:$AD$351)),"",IFERROR(INDEX(Data_Analitik!$U$2:$U$351,MATCH($A362,Data_Analitik!$AE$2:$AE$351,0)),""))</f>
        <v/>
      </c>
      <c r="I362" s="33" t="str">
        <f>IF(OR($A362="",$A362&gt;SUM(Data_Analitik!$AD$2:$AD$351)),"",IFERROR(INDEX(Data_Analitik!$AB$2:$AB$351,MATCH($A362,Data_Analitik!$AE$2:$AE$351,0)),""))</f>
        <v/>
      </c>
    </row>
    <row r="363" spans="1:9" ht="21.95" customHeight="1" x14ac:dyDescent="0.25">
      <c r="A363" s="34" t="str">
        <f t="shared" si="5"/>
        <v/>
      </c>
      <c r="B363" s="35" t="str">
        <f>IF(OR($A363="",$A363&gt;SUM(Data_Analitik!$AD$2:$AD$351)),"",IFERROR(INDEX(Data_Analitik!$B$2:$B$351,MATCH($A363,Data_Analitik!$AE$2:$AE$351,0)),""))</f>
        <v/>
      </c>
      <c r="C363" s="36" t="str">
        <f>IF(OR($A363="",$A363&gt;SUM(Data_Analitik!$AD$2:$AD$351)),"",IFERROR(INDEX(Data_Analitik!$C$2:$C$351,MATCH($A363,Data_Analitik!$AE$2:$AE$351,0)),""))</f>
        <v/>
      </c>
      <c r="D363" s="35" t="str">
        <f>IF(OR($A363="",$A363&gt;SUM(Data_Analitik!$AD$2:$AD$351)),"",IFERROR(INDEX(Data_Analitik!$D$2:$D$351,MATCH($A363,Data_Analitik!$AE$2:$AE$351,0)),""))</f>
        <v/>
      </c>
      <c r="E363" s="37" t="str">
        <f>IF(OR($A363="",$A363&gt;SUM(Data_Analitik!$AD$2:$AD$351)),"",IFERROR(INDEX(Data_Analitik!$E$2:$E$351,MATCH($A363,Data_Analitik!$AE$2:$AE$351,0)),""))</f>
        <v/>
      </c>
      <c r="F363" s="38" t="str">
        <f>IF(OR($A363="",$A363&gt;SUM(Data_Analitik!$AD$2:$AD$351)),"",IFERROR(INDEX(Data_Analitik!$Z$2:$Z$351,MATCH($A363,Data_Analitik!$AE$2:$AE$351,0)),""))</f>
        <v/>
      </c>
      <c r="G363" s="38" t="str">
        <f>IF(OR($A363="",$A363&gt;SUM(Data_Analitik!$AD$2:$AD$351)),"",IFERROR(INDEX(Data_Analitik!$AA$2:$AA$351,MATCH($A363,Data_Analitik!$AE$2:$AE$351,0)),""))</f>
        <v/>
      </c>
      <c r="H363" s="37" t="str">
        <f>IF(OR($A363="",$A363&gt;SUM(Data_Analitik!$AD$2:$AD$351)),"",IFERROR(INDEX(Data_Analitik!$U$2:$U$351,MATCH($A363,Data_Analitik!$AE$2:$AE$351,0)),""))</f>
        <v/>
      </c>
      <c r="I363" s="39" t="str">
        <f>IF(OR($A363="",$A363&gt;SUM(Data_Analitik!$AD$2:$AD$351)),"",IFERROR(INDEX(Data_Analitik!$AB$2:$AB$351,MATCH($A363,Data_Analitik!$AE$2:$AE$351,0)),""))</f>
        <v/>
      </c>
    </row>
  </sheetData>
  <mergeCells count="19">
    <mergeCell ref="A12:I12"/>
    <mergeCell ref="A46:I46"/>
    <mergeCell ref="K33:R43"/>
    <mergeCell ref="A1:S2"/>
    <mergeCell ref="A3:S3"/>
    <mergeCell ref="K46:S46"/>
    <mergeCell ref="J5:L5"/>
    <mergeCell ref="J6:L7"/>
    <mergeCell ref="D8:F8"/>
    <mergeCell ref="D9:F10"/>
    <mergeCell ref="G8:I8"/>
    <mergeCell ref="G9:I10"/>
    <mergeCell ref="J8:L8"/>
    <mergeCell ref="J9:L10"/>
    <mergeCell ref="A5:B5"/>
    <mergeCell ref="D5:F5"/>
    <mergeCell ref="D6:F7"/>
    <mergeCell ref="G5:I5"/>
    <mergeCell ref="G6:I7"/>
  </mergeCells>
  <conditionalFormatting sqref="F14:G43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H14:H43">
    <cfRule type="dataBar" priority="2">
      <dataBar>
        <cfvo type="min"/>
        <cfvo type="max"/>
        <color rgb="FFDC2626"/>
      </dataBar>
    </cfRule>
  </conditionalFormatting>
  <conditionalFormatting sqref="F14:G363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H14:H363">
    <cfRule type="dataBar" priority="4">
      <dataBar>
        <cfvo type="min"/>
        <cfvo type="max"/>
        <color rgb="FFDC2626"/>
      </dataBar>
    </cfRule>
  </conditionalFormatting>
  <conditionalFormatting sqref="H14:H43">
    <cfRule type="dataBar" priority="5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conditionalFormatting sqref="H14:H363">
    <cfRule type="dataBar" priority="6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{9FB71B9A-F398-1C5C-AB63-4C1EA09CC5DA}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H14:H43</xm:sqref>
        </x14:conditionalFormatting>
        <x14:conditionalFormatting xmlns:xm="http://schemas.microsoft.com/office/excel/2006/main">
          <x14:cfRule type="dataBar" id="{9FB71B9A-F398-1C5C-AB63-4C1EA09CC5DA}">
            <x14:dataBar>
              <x14:cfvo type="min"/>
              <x14:cfvo type="max"/>
              <x14:negativeFillColor auto="1"/>
              <x14:axisColor auto="1"/>
            </x14:dataBar>
          </x14:cfRule>
          <xm:sqref>H14:H363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Panduan!$J$2:$J$13</xm:f>
          </x14:formula1>
          <xm:sqref>B6</xm:sqref>
        </x14:dataValidation>
        <x14:dataValidation type="list" xr:uid="{00000000-0002-0000-0200-000001000000}">
          <x14:formula1>
            <xm:f>Panduan!$K$2:$K$8</xm:f>
          </x14:formula1>
          <xm:sqref>B7</xm:sqref>
        </x14:dataValidation>
        <x14:dataValidation type="list" xr:uid="{00000000-0002-0000-0200-000002000000}">
          <x14:formula1>
            <xm:f>Panduan!$L$2:$L$6</xm:f>
          </x14:formula1>
          <xm:sqref>B10</xm:sqref>
        </x14:dataValidation>
        <x14:dataValidation type="list" xr:uid="{00000000-0002-0000-0200-000003000000}">
          <x14:formula1>
            <xm:f>Panduan!$M$2:$M$3</xm:f>
          </x14:formula1>
          <xm:sqref>B9</xm:sqref>
        </x14:dataValidation>
        <x14:dataValidation type="list" xr:uid="{00000000-0002-0000-0200-000004000000}">
          <x14:formula1>
            <xm:f>Panduan!$L$2:$L$351</xm:f>
          </x14:formula1>
          <xm:sqref>B11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1"/>
  <sheetViews>
    <sheetView workbookViewId="0"/>
  </sheetViews>
  <sheetFormatPr defaultRowHeight="15" x14ac:dyDescent="0.25"/>
  <cols>
    <col min="1" max="1" width="18" customWidth="1"/>
    <col min="2" max="2" width="88" customWidth="1"/>
    <col min="10" max="13" width="22" customWidth="1"/>
  </cols>
  <sheetData>
    <row r="1" spans="1:13" x14ac:dyDescent="0.25">
      <c r="A1" s="169" t="s">
        <v>828</v>
      </c>
      <c r="B1" s="169"/>
      <c r="C1" s="169"/>
      <c r="D1" s="169"/>
      <c r="E1" s="169"/>
      <c r="F1" s="169"/>
      <c r="G1" s="169"/>
      <c r="H1" s="169"/>
      <c r="J1" s="25" t="s">
        <v>829</v>
      </c>
      <c r="K1" s="75" t="s">
        <v>830</v>
      </c>
      <c r="L1" s="75" t="s">
        <v>831</v>
      </c>
      <c r="M1" s="75" t="s">
        <v>832</v>
      </c>
    </row>
    <row r="2" spans="1:13" x14ac:dyDescent="0.25">
      <c r="A2" s="169"/>
      <c r="B2" s="169"/>
      <c r="C2" s="169"/>
      <c r="D2" s="169"/>
      <c r="E2" s="169"/>
      <c r="F2" s="169"/>
      <c r="G2" s="169"/>
      <c r="H2" s="169"/>
      <c r="J2" t="s">
        <v>809</v>
      </c>
      <c r="K2" t="s">
        <v>833</v>
      </c>
      <c r="L2">
        <v>1</v>
      </c>
      <c r="M2" t="s">
        <v>816</v>
      </c>
    </row>
    <row r="3" spans="1:13" x14ac:dyDescent="0.25">
      <c r="J3" t="s">
        <v>209</v>
      </c>
      <c r="K3" t="s">
        <v>811</v>
      </c>
      <c r="L3">
        <v>2</v>
      </c>
      <c r="M3" t="s">
        <v>834</v>
      </c>
    </row>
    <row r="4" spans="1:13" ht="44.1" customHeight="1" x14ac:dyDescent="0.25">
      <c r="A4" s="76" t="s">
        <v>835</v>
      </c>
      <c r="B4" s="22" t="s">
        <v>836</v>
      </c>
      <c r="J4" t="s">
        <v>393</v>
      </c>
      <c r="K4" t="s">
        <v>837</v>
      </c>
      <c r="L4">
        <v>3</v>
      </c>
    </row>
    <row r="5" spans="1:13" ht="44.1" customHeight="1" x14ac:dyDescent="0.25">
      <c r="A5" s="77" t="s">
        <v>838</v>
      </c>
      <c r="B5" s="23" t="s">
        <v>839</v>
      </c>
      <c r="J5" t="s">
        <v>342</v>
      </c>
      <c r="K5" t="s">
        <v>840</v>
      </c>
      <c r="L5">
        <v>4</v>
      </c>
    </row>
    <row r="6" spans="1:13" ht="44.1" customHeight="1" x14ac:dyDescent="0.25">
      <c r="A6" s="77" t="s">
        <v>810</v>
      </c>
      <c r="B6" s="23" t="s">
        <v>841</v>
      </c>
      <c r="J6" t="s">
        <v>365</v>
      </c>
      <c r="K6" t="s">
        <v>842</v>
      </c>
      <c r="L6">
        <v>5</v>
      </c>
    </row>
    <row r="7" spans="1:13" ht="44.1" customHeight="1" x14ac:dyDescent="0.25">
      <c r="A7" s="77" t="s">
        <v>815</v>
      </c>
      <c r="B7" s="23" t="s">
        <v>843</v>
      </c>
      <c r="J7" t="s">
        <v>295</v>
      </c>
      <c r="K7" t="s">
        <v>844</v>
      </c>
      <c r="L7">
        <v>6</v>
      </c>
    </row>
    <row r="8" spans="1:13" ht="44.1" customHeight="1" x14ac:dyDescent="0.25">
      <c r="A8" s="77" t="s">
        <v>845</v>
      </c>
      <c r="B8" s="23" t="s">
        <v>846</v>
      </c>
      <c r="J8" t="s">
        <v>29</v>
      </c>
      <c r="K8" t="s">
        <v>847</v>
      </c>
      <c r="L8">
        <v>7</v>
      </c>
    </row>
    <row r="9" spans="1:13" ht="44.1" customHeight="1" x14ac:dyDescent="0.25">
      <c r="A9" s="77" t="s">
        <v>848</v>
      </c>
      <c r="B9" s="23" t="s">
        <v>849</v>
      </c>
      <c r="J9" t="s">
        <v>309</v>
      </c>
      <c r="L9">
        <v>8</v>
      </c>
    </row>
    <row r="10" spans="1:13" ht="44.1" customHeight="1" x14ac:dyDescent="0.25">
      <c r="A10" s="78" t="s">
        <v>850</v>
      </c>
      <c r="B10" s="24" t="s">
        <v>851</v>
      </c>
      <c r="J10" t="s">
        <v>172</v>
      </c>
      <c r="L10">
        <v>9</v>
      </c>
    </row>
    <row r="11" spans="1:13" ht="44.1" customHeight="1" x14ac:dyDescent="0.25">
      <c r="A11" s="77" t="s">
        <v>852</v>
      </c>
      <c r="B11" s="23" t="s">
        <v>853</v>
      </c>
      <c r="J11" t="s">
        <v>249</v>
      </c>
      <c r="L11">
        <v>10</v>
      </c>
    </row>
    <row r="12" spans="1:13" ht="44.1" customHeight="1" x14ac:dyDescent="0.25">
      <c r="A12" s="77" t="s">
        <v>854</v>
      </c>
      <c r="B12" s="23" t="s">
        <v>855</v>
      </c>
      <c r="J12" t="s">
        <v>532</v>
      </c>
      <c r="L12">
        <v>11</v>
      </c>
    </row>
    <row r="13" spans="1:13" ht="44.1" customHeight="1" x14ac:dyDescent="0.25">
      <c r="A13" s="78" t="s">
        <v>856</v>
      </c>
      <c r="B13" s="24" t="s">
        <v>857</v>
      </c>
      <c r="J13" t="s">
        <v>238</v>
      </c>
      <c r="L13">
        <v>12</v>
      </c>
    </row>
    <row r="14" spans="1:13" x14ac:dyDescent="0.25">
      <c r="L14">
        <v>13</v>
      </c>
    </row>
    <row r="15" spans="1:13" x14ac:dyDescent="0.25">
      <c r="L15">
        <v>14</v>
      </c>
    </row>
    <row r="16" spans="1:13" x14ac:dyDescent="0.25">
      <c r="L16">
        <v>15</v>
      </c>
    </row>
    <row r="17" spans="10:12" x14ac:dyDescent="0.25">
      <c r="L17">
        <v>16</v>
      </c>
    </row>
    <row r="18" spans="10:12" x14ac:dyDescent="0.25">
      <c r="L18">
        <v>17</v>
      </c>
    </row>
    <row r="19" spans="10:12" x14ac:dyDescent="0.25">
      <c r="L19">
        <v>18</v>
      </c>
    </row>
    <row r="20" spans="10:12" x14ac:dyDescent="0.25">
      <c r="L20">
        <v>19</v>
      </c>
    </row>
    <row r="21" spans="10:12" x14ac:dyDescent="0.25">
      <c r="L21">
        <v>20</v>
      </c>
    </row>
    <row r="22" spans="10:12" x14ac:dyDescent="0.25">
      <c r="L22">
        <v>21</v>
      </c>
    </row>
    <row r="23" spans="10:12" x14ac:dyDescent="0.25">
      <c r="L23">
        <v>22</v>
      </c>
    </row>
    <row r="24" spans="10:12" x14ac:dyDescent="0.25">
      <c r="L24">
        <v>23</v>
      </c>
    </row>
    <row r="25" spans="10:12" x14ac:dyDescent="0.25">
      <c r="L25">
        <v>24</v>
      </c>
    </row>
    <row r="26" spans="10:12" x14ac:dyDescent="0.25">
      <c r="L26">
        <v>25</v>
      </c>
    </row>
    <row r="27" spans="10:12" x14ac:dyDescent="0.25">
      <c r="L27">
        <v>26</v>
      </c>
    </row>
    <row r="28" spans="10:12" x14ac:dyDescent="0.25">
      <c r="L28">
        <v>27</v>
      </c>
    </row>
    <row r="29" spans="10:12" x14ac:dyDescent="0.25">
      <c r="L29">
        <v>28</v>
      </c>
    </row>
    <row r="30" spans="10:12" x14ac:dyDescent="0.25">
      <c r="L30">
        <v>29</v>
      </c>
    </row>
    <row r="31" spans="10:12" x14ac:dyDescent="0.25">
      <c r="J31" t="s">
        <v>142</v>
      </c>
      <c r="L31">
        <v>30</v>
      </c>
    </row>
    <row r="32" spans="10:12" x14ac:dyDescent="0.25">
      <c r="J32" t="s">
        <v>128</v>
      </c>
      <c r="L32">
        <v>31</v>
      </c>
    </row>
    <row r="33" spans="10:12" x14ac:dyDescent="0.25">
      <c r="J33" t="s">
        <v>131</v>
      </c>
      <c r="L33">
        <v>32</v>
      </c>
    </row>
    <row r="34" spans="10:12" x14ac:dyDescent="0.25">
      <c r="J34" t="s">
        <v>238</v>
      </c>
      <c r="L34">
        <v>33</v>
      </c>
    </row>
    <row r="35" spans="10:12" x14ac:dyDescent="0.25">
      <c r="L35">
        <v>34</v>
      </c>
    </row>
    <row r="36" spans="10:12" x14ac:dyDescent="0.25">
      <c r="L36">
        <v>35</v>
      </c>
    </row>
    <row r="37" spans="10:12" x14ac:dyDescent="0.25">
      <c r="L37">
        <v>36</v>
      </c>
    </row>
    <row r="38" spans="10:12" x14ac:dyDescent="0.25">
      <c r="L38">
        <v>37</v>
      </c>
    </row>
    <row r="39" spans="10:12" x14ac:dyDescent="0.25">
      <c r="L39">
        <v>38</v>
      </c>
    </row>
    <row r="40" spans="10:12" x14ac:dyDescent="0.25">
      <c r="L40">
        <v>39</v>
      </c>
    </row>
    <row r="41" spans="10:12" x14ac:dyDescent="0.25">
      <c r="L41">
        <v>40</v>
      </c>
    </row>
    <row r="42" spans="10:12" x14ac:dyDescent="0.25">
      <c r="L42">
        <v>41</v>
      </c>
    </row>
    <row r="43" spans="10:12" x14ac:dyDescent="0.25">
      <c r="L43">
        <v>42</v>
      </c>
    </row>
    <row r="44" spans="10:12" x14ac:dyDescent="0.25">
      <c r="L44">
        <v>43</v>
      </c>
    </row>
    <row r="45" spans="10:12" x14ac:dyDescent="0.25">
      <c r="L45">
        <v>44</v>
      </c>
    </row>
    <row r="46" spans="10:12" x14ac:dyDescent="0.25">
      <c r="L46">
        <v>45</v>
      </c>
    </row>
    <row r="47" spans="10:12" x14ac:dyDescent="0.25">
      <c r="L47">
        <v>46</v>
      </c>
    </row>
    <row r="48" spans="10:12" x14ac:dyDescent="0.25">
      <c r="L48">
        <v>47</v>
      </c>
    </row>
    <row r="49" spans="12:12" x14ac:dyDescent="0.25">
      <c r="L49">
        <v>48</v>
      </c>
    </row>
    <row r="50" spans="12:12" x14ac:dyDescent="0.25">
      <c r="L50">
        <v>49</v>
      </c>
    </row>
    <row r="51" spans="12:12" x14ac:dyDescent="0.25">
      <c r="L51">
        <v>50</v>
      </c>
    </row>
    <row r="52" spans="12:12" x14ac:dyDescent="0.25">
      <c r="L52">
        <v>51</v>
      </c>
    </row>
    <row r="53" spans="12:12" x14ac:dyDescent="0.25">
      <c r="L53">
        <v>52</v>
      </c>
    </row>
    <row r="54" spans="12:12" x14ac:dyDescent="0.25">
      <c r="L54">
        <v>53</v>
      </c>
    </row>
    <row r="55" spans="12:12" x14ac:dyDescent="0.25">
      <c r="L55">
        <v>54</v>
      </c>
    </row>
    <row r="56" spans="12:12" x14ac:dyDescent="0.25">
      <c r="L56">
        <v>55</v>
      </c>
    </row>
    <row r="57" spans="12:12" x14ac:dyDescent="0.25">
      <c r="L57">
        <v>56</v>
      </c>
    </row>
    <row r="58" spans="12:12" x14ac:dyDescent="0.25">
      <c r="L58">
        <v>57</v>
      </c>
    </row>
    <row r="59" spans="12:12" x14ac:dyDescent="0.25">
      <c r="L59">
        <v>58</v>
      </c>
    </row>
    <row r="60" spans="12:12" x14ac:dyDescent="0.25">
      <c r="L60">
        <v>59</v>
      </c>
    </row>
    <row r="61" spans="12:12" x14ac:dyDescent="0.25">
      <c r="L61">
        <v>60</v>
      </c>
    </row>
    <row r="62" spans="12:12" x14ac:dyDescent="0.25">
      <c r="L62">
        <v>61</v>
      </c>
    </row>
    <row r="63" spans="12:12" x14ac:dyDescent="0.25">
      <c r="L63">
        <v>62</v>
      </c>
    </row>
    <row r="64" spans="12:12" x14ac:dyDescent="0.25">
      <c r="L64">
        <v>63</v>
      </c>
    </row>
    <row r="65" spans="12:12" x14ac:dyDescent="0.25">
      <c r="L65">
        <v>64</v>
      </c>
    </row>
    <row r="66" spans="12:12" x14ac:dyDescent="0.25">
      <c r="L66">
        <v>65</v>
      </c>
    </row>
    <row r="67" spans="12:12" x14ac:dyDescent="0.25">
      <c r="L67">
        <v>66</v>
      </c>
    </row>
    <row r="68" spans="12:12" x14ac:dyDescent="0.25">
      <c r="L68">
        <v>67</v>
      </c>
    </row>
    <row r="69" spans="12:12" x14ac:dyDescent="0.25">
      <c r="L69">
        <v>68</v>
      </c>
    </row>
    <row r="70" spans="12:12" x14ac:dyDescent="0.25">
      <c r="L70">
        <v>69</v>
      </c>
    </row>
    <row r="71" spans="12:12" x14ac:dyDescent="0.25">
      <c r="L71">
        <v>70</v>
      </c>
    </row>
    <row r="72" spans="12:12" x14ac:dyDescent="0.25">
      <c r="L72">
        <v>71</v>
      </c>
    </row>
    <row r="73" spans="12:12" x14ac:dyDescent="0.25">
      <c r="L73">
        <v>72</v>
      </c>
    </row>
    <row r="74" spans="12:12" x14ac:dyDescent="0.25">
      <c r="L74">
        <v>73</v>
      </c>
    </row>
    <row r="75" spans="12:12" x14ac:dyDescent="0.25">
      <c r="L75">
        <v>74</v>
      </c>
    </row>
    <row r="76" spans="12:12" x14ac:dyDescent="0.25">
      <c r="L76">
        <v>75</v>
      </c>
    </row>
    <row r="77" spans="12:12" x14ac:dyDescent="0.25">
      <c r="L77">
        <v>76</v>
      </c>
    </row>
    <row r="78" spans="12:12" x14ac:dyDescent="0.25">
      <c r="L78">
        <v>77</v>
      </c>
    </row>
    <row r="79" spans="12:12" x14ac:dyDescent="0.25">
      <c r="L79">
        <v>78</v>
      </c>
    </row>
    <row r="80" spans="12:12" x14ac:dyDescent="0.25">
      <c r="L80">
        <v>79</v>
      </c>
    </row>
    <row r="81" spans="12:12" x14ac:dyDescent="0.25">
      <c r="L81">
        <v>80</v>
      </c>
    </row>
    <row r="82" spans="12:12" x14ac:dyDescent="0.25">
      <c r="L82">
        <v>81</v>
      </c>
    </row>
    <row r="83" spans="12:12" x14ac:dyDescent="0.25">
      <c r="L83">
        <v>82</v>
      </c>
    </row>
    <row r="84" spans="12:12" x14ac:dyDescent="0.25">
      <c r="L84">
        <v>83</v>
      </c>
    </row>
    <row r="85" spans="12:12" x14ac:dyDescent="0.25">
      <c r="L85">
        <v>84</v>
      </c>
    </row>
    <row r="86" spans="12:12" x14ac:dyDescent="0.25">
      <c r="L86">
        <v>85</v>
      </c>
    </row>
    <row r="87" spans="12:12" x14ac:dyDescent="0.25">
      <c r="L87">
        <v>86</v>
      </c>
    </row>
    <row r="88" spans="12:12" x14ac:dyDescent="0.25">
      <c r="L88">
        <v>87</v>
      </c>
    </row>
    <row r="89" spans="12:12" x14ac:dyDescent="0.25">
      <c r="L89">
        <v>88</v>
      </c>
    </row>
    <row r="90" spans="12:12" x14ac:dyDescent="0.25">
      <c r="L90">
        <v>89</v>
      </c>
    </row>
    <row r="91" spans="12:12" x14ac:dyDescent="0.25">
      <c r="L91">
        <v>90</v>
      </c>
    </row>
    <row r="92" spans="12:12" x14ac:dyDescent="0.25">
      <c r="L92">
        <v>91</v>
      </c>
    </row>
    <row r="93" spans="12:12" x14ac:dyDescent="0.25">
      <c r="L93">
        <v>92</v>
      </c>
    </row>
    <row r="94" spans="12:12" x14ac:dyDescent="0.25">
      <c r="L94">
        <v>93</v>
      </c>
    </row>
    <row r="95" spans="12:12" x14ac:dyDescent="0.25">
      <c r="L95">
        <v>94</v>
      </c>
    </row>
    <row r="96" spans="12:12" x14ac:dyDescent="0.25">
      <c r="L96">
        <v>95</v>
      </c>
    </row>
    <row r="97" spans="12:12" x14ac:dyDescent="0.25">
      <c r="L97">
        <v>96</v>
      </c>
    </row>
    <row r="98" spans="12:12" x14ac:dyDescent="0.25">
      <c r="L98">
        <v>97</v>
      </c>
    </row>
    <row r="99" spans="12:12" x14ac:dyDescent="0.25">
      <c r="L99">
        <v>98</v>
      </c>
    </row>
    <row r="100" spans="12:12" x14ac:dyDescent="0.25">
      <c r="L100">
        <v>99</v>
      </c>
    </row>
    <row r="101" spans="12:12" x14ac:dyDescent="0.25">
      <c r="L101">
        <v>100</v>
      </c>
    </row>
    <row r="102" spans="12:12" x14ac:dyDescent="0.25">
      <c r="L102">
        <v>101</v>
      </c>
    </row>
    <row r="103" spans="12:12" x14ac:dyDescent="0.25">
      <c r="L103">
        <v>102</v>
      </c>
    </row>
    <row r="104" spans="12:12" x14ac:dyDescent="0.25">
      <c r="L104">
        <v>103</v>
      </c>
    </row>
    <row r="105" spans="12:12" x14ac:dyDescent="0.25">
      <c r="L105">
        <v>104</v>
      </c>
    </row>
    <row r="106" spans="12:12" x14ac:dyDescent="0.25">
      <c r="L106">
        <v>105</v>
      </c>
    </row>
    <row r="107" spans="12:12" x14ac:dyDescent="0.25">
      <c r="L107">
        <v>106</v>
      </c>
    </row>
    <row r="108" spans="12:12" x14ac:dyDescent="0.25">
      <c r="L108">
        <v>107</v>
      </c>
    </row>
    <row r="109" spans="12:12" x14ac:dyDescent="0.25">
      <c r="L109">
        <v>108</v>
      </c>
    </row>
    <row r="110" spans="12:12" x14ac:dyDescent="0.25">
      <c r="L110">
        <v>109</v>
      </c>
    </row>
    <row r="111" spans="12:12" x14ac:dyDescent="0.25">
      <c r="L111">
        <v>110</v>
      </c>
    </row>
    <row r="112" spans="12:12" x14ac:dyDescent="0.25">
      <c r="L112">
        <v>111</v>
      </c>
    </row>
    <row r="113" spans="12:12" x14ac:dyDescent="0.25">
      <c r="L113">
        <v>112</v>
      </c>
    </row>
    <row r="114" spans="12:12" x14ac:dyDescent="0.25">
      <c r="L114">
        <v>113</v>
      </c>
    </row>
    <row r="115" spans="12:12" x14ac:dyDescent="0.25">
      <c r="L115">
        <v>114</v>
      </c>
    </row>
    <row r="116" spans="12:12" x14ac:dyDescent="0.25">
      <c r="L116">
        <v>115</v>
      </c>
    </row>
    <row r="117" spans="12:12" x14ac:dyDescent="0.25">
      <c r="L117">
        <v>116</v>
      </c>
    </row>
    <row r="118" spans="12:12" x14ac:dyDescent="0.25">
      <c r="L118">
        <v>117</v>
      </c>
    </row>
    <row r="119" spans="12:12" x14ac:dyDescent="0.25">
      <c r="L119">
        <v>118</v>
      </c>
    </row>
    <row r="120" spans="12:12" x14ac:dyDescent="0.25">
      <c r="L120">
        <v>119</v>
      </c>
    </row>
    <row r="121" spans="12:12" x14ac:dyDescent="0.25">
      <c r="L121">
        <v>120</v>
      </c>
    </row>
    <row r="122" spans="12:12" x14ac:dyDescent="0.25">
      <c r="L122">
        <v>121</v>
      </c>
    </row>
    <row r="123" spans="12:12" x14ac:dyDescent="0.25">
      <c r="L123">
        <v>122</v>
      </c>
    </row>
    <row r="124" spans="12:12" x14ac:dyDescent="0.25">
      <c r="L124">
        <v>123</v>
      </c>
    </row>
    <row r="125" spans="12:12" x14ac:dyDescent="0.25">
      <c r="L125">
        <v>124</v>
      </c>
    </row>
    <row r="126" spans="12:12" x14ac:dyDescent="0.25">
      <c r="L126">
        <v>125</v>
      </c>
    </row>
    <row r="127" spans="12:12" x14ac:dyDescent="0.25">
      <c r="L127">
        <v>126</v>
      </c>
    </row>
    <row r="128" spans="12:12" x14ac:dyDescent="0.25">
      <c r="L128">
        <v>127</v>
      </c>
    </row>
    <row r="129" spans="12:12" x14ac:dyDescent="0.25">
      <c r="L129">
        <v>128</v>
      </c>
    </row>
    <row r="130" spans="12:12" x14ac:dyDescent="0.25">
      <c r="L130">
        <v>129</v>
      </c>
    </row>
    <row r="131" spans="12:12" x14ac:dyDescent="0.25">
      <c r="L131">
        <v>130</v>
      </c>
    </row>
    <row r="132" spans="12:12" x14ac:dyDescent="0.25">
      <c r="L132">
        <v>131</v>
      </c>
    </row>
    <row r="133" spans="12:12" x14ac:dyDescent="0.25">
      <c r="L133">
        <v>132</v>
      </c>
    </row>
    <row r="134" spans="12:12" x14ac:dyDescent="0.25">
      <c r="L134">
        <v>133</v>
      </c>
    </row>
    <row r="135" spans="12:12" x14ac:dyDescent="0.25">
      <c r="L135">
        <v>134</v>
      </c>
    </row>
    <row r="136" spans="12:12" x14ac:dyDescent="0.25">
      <c r="L136">
        <v>135</v>
      </c>
    </row>
    <row r="137" spans="12:12" x14ac:dyDescent="0.25">
      <c r="L137">
        <v>136</v>
      </c>
    </row>
    <row r="138" spans="12:12" x14ac:dyDescent="0.25">
      <c r="L138">
        <v>137</v>
      </c>
    </row>
    <row r="139" spans="12:12" x14ac:dyDescent="0.25">
      <c r="L139">
        <v>138</v>
      </c>
    </row>
    <row r="140" spans="12:12" x14ac:dyDescent="0.25">
      <c r="L140">
        <v>139</v>
      </c>
    </row>
    <row r="141" spans="12:12" x14ac:dyDescent="0.25">
      <c r="L141">
        <v>140</v>
      </c>
    </row>
    <row r="142" spans="12:12" x14ac:dyDescent="0.25">
      <c r="L142">
        <v>141</v>
      </c>
    </row>
    <row r="143" spans="12:12" x14ac:dyDescent="0.25">
      <c r="L143">
        <v>142</v>
      </c>
    </row>
    <row r="144" spans="12:12" x14ac:dyDescent="0.25">
      <c r="L144">
        <v>143</v>
      </c>
    </row>
    <row r="145" spans="12:12" x14ac:dyDescent="0.25">
      <c r="L145">
        <v>144</v>
      </c>
    </row>
    <row r="146" spans="12:12" x14ac:dyDescent="0.25">
      <c r="L146">
        <v>145</v>
      </c>
    </row>
    <row r="147" spans="12:12" x14ac:dyDescent="0.25">
      <c r="L147">
        <v>146</v>
      </c>
    </row>
    <row r="148" spans="12:12" x14ac:dyDescent="0.25">
      <c r="L148">
        <v>147</v>
      </c>
    </row>
    <row r="149" spans="12:12" x14ac:dyDescent="0.25">
      <c r="L149">
        <v>148</v>
      </c>
    </row>
    <row r="150" spans="12:12" x14ac:dyDescent="0.25">
      <c r="L150">
        <v>149</v>
      </c>
    </row>
    <row r="151" spans="12:12" x14ac:dyDescent="0.25">
      <c r="L151">
        <v>150</v>
      </c>
    </row>
    <row r="152" spans="12:12" x14ac:dyDescent="0.25">
      <c r="L152">
        <v>151</v>
      </c>
    </row>
    <row r="153" spans="12:12" x14ac:dyDescent="0.25">
      <c r="L153">
        <v>152</v>
      </c>
    </row>
    <row r="154" spans="12:12" x14ac:dyDescent="0.25">
      <c r="L154">
        <v>153</v>
      </c>
    </row>
    <row r="155" spans="12:12" x14ac:dyDescent="0.25">
      <c r="L155">
        <v>154</v>
      </c>
    </row>
    <row r="156" spans="12:12" x14ac:dyDescent="0.25">
      <c r="L156">
        <v>155</v>
      </c>
    </row>
    <row r="157" spans="12:12" x14ac:dyDescent="0.25">
      <c r="L157">
        <v>156</v>
      </c>
    </row>
    <row r="158" spans="12:12" x14ac:dyDescent="0.25">
      <c r="L158">
        <v>157</v>
      </c>
    </row>
    <row r="159" spans="12:12" x14ac:dyDescent="0.25">
      <c r="L159">
        <v>158</v>
      </c>
    </row>
    <row r="160" spans="12:12" x14ac:dyDescent="0.25">
      <c r="L160">
        <v>159</v>
      </c>
    </row>
    <row r="161" spans="12:12" x14ac:dyDescent="0.25">
      <c r="L161">
        <v>160</v>
      </c>
    </row>
    <row r="162" spans="12:12" x14ac:dyDescent="0.25">
      <c r="L162">
        <v>161</v>
      </c>
    </row>
    <row r="163" spans="12:12" x14ac:dyDescent="0.25">
      <c r="L163">
        <v>162</v>
      </c>
    </row>
    <row r="164" spans="12:12" x14ac:dyDescent="0.25">
      <c r="L164">
        <v>163</v>
      </c>
    </row>
    <row r="165" spans="12:12" x14ac:dyDescent="0.25">
      <c r="L165">
        <v>164</v>
      </c>
    </row>
    <row r="166" spans="12:12" x14ac:dyDescent="0.25">
      <c r="L166">
        <v>165</v>
      </c>
    </row>
    <row r="167" spans="12:12" x14ac:dyDescent="0.25">
      <c r="L167">
        <v>166</v>
      </c>
    </row>
    <row r="168" spans="12:12" x14ac:dyDescent="0.25">
      <c r="L168">
        <v>167</v>
      </c>
    </row>
    <row r="169" spans="12:12" x14ac:dyDescent="0.25">
      <c r="L169">
        <v>168</v>
      </c>
    </row>
    <row r="170" spans="12:12" x14ac:dyDescent="0.25">
      <c r="L170">
        <v>169</v>
      </c>
    </row>
    <row r="171" spans="12:12" x14ac:dyDescent="0.25">
      <c r="L171">
        <v>170</v>
      </c>
    </row>
    <row r="172" spans="12:12" x14ac:dyDescent="0.25">
      <c r="L172">
        <v>171</v>
      </c>
    </row>
    <row r="173" spans="12:12" x14ac:dyDescent="0.25">
      <c r="L173">
        <v>172</v>
      </c>
    </row>
    <row r="174" spans="12:12" x14ac:dyDescent="0.25">
      <c r="L174">
        <v>173</v>
      </c>
    </row>
    <row r="175" spans="12:12" x14ac:dyDescent="0.25">
      <c r="L175">
        <v>174</v>
      </c>
    </row>
    <row r="176" spans="12:12" x14ac:dyDescent="0.25">
      <c r="L176">
        <v>175</v>
      </c>
    </row>
    <row r="177" spans="12:12" x14ac:dyDescent="0.25">
      <c r="L177">
        <v>176</v>
      </c>
    </row>
    <row r="178" spans="12:12" x14ac:dyDescent="0.25">
      <c r="L178">
        <v>177</v>
      </c>
    </row>
    <row r="179" spans="12:12" x14ac:dyDescent="0.25">
      <c r="L179">
        <v>178</v>
      </c>
    </row>
    <row r="180" spans="12:12" x14ac:dyDescent="0.25">
      <c r="L180">
        <v>179</v>
      </c>
    </row>
    <row r="181" spans="12:12" x14ac:dyDescent="0.25">
      <c r="L181">
        <v>180</v>
      </c>
    </row>
    <row r="182" spans="12:12" x14ac:dyDescent="0.25">
      <c r="L182">
        <v>181</v>
      </c>
    </row>
    <row r="183" spans="12:12" x14ac:dyDescent="0.25">
      <c r="L183">
        <v>182</v>
      </c>
    </row>
    <row r="184" spans="12:12" x14ac:dyDescent="0.25">
      <c r="L184">
        <v>183</v>
      </c>
    </row>
    <row r="185" spans="12:12" x14ac:dyDescent="0.25">
      <c r="L185">
        <v>184</v>
      </c>
    </row>
    <row r="186" spans="12:12" x14ac:dyDescent="0.25">
      <c r="L186">
        <v>185</v>
      </c>
    </row>
    <row r="187" spans="12:12" x14ac:dyDescent="0.25">
      <c r="L187">
        <v>186</v>
      </c>
    </row>
    <row r="188" spans="12:12" x14ac:dyDescent="0.25">
      <c r="L188">
        <v>187</v>
      </c>
    </row>
    <row r="189" spans="12:12" x14ac:dyDescent="0.25">
      <c r="L189">
        <v>188</v>
      </c>
    </row>
    <row r="190" spans="12:12" x14ac:dyDescent="0.25">
      <c r="L190">
        <v>189</v>
      </c>
    </row>
    <row r="191" spans="12:12" x14ac:dyDescent="0.25">
      <c r="L191">
        <v>190</v>
      </c>
    </row>
    <row r="192" spans="12:12" x14ac:dyDescent="0.25">
      <c r="L192">
        <v>191</v>
      </c>
    </row>
    <row r="193" spans="12:12" x14ac:dyDescent="0.25">
      <c r="L193">
        <v>192</v>
      </c>
    </row>
    <row r="194" spans="12:12" x14ac:dyDescent="0.25">
      <c r="L194">
        <v>193</v>
      </c>
    </row>
    <row r="195" spans="12:12" x14ac:dyDescent="0.25">
      <c r="L195">
        <v>194</v>
      </c>
    </row>
    <row r="196" spans="12:12" x14ac:dyDescent="0.25">
      <c r="L196">
        <v>195</v>
      </c>
    </row>
    <row r="197" spans="12:12" x14ac:dyDescent="0.25">
      <c r="L197">
        <v>196</v>
      </c>
    </row>
    <row r="198" spans="12:12" x14ac:dyDescent="0.25">
      <c r="L198">
        <v>197</v>
      </c>
    </row>
    <row r="199" spans="12:12" x14ac:dyDescent="0.25">
      <c r="L199">
        <v>198</v>
      </c>
    </row>
    <row r="200" spans="12:12" x14ac:dyDescent="0.25">
      <c r="L200">
        <v>199</v>
      </c>
    </row>
    <row r="201" spans="12:12" x14ac:dyDescent="0.25">
      <c r="L201">
        <v>200</v>
      </c>
    </row>
    <row r="202" spans="12:12" x14ac:dyDescent="0.25">
      <c r="L202">
        <v>201</v>
      </c>
    </row>
    <row r="203" spans="12:12" x14ac:dyDescent="0.25">
      <c r="L203">
        <v>202</v>
      </c>
    </row>
    <row r="204" spans="12:12" x14ac:dyDescent="0.25">
      <c r="L204">
        <v>203</v>
      </c>
    </row>
    <row r="205" spans="12:12" x14ac:dyDescent="0.25">
      <c r="L205">
        <v>204</v>
      </c>
    </row>
    <row r="206" spans="12:12" x14ac:dyDescent="0.25">
      <c r="L206">
        <v>205</v>
      </c>
    </row>
    <row r="207" spans="12:12" x14ac:dyDescent="0.25">
      <c r="L207">
        <v>206</v>
      </c>
    </row>
    <row r="208" spans="12:12" x14ac:dyDescent="0.25">
      <c r="L208">
        <v>207</v>
      </c>
    </row>
    <row r="209" spans="12:12" x14ac:dyDescent="0.25">
      <c r="L209">
        <v>208</v>
      </c>
    </row>
    <row r="210" spans="12:12" x14ac:dyDescent="0.25">
      <c r="L210">
        <v>209</v>
      </c>
    </row>
    <row r="211" spans="12:12" x14ac:dyDescent="0.25">
      <c r="L211">
        <v>210</v>
      </c>
    </row>
    <row r="212" spans="12:12" x14ac:dyDescent="0.25">
      <c r="L212">
        <v>211</v>
      </c>
    </row>
    <row r="213" spans="12:12" x14ac:dyDescent="0.25">
      <c r="L213">
        <v>212</v>
      </c>
    </row>
    <row r="214" spans="12:12" x14ac:dyDescent="0.25">
      <c r="L214">
        <v>213</v>
      </c>
    </row>
    <row r="215" spans="12:12" x14ac:dyDescent="0.25">
      <c r="L215">
        <v>214</v>
      </c>
    </row>
    <row r="216" spans="12:12" x14ac:dyDescent="0.25">
      <c r="L216">
        <v>215</v>
      </c>
    </row>
    <row r="217" spans="12:12" x14ac:dyDescent="0.25">
      <c r="L217">
        <v>216</v>
      </c>
    </row>
    <row r="218" spans="12:12" x14ac:dyDescent="0.25">
      <c r="L218">
        <v>217</v>
      </c>
    </row>
    <row r="219" spans="12:12" x14ac:dyDescent="0.25">
      <c r="L219">
        <v>218</v>
      </c>
    </row>
    <row r="220" spans="12:12" x14ac:dyDescent="0.25">
      <c r="L220">
        <v>219</v>
      </c>
    </row>
    <row r="221" spans="12:12" x14ac:dyDescent="0.25">
      <c r="L221">
        <v>220</v>
      </c>
    </row>
    <row r="222" spans="12:12" x14ac:dyDescent="0.25">
      <c r="L222">
        <v>221</v>
      </c>
    </row>
    <row r="223" spans="12:12" x14ac:dyDescent="0.25">
      <c r="L223">
        <v>222</v>
      </c>
    </row>
    <row r="224" spans="12:12" x14ac:dyDescent="0.25">
      <c r="L224">
        <v>223</v>
      </c>
    </row>
    <row r="225" spans="12:12" x14ac:dyDescent="0.25">
      <c r="L225">
        <v>224</v>
      </c>
    </row>
    <row r="226" spans="12:12" x14ac:dyDescent="0.25">
      <c r="L226">
        <v>225</v>
      </c>
    </row>
    <row r="227" spans="12:12" x14ac:dyDescent="0.25">
      <c r="L227">
        <v>226</v>
      </c>
    </row>
    <row r="228" spans="12:12" x14ac:dyDescent="0.25">
      <c r="L228">
        <v>227</v>
      </c>
    </row>
    <row r="229" spans="12:12" x14ac:dyDescent="0.25">
      <c r="L229">
        <v>228</v>
      </c>
    </row>
    <row r="230" spans="12:12" x14ac:dyDescent="0.25">
      <c r="L230">
        <v>229</v>
      </c>
    </row>
    <row r="231" spans="12:12" x14ac:dyDescent="0.25">
      <c r="L231">
        <v>230</v>
      </c>
    </row>
    <row r="232" spans="12:12" x14ac:dyDescent="0.25">
      <c r="L232">
        <v>231</v>
      </c>
    </row>
    <row r="233" spans="12:12" x14ac:dyDescent="0.25">
      <c r="L233">
        <v>232</v>
      </c>
    </row>
    <row r="234" spans="12:12" x14ac:dyDescent="0.25">
      <c r="L234">
        <v>233</v>
      </c>
    </row>
    <row r="235" spans="12:12" x14ac:dyDescent="0.25">
      <c r="L235">
        <v>234</v>
      </c>
    </row>
    <row r="236" spans="12:12" x14ac:dyDescent="0.25">
      <c r="L236">
        <v>235</v>
      </c>
    </row>
    <row r="237" spans="12:12" x14ac:dyDescent="0.25">
      <c r="L237">
        <v>236</v>
      </c>
    </row>
    <row r="238" spans="12:12" x14ac:dyDescent="0.25">
      <c r="L238">
        <v>237</v>
      </c>
    </row>
    <row r="239" spans="12:12" x14ac:dyDescent="0.25">
      <c r="L239">
        <v>238</v>
      </c>
    </row>
    <row r="240" spans="12:12" x14ac:dyDescent="0.25">
      <c r="L240">
        <v>239</v>
      </c>
    </row>
    <row r="241" spans="12:12" x14ac:dyDescent="0.25">
      <c r="L241">
        <v>240</v>
      </c>
    </row>
    <row r="242" spans="12:12" x14ac:dyDescent="0.25">
      <c r="L242">
        <v>241</v>
      </c>
    </row>
    <row r="243" spans="12:12" x14ac:dyDescent="0.25">
      <c r="L243">
        <v>242</v>
      </c>
    </row>
    <row r="244" spans="12:12" x14ac:dyDescent="0.25">
      <c r="L244">
        <v>243</v>
      </c>
    </row>
    <row r="245" spans="12:12" x14ac:dyDescent="0.25">
      <c r="L245">
        <v>244</v>
      </c>
    </row>
    <row r="246" spans="12:12" x14ac:dyDescent="0.25">
      <c r="L246">
        <v>245</v>
      </c>
    </row>
    <row r="247" spans="12:12" x14ac:dyDescent="0.25">
      <c r="L247">
        <v>246</v>
      </c>
    </row>
    <row r="248" spans="12:12" x14ac:dyDescent="0.25">
      <c r="L248">
        <v>247</v>
      </c>
    </row>
    <row r="249" spans="12:12" x14ac:dyDescent="0.25">
      <c r="L249">
        <v>248</v>
      </c>
    </row>
    <row r="250" spans="12:12" x14ac:dyDescent="0.25">
      <c r="L250">
        <v>249</v>
      </c>
    </row>
    <row r="251" spans="12:12" x14ac:dyDescent="0.25">
      <c r="L251">
        <v>250</v>
      </c>
    </row>
    <row r="252" spans="12:12" x14ac:dyDescent="0.25">
      <c r="L252">
        <v>251</v>
      </c>
    </row>
    <row r="253" spans="12:12" x14ac:dyDescent="0.25">
      <c r="L253">
        <v>252</v>
      </c>
    </row>
    <row r="254" spans="12:12" x14ac:dyDescent="0.25">
      <c r="L254">
        <v>253</v>
      </c>
    </row>
    <row r="255" spans="12:12" x14ac:dyDescent="0.25">
      <c r="L255">
        <v>254</v>
      </c>
    </row>
    <row r="256" spans="12:12" x14ac:dyDescent="0.25">
      <c r="L256">
        <v>255</v>
      </c>
    </row>
    <row r="257" spans="12:12" x14ac:dyDescent="0.25">
      <c r="L257">
        <v>256</v>
      </c>
    </row>
    <row r="258" spans="12:12" x14ac:dyDescent="0.25">
      <c r="L258">
        <v>257</v>
      </c>
    </row>
    <row r="259" spans="12:12" x14ac:dyDescent="0.25">
      <c r="L259">
        <v>258</v>
      </c>
    </row>
    <row r="260" spans="12:12" x14ac:dyDescent="0.25">
      <c r="L260">
        <v>259</v>
      </c>
    </row>
    <row r="261" spans="12:12" x14ac:dyDescent="0.25">
      <c r="L261">
        <v>260</v>
      </c>
    </row>
    <row r="262" spans="12:12" x14ac:dyDescent="0.25">
      <c r="L262">
        <v>261</v>
      </c>
    </row>
    <row r="263" spans="12:12" x14ac:dyDescent="0.25">
      <c r="L263">
        <v>262</v>
      </c>
    </row>
    <row r="264" spans="12:12" x14ac:dyDescent="0.25">
      <c r="L264">
        <v>263</v>
      </c>
    </row>
    <row r="265" spans="12:12" x14ac:dyDescent="0.25">
      <c r="L265">
        <v>264</v>
      </c>
    </row>
    <row r="266" spans="12:12" x14ac:dyDescent="0.25">
      <c r="L266">
        <v>265</v>
      </c>
    </row>
    <row r="267" spans="12:12" x14ac:dyDescent="0.25">
      <c r="L267">
        <v>266</v>
      </c>
    </row>
    <row r="268" spans="12:12" x14ac:dyDescent="0.25">
      <c r="L268">
        <v>267</v>
      </c>
    </row>
    <row r="269" spans="12:12" x14ac:dyDescent="0.25">
      <c r="L269">
        <v>268</v>
      </c>
    </row>
    <row r="270" spans="12:12" x14ac:dyDescent="0.25">
      <c r="L270">
        <v>269</v>
      </c>
    </row>
    <row r="271" spans="12:12" x14ac:dyDescent="0.25">
      <c r="L271">
        <v>270</v>
      </c>
    </row>
    <row r="272" spans="12:12" x14ac:dyDescent="0.25">
      <c r="L272">
        <v>271</v>
      </c>
    </row>
    <row r="273" spans="12:12" x14ac:dyDescent="0.25">
      <c r="L273">
        <v>272</v>
      </c>
    </row>
    <row r="274" spans="12:12" x14ac:dyDescent="0.25">
      <c r="L274">
        <v>273</v>
      </c>
    </row>
    <row r="275" spans="12:12" x14ac:dyDescent="0.25">
      <c r="L275">
        <v>274</v>
      </c>
    </row>
    <row r="276" spans="12:12" x14ac:dyDescent="0.25">
      <c r="L276">
        <v>275</v>
      </c>
    </row>
    <row r="277" spans="12:12" x14ac:dyDescent="0.25">
      <c r="L277">
        <v>276</v>
      </c>
    </row>
    <row r="278" spans="12:12" x14ac:dyDescent="0.25">
      <c r="L278">
        <v>277</v>
      </c>
    </row>
    <row r="279" spans="12:12" x14ac:dyDescent="0.25">
      <c r="L279">
        <v>278</v>
      </c>
    </row>
    <row r="280" spans="12:12" x14ac:dyDescent="0.25">
      <c r="L280">
        <v>279</v>
      </c>
    </row>
    <row r="281" spans="12:12" x14ac:dyDescent="0.25">
      <c r="L281">
        <v>280</v>
      </c>
    </row>
    <row r="282" spans="12:12" x14ac:dyDescent="0.25">
      <c r="L282">
        <v>281</v>
      </c>
    </row>
    <row r="283" spans="12:12" x14ac:dyDescent="0.25">
      <c r="L283">
        <v>282</v>
      </c>
    </row>
    <row r="284" spans="12:12" x14ac:dyDescent="0.25">
      <c r="L284">
        <v>283</v>
      </c>
    </row>
    <row r="285" spans="12:12" x14ac:dyDescent="0.25">
      <c r="L285">
        <v>284</v>
      </c>
    </row>
    <row r="286" spans="12:12" x14ac:dyDescent="0.25">
      <c r="L286">
        <v>285</v>
      </c>
    </row>
    <row r="287" spans="12:12" x14ac:dyDescent="0.25">
      <c r="L287">
        <v>286</v>
      </c>
    </row>
    <row r="288" spans="12:12" x14ac:dyDescent="0.25">
      <c r="L288">
        <v>287</v>
      </c>
    </row>
    <row r="289" spans="12:12" x14ac:dyDescent="0.25">
      <c r="L289">
        <v>288</v>
      </c>
    </row>
    <row r="290" spans="12:12" x14ac:dyDescent="0.25">
      <c r="L290">
        <v>289</v>
      </c>
    </row>
    <row r="291" spans="12:12" x14ac:dyDescent="0.25">
      <c r="L291">
        <v>290</v>
      </c>
    </row>
    <row r="292" spans="12:12" x14ac:dyDescent="0.25">
      <c r="L292">
        <v>291</v>
      </c>
    </row>
    <row r="293" spans="12:12" x14ac:dyDescent="0.25">
      <c r="L293">
        <v>292</v>
      </c>
    </row>
    <row r="294" spans="12:12" x14ac:dyDescent="0.25">
      <c r="L294">
        <v>293</v>
      </c>
    </row>
    <row r="295" spans="12:12" x14ac:dyDescent="0.25">
      <c r="L295">
        <v>294</v>
      </c>
    </row>
    <row r="296" spans="12:12" x14ac:dyDescent="0.25">
      <c r="L296">
        <v>295</v>
      </c>
    </row>
    <row r="297" spans="12:12" x14ac:dyDescent="0.25">
      <c r="L297">
        <v>296</v>
      </c>
    </row>
    <row r="298" spans="12:12" x14ac:dyDescent="0.25">
      <c r="L298">
        <v>297</v>
      </c>
    </row>
    <row r="299" spans="12:12" x14ac:dyDescent="0.25">
      <c r="L299">
        <v>298</v>
      </c>
    </row>
    <row r="300" spans="12:12" x14ac:dyDescent="0.25">
      <c r="L300">
        <v>299</v>
      </c>
    </row>
    <row r="301" spans="12:12" x14ac:dyDescent="0.25">
      <c r="L301">
        <v>300</v>
      </c>
    </row>
    <row r="302" spans="12:12" x14ac:dyDescent="0.25">
      <c r="L302">
        <v>301</v>
      </c>
    </row>
    <row r="303" spans="12:12" x14ac:dyDescent="0.25">
      <c r="L303">
        <v>302</v>
      </c>
    </row>
    <row r="304" spans="12:12" x14ac:dyDescent="0.25">
      <c r="L304">
        <v>303</v>
      </c>
    </row>
    <row r="305" spans="12:12" x14ac:dyDescent="0.25">
      <c r="L305">
        <v>304</v>
      </c>
    </row>
    <row r="306" spans="12:12" x14ac:dyDescent="0.25">
      <c r="L306">
        <v>305</v>
      </c>
    </row>
    <row r="307" spans="12:12" x14ac:dyDescent="0.25">
      <c r="L307">
        <v>306</v>
      </c>
    </row>
    <row r="308" spans="12:12" x14ac:dyDescent="0.25">
      <c r="L308">
        <v>307</v>
      </c>
    </row>
    <row r="309" spans="12:12" x14ac:dyDescent="0.25">
      <c r="L309">
        <v>308</v>
      </c>
    </row>
    <row r="310" spans="12:12" x14ac:dyDescent="0.25">
      <c r="L310">
        <v>309</v>
      </c>
    </row>
    <row r="311" spans="12:12" x14ac:dyDescent="0.25">
      <c r="L311">
        <v>310</v>
      </c>
    </row>
    <row r="312" spans="12:12" x14ac:dyDescent="0.25">
      <c r="L312">
        <v>311</v>
      </c>
    </row>
    <row r="313" spans="12:12" x14ac:dyDescent="0.25">
      <c r="L313">
        <v>312</v>
      </c>
    </row>
    <row r="314" spans="12:12" x14ac:dyDescent="0.25">
      <c r="L314">
        <v>313</v>
      </c>
    </row>
    <row r="315" spans="12:12" x14ac:dyDescent="0.25">
      <c r="L315">
        <v>314</v>
      </c>
    </row>
    <row r="316" spans="12:12" x14ac:dyDescent="0.25">
      <c r="L316">
        <v>315</v>
      </c>
    </row>
    <row r="317" spans="12:12" x14ac:dyDescent="0.25">
      <c r="L317">
        <v>316</v>
      </c>
    </row>
    <row r="318" spans="12:12" x14ac:dyDescent="0.25">
      <c r="L318">
        <v>317</v>
      </c>
    </row>
    <row r="319" spans="12:12" x14ac:dyDescent="0.25">
      <c r="L319">
        <v>318</v>
      </c>
    </row>
    <row r="320" spans="12:12" x14ac:dyDescent="0.25">
      <c r="L320">
        <v>319</v>
      </c>
    </row>
    <row r="321" spans="12:12" x14ac:dyDescent="0.25">
      <c r="L321">
        <v>320</v>
      </c>
    </row>
    <row r="322" spans="12:12" x14ac:dyDescent="0.25">
      <c r="L322">
        <v>321</v>
      </c>
    </row>
    <row r="323" spans="12:12" x14ac:dyDescent="0.25">
      <c r="L323">
        <v>322</v>
      </c>
    </row>
    <row r="324" spans="12:12" x14ac:dyDescent="0.25">
      <c r="L324">
        <v>323</v>
      </c>
    </row>
    <row r="325" spans="12:12" x14ac:dyDescent="0.25">
      <c r="L325">
        <v>324</v>
      </c>
    </row>
    <row r="326" spans="12:12" x14ac:dyDescent="0.25">
      <c r="L326">
        <v>325</v>
      </c>
    </row>
    <row r="327" spans="12:12" x14ac:dyDescent="0.25">
      <c r="L327">
        <v>326</v>
      </c>
    </row>
    <row r="328" spans="12:12" x14ac:dyDescent="0.25">
      <c r="L328">
        <v>327</v>
      </c>
    </row>
    <row r="329" spans="12:12" x14ac:dyDescent="0.25">
      <c r="L329">
        <v>328</v>
      </c>
    </row>
    <row r="330" spans="12:12" x14ac:dyDescent="0.25">
      <c r="L330">
        <v>329</v>
      </c>
    </row>
    <row r="331" spans="12:12" x14ac:dyDescent="0.25">
      <c r="L331">
        <v>330</v>
      </c>
    </row>
    <row r="332" spans="12:12" x14ac:dyDescent="0.25">
      <c r="L332">
        <v>331</v>
      </c>
    </row>
    <row r="333" spans="12:12" x14ac:dyDescent="0.25">
      <c r="L333">
        <v>332</v>
      </c>
    </row>
    <row r="334" spans="12:12" x14ac:dyDescent="0.25">
      <c r="L334">
        <v>333</v>
      </c>
    </row>
    <row r="335" spans="12:12" x14ac:dyDescent="0.25">
      <c r="L335">
        <v>334</v>
      </c>
    </row>
    <row r="336" spans="12:12" x14ac:dyDescent="0.25">
      <c r="L336">
        <v>335</v>
      </c>
    </row>
    <row r="337" spans="12:12" x14ac:dyDescent="0.25">
      <c r="L337">
        <v>336</v>
      </c>
    </row>
    <row r="338" spans="12:12" x14ac:dyDescent="0.25">
      <c r="L338">
        <v>337</v>
      </c>
    </row>
    <row r="339" spans="12:12" x14ac:dyDescent="0.25">
      <c r="L339">
        <v>338</v>
      </c>
    </row>
    <row r="340" spans="12:12" x14ac:dyDescent="0.25">
      <c r="L340">
        <v>339</v>
      </c>
    </row>
    <row r="341" spans="12:12" x14ac:dyDescent="0.25">
      <c r="L341">
        <v>340</v>
      </c>
    </row>
    <row r="342" spans="12:12" x14ac:dyDescent="0.25">
      <c r="L342">
        <v>341</v>
      </c>
    </row>
    <row r="343" spans="12:12" x14ac:dyDescent="0.25">
      <c r="L343">
        <v>342</v>
      </c>
    </row>
    <row r="344" spans="12:12" x14ac:dyDescent="0.25">
      <c r="L344">
        <v>343</v>
      </c>
    </row>
    <row r="345" spans="12:12" x14ac:dyDescent="0.25">
      <c r="L345">
        <v>344</v>
      </c>
    </row>
    <row r="346" spans="12:12" x14ac:dyDescent="0.25">
      <c r="L346">
        <v>345</v>
      </c>
    </row>
    <row r="347" spans="12:12" x14ac:dyDescent="0.25">
      <c r="L347">
        <v>346</v>
      </c>
    </row>
    <row r="348" spans="12:12" x14ac:dyDescent="0.25">
      <c r="L348">
        <v>347</v>
      </c>
    </row>
    <row r="349" spans="12:12" x14ac:dyDescent="0.25">
      <c r="L349">
        <v>348</v>
      </c>
    </row>
    <row r="350" spans="12:12" x14ac:dyDescent="0.25">
      <c r="L350">
        <v>349</v>
      </c>
    </row>
    <row r="351" spans="12:12" x14ac:dyDescent="0.25">
      <c r="L351">
        <v>350</v>
      </c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59"/>
  <sheetViews>
    <sheetView topLeftCell="A172" workbookViewId="0">
      <selection sqref="A1:L2"/>
    </sheetView>
  </sheetViews>
  <sheetFormatPr defaultRowHeight="15" x14ac:dyDescent="0.25"/>
  <cols>
    <col min="1" max="1" width="8" customWidth="1"/>
    <col min="2" max="2" width="11" customWidth="1"/>
    <col min="3" max="3" width="38" customWidth="1"/>
    <col min="4" max="4" width="25" customWidth="1"/>
    <col min="5" max="5" width="13" customWidth="1"/>
    <col min="6" max="11" width="15" customWidth="1"/>
    <col min="12" max="12" width="23" customWidth="1"/>
  </cols>
  <sheetData>
    <row r="1" spans="1:12" x14ac:dyDescent="0.25">
      <c r="A1" s="170" t="s">
        <v>858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x14ac:dyDescent="0.25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x14ac:dyDescent="0.25">
      <c r="A3" s="171" t="s">
        <v>859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 spans="1:12" x14ac:dyDescent="0.25">
      <c r="A4" s="111" t="s">
        <v>808</v>
      </c>
      <c r="B4" s="112" t="s">
        <v>809</v>
      </c>
      <c r="D4" s="172" t="s">
        <v>825</v>
      </c>
      <c r="E4" s="172"/>
      <c r="F4" s="172"/>
      <c r="G4" s="172" t="s">
        <v>806</v>
      </c>
      <c r="H4" s="172"/>
      <c r="I4" s="172"/>
      <c r="J4" s="172" t="s">
        <v>860</v>
      </c>
      <c r="K4" s="172"/>
      <c r="L4" s="172"/>
    </row>
    <row r="5" spans="1:12" x14ac:dyDescent="0.25">
      <c r="D5" s="173">
        <f>SUM(Data_Analitik!$AK$2:$AK$351)</f>
        <v>350</v>
      </c>
      <c r="E5" s="174"/>
      <c r="F5" s="175"/>
      <c r="G5" s="179">
        <f>SUM(Data_Analitik!$AM$2:$AM$351)</f>
        <v>732.46</v>
      </c>
      <c r="H5" s="180"/>
      <c r="I5" s="181"/>
      <c r="J5" s="185">
        <f>IFERROR(SUM(Data_Analitik!$AN$2:$AN$351)/SUM(Data_Analitik!$AM$2:$AM$351),0)</f>
        <v>0.53639788962765345</v>
      </c>
      <c r="K5" s="186"/>
      <c r="L5" s="187"/>
    </row>
    <row r="6" spans="1:12" x14ac:dyDescent="0.25">
      <c r="D6" s="176"/>
      <c r="E6" s="177"/>
      <c r="F6" s="178"/>
      <c r="G6" s="182"/>
      <c r="H6" s="183"/>
      <c r="I6" s="184"/>
      <c r="J6" s="188"/>
      <c r="K6" s="189"/>
      <c r="L6" s="190"/>
    </row>
    <row r="9" spans="1:12" ht="38.1" customHeight="1" x14ac:dyDescent="0.25">
      <c r="A9" s="83" t="s">
        <v>861</v>
      </c>
      <c r="B9" s="83" t="s">
        <v>7</v>
      </c>
      <c r="C9" s="83" t="s">
        <v>821</v>
      </c>
      <c r="D9" s="83" t="s">
        <v>862</v>
      </c>
      <c r="E9" s="83" t="s">
        <v>407</v>
      </c>
      <c r="F9" s="83" t="s">
        <v>418</v>
      </c>
      <c r="G9" s="83" t="s">
        <v>420</v>
      </c>
      <c r="H9" s="83" t="s">
        <v>422</v>
      </c>
      <c r="I9" s="83" t="s">
        <v>424</v>
      </c>
      <c r="J9" s="83" t="s">
        <v>426</v>
      </c>
      <c r="K9" s="83" t="s">
        <v>428</v>
      </c>
      <c r="L9" s="83" t="s">
        <v>430</v>
      </c>
    </row>
    <row r="10" spans="1:12" ht="21.95" customHeight="1" x14ac:dyDescent="0.25">
      <c r="A10" s="26">
        <f>IF(ROW()-9&lt;=SUM(Data_Analitik!$AK$2:$AK$351),ROW()-9,"")</f>
        <v>1</v>
      </c>
      <c r="B10" s="27" t="str">
        <f>IF($A10="","",IFERROR(INDEX(Data_Analitik!$B$2:$B$351,MATCH($A10,Data_Analitik!$AL$2:$AL$351,0)),""))</f>
        <v>001</v>
      </c>
      <c r="C10" s="28" t="str">
        <f>IF($A10="","",IFERROR(INDEX(Data_Analitik!$C$2:$C$351,MATCH($A10,Data_Analitik!$AL$2:$AL$351,0)),""))</f>
        <v>Jl. Pangeran Antasari - Loklua</v>
      </c>
      <c r="D10" s="28" t="str">
        <f>IF($A10="","",IFERROR(INDEX(Data_Analitik!$D$2:$D$351,MATCH($A10,Data_Analitik!$AL$2:$AL$351,0)),""))</f>
        <v>Kandangan</v>
      </c>
      <c r="E10" s="29">
        <f>IF($A10="","",IFERROR(INDEX(Data_Analitik!$E$2:$E$351,MATCH($A10,Data_Analitik!$AL$2:$AL$351,0)),""))</f>
        <v>0.56000000000000005</v>
      </c>
      <c r="F10" s="30">
        <f>IF($A10="","",IFERROR(INDEX(Data_Analitik!$P$2:$P$351,MATCH($A10,Data_Analitik!$AL$2:$AL$351,0)),""))</f>
        <v>0</v>
      </c>
      <c r="G10" s="30">
        <f>IF($A10="","",IFERROR(INDEX(Data_Analitik!$R$2:$R$351,MATCH($A10,Data_Analitik!$AL$2:$AL$351,0)),""))</f>
        <v>0.64285716840199059</v>
      </c>
      <c r="H10" s="30">
        <f>IF($A10="","",IFERROR(INDEX(Data_Analitik!$T$2:$T$351,MATCH($A10,Data_Analitik!$AL$2:$AL$351,0)),""))</f>
        <v>0.35714286246470039</v>
      </c>
      <c r="I10" s="30">
        <f>IF($A10="","",IFERROR(INDEX(Data_Analitik!$V$2:$V$351,MATCH($A10,Data_Analitik!$AL$2:$AL$351,0)),""))</f>
        <v>0</v>
      </c>
      <c r="J10" s="30">
        <f>IF($A10="","",IFERROR(INDEX(Data_Analitik!$X$2:$X$351,MATCH($A10,Data_Analitik!$AL$2:$AL$351,0)),""))</f>
        <v>0.64285716840199059</v>
      </c>
      <c r="K10" s="30">
        <f>IF($A10="","",IFERROR(INDEX(Data_Analitik!$Z$2:$Z$351,MATCH($A10,Data_Analitik!$AL$2:$AL$351,0)),""))</f>
        <v>0.35714286246470039</v>
      </c>
      <c r="L10" s="31" t="str">
        <f>IF($A10="","",IFERROR(INDEX(Data_Analitik!$AB$2:$AB$351,MATCH($A10,Data_Analitik!$AL$2:$AL$351,0)),""))</f>
        <v>Tidak Mantap Sedang</v>
      </c>
    </row>
    <row r="11" spans="1:12" ht="21.95" customHeight="1" x14ac:dyDescent="0.25">
      <c r="A11" s="32">
        <f>IF(ROW()-9&lt;=SUM(Data_Analitik!$AK$2:$AK$351),ROW()-9,"")</f>
        <v>2</v>
      </c>
      <c r="B11" s="99" t="str">
        <f>IF($A11="","",IFERROR(INDEX(Data_Analitik!$B$2:$B$351,MATCH($A11,Data_Analitik!$AL$2:$AL$351,0)),""))</f>
        <v>002</v>
      </c>
      <c r="C11" s="101" t="str">
        <f>IF($A11="","",IFERROR(INDEX(Data_Analitik!$C$2:$C$351,MATCH($A11,Data_Analitik!$AL$2:$AL$351,0)),""))</f>
        <v>Jl. Soeprapto - Jl. H.M Rusli</v>
      </c>
      <c r="D11" s="101" t="str">
        <f>IF($A11="","",IFERROR(INDEX(Data_Analitik!$D$2:$D$351,MATCH($A11,Data_Analitik!$AL$2:$AL$351,0)),""))</f>
        <v>Kandangan</v>
      </c>
      <c r="E11" s="100">
        <f>IF($A11="","",IFERROR(INDEX(Data_Analitik!$E$2:$E$351,MATCH($A11,Data_Analitik!$AL$2:$AL$351,0)),""))</f>
        <v>0.52</v>
      </c>
      <c r="F11" s="97">
        <f>IF($A11="","",IFERROR(INDEX(Data_Analitik!$P$2:$P$351,MATCH($A11,Data_Analitik!$AL$2:$AL$351,0)),""))</f>
        <v>0</v>
      </c>
      <c r="G11" s="97">
        <f>IF($A11="","",IFERROR(INDEX(Data_Analitik!$R$2:$R$351,MATCH($A11,Data_Analitik!$AL$2:$AL$351,0)),""))</f>
        <v>0.99999996332021857</v>
      </c>
      <c r="H11" s="97">
        <f>IF($A11="","",IFERROR(INDEX(Data_Analitik!$T$2:$T$351,MATCH($A11,Data_Analitik!$AL$2:$AL$351,0)),""))</f>
        <v>0</v>
      </c>
      <c r="I11" s="97">
        <f>IF($A11="","",IFERROR(INDEX(Data_Analitik!$V$2:$V$351,MATCH($A11,Data_Analitik!$AL$2:$AL$351,0)),""))</f>
        <v>0</v>
      </c>
      <c r="J11" s="97">
        <f>IF($A11="","",IFERROR(INDEX(Data_Analitik!$X$2:$X$351,MATCH($A11,Data_Analitik!$AL$2:$AL$351,0)),""))</f>
        <v>0.99999996332021857</v>
      </c>
      <c r="K11" s="97">
        <f>IF($A11="","",IFERROR(INDEX(Data_Analitik!$Z$2:$Z$351,MATCH($A11,Data_Analitik!$AL$2:$AL$351,0)),""))</f>
        <v>0</v>
      </c>
      <c r="L11" s="33" t="str">
        <f>IF($A11="","",IFERROR(INDEX(Data_Analitik!$AB$2:$AB$351,MATCH($A11,Data_Analitik!$AL$2:$AL$351,0)),""))</f>
        <v>Relatif Mantap</v>
      </c>
    </row>
    <row r="12" spans="1:12" ht="21.95" customHeight="1" x14ac:dyDescent="0.25">
      <c r="A12" s="32">
        <f>IF(ROW()-9&lt;=SUM(Data_Analitik!$AK$2:$AK$351),ROW()-9,"")</f>
        <v>3</v>
      </c>
      <c r="B12" s="99" t="str">
        <f>IF($A12="","",IFERROR(INDEX(Data_Analitik!$B$2:$B$351,MATCH($A12,Data_Analitik!$AL$2:$AL$351,0)),""))</f>
        <v>003</v>
      </c>
      <c r="C12" s="101" t="str">
        <f>IF($A12="","",IFERROR(INDEX(Data_Analitik!$C$2:$C$351,MATCH($A12,Data_Analitik!$AL$2:$AL$351,0)),""))</f>
        <v>Jl. Pasar Kandangan - Oprit Jembt. Loklua</v>
      </c>
      <c r="D12" s="101" t="str">
        <f>IF($A12="","",IFERROR(INDEX(Data_Analitik!$D$2:$D$351,MATCH($A12,Data_Analitik!$AL$2:$AL$351,0)),""))</f>
        <v>Kandangan</v>
      </c>
      <c r="E12" s="100">
        <f>IF($A12="","",IFERROR(INDEX(Data_Analitik!$E$2:$E$351,MATCH($A12,Data_Analitik!$AL$2:$AL$351,0)),""))</f>
        <v>0.28000000000000003</v>
      </c>
      <c r="F12" s="97">
        <f>IF($A12="","",IFERROR(INDEX(Data_Analitik!$P$2:$P$351,MATCH($A12,Data_Analitik!$AL$2:$AL$351,0)),""))</f>
        <v>1.0000000042574746</v>
      </c>
      <c r="G12" s="97">
        <f>IF($A12="","",IFERROR(INDEX(Data_Analitik!$R$2:$R$351,MATCH($A12,Data_Analitik!$AL$2:$AL$351,0)),""))</f>
        <v>0</v>
      </c>
      <c r="H12" s="97">
        <f>IF($A12="","",IFERROR(INDEX(Data_Analitik!$T$2:$T$351,MATCH($A12,Data_Analitik!$AL$2:$AL$351,0)),""))</f>
        <v>0</v>
      </c>
      <c r="I12" s="97">
        <f>IF($A12="","",IFERROR(INDEX(Data_Analitik!$V$2:$V$351,MATCH($A12,Data_Analitik!$AL$2:$AL$351,0)),""))</f>
        <v>0</v>
      </c>
      <c r="J12" s="97">
        <f>IF($A12="","",IFERROR(INDEX(Data_Analitik!$X$2:$X$351,MATCH($A12,Data_Analitik!$AL$2:$AL$351,0)),""))</f>
        <v>1.0000000042574746</v>
      </c>
      <c r="K12" s="97">
        <f>IF($A12="","",IFERROR(INDEX(Data_Analitik!$Z$2:$Z$351,MATCH($A12,Data_Analitik!$AL$2:$AL$351,0)),""))</f>
        <v>0</v>
      </c>
      <c r="L12" s="33" t="str">
        <f>IF($A12="","",IFERROR(INDEX(Data_Analitik!$AB$2:$AB$351,MATCH($A12,Data_Analitik!$AL$2:$AL$351,0)),""))</f>
        <v>Relatif Mantap</v>
      </c>
    </row>
    <row r="13" spans="1:12" ht="21.95" customHeight="1" x14ac:dyDescent="0.25">
      <c r="A13" s="32">
        <f>IF(ROW()-9&lt;=SUM(Data_Analitik!$AK$2:$AK$351),ROW()-9,"")</f>
        <v>4</v>
      </c>
      <c r="B13" s="99" t="str">
        <f>IF($A13="","",IFERROR(INDEX(Data_Analitik!$B$2:$B$351,MATCH($A13,Data_Analitik!$AL$2:$AL$351,0)),""))</f>
        <v>004</v>
      </c>
      <c r="C13" s="101" t="str">
        <f>IF($A13="","",IFERROR(INDEX(Data_Analitik!$C$2:$C$351,MATCH($A13,Data_Analitik!$AL$2:$AL$351,0)),""))</f>
        <v>Jl. Soetoyo - Teluk Mesjid</v>
      </c>
      <c r="D13" s="101" t="str">
        <f>IF($A13="","",IFERROR(INDEX(Data_Analitik!$D$2:$D$351,MATCH($A13,Data_Analitik!$AL$2:$AL$351,0)),""))</f>
        <v>Kandangan</v>
      </c>
      <c r="E13" s="100">
        <f>IF($A13="","",IFERROR(INDEX(Data_Analitik!$E$2:$E$351,MATCH($A13,Data_Analitik!$AL$2:$AL$351,0)),""))</f>
        <v>0.26</v>
      </c>
      <c r="F13" s="97">
        <f>IF($A13="","",IFERROR(INDEX(Data_Analitik!$P$2:$P$351,MATCH($A13,Data_Analitik!$AL$2:$AL$351,0)),""))</f>
        <v>0.99999996332021857</v>
      </c>
      <c r="G13" s="97">
        <f>IF($A13="","",IFERROR(INDEX(Data_Analitik!$R$2:$R$351,MATCH($A13,Data_Analitik!$AL$2:$AL$351,0)),""))</f>
        <v>0</v>
      </c>
      <c r="H13" s="97">
        <f>IF($A13="","",IFERROR(INDEX(Data_Analitik!$T$2:$T$351,MATCH($A13,Data_Analitik!$AL$2:$AL$351,0)),""))</f>
        <v>0</v>
      </c>
      <c r="I13" s="97">
        <f>IF($A13="","",IFERROR(INDEX(Data_Analitik!$V$2:$V$351,MATCH($A13,Data_Analitik!$AL$2:$AL$351,0)),""))</f>
        <v>0</v>
      </c>
      <c r="J13" s="97">
        <f>IF($A13="","",IFERROR(INDEX(Data_Analitik!$X$2:$X$351,MATCH($A13,Data_Analitik!$AL$2:$AL$351,0)),""))</f>
        <v>0.99999996332021857</v>
      </c>
      <c r="K13" s="97">
        <f>IF($A13="","",IFERROR(INDEX(Data_Analitik!$Z$2:$Z$351,MATCH($A13,Data_Analitik!$AL$2:$AL$351,0)),""))</f>
        <v>0</v>
      </c>
      <c r="L13" s="33" t="str">
        <f>IF($A13="","",IFERROR(INDEX(Data_Analitik!$AB$2:$AB$351,MATCH($A13,Data_Analitik!$AL$2:$AL$351,0)),""))</f>
        <v>Relatif Mantap</v>
      </c>
    </row>
    <row r="14" spans="1:12" ht="21.95" customHeight="1" x14ac:dyDescent="0.25">
      <c r="A14" s="32">
        <f>IF(ROW()-9&lt;=SUM(Data_Analitik!$AK$2:$AK$351),ROW()-9,"")</f>
        <v>5</v>
      </c>
      <c r="B14" s="99" t="str">
        <f>IF($A14="","",IFERROR(INDEX(Data_Analitik!$B$2:$B$351,MATCH($A14,Data_Analitik!$AL$2:$AL$351,0)),""))</f>
        <v>005</v>
      </c>
      <c r="C14" s="101" t="str">
        <f>IF($A14="","",IFERROR(INDEX(Data_Analitik!$C$2:$C$351,MATCH($A14,Data_Analitik!$AL$2:$AL$351,0)),""))</f>
        <v>Jl. Teluk Mesjid - Sp. 4 Muara Banta</v>
      </c>
      <c r="D14" s="101" t="str">
        <f>IF($A14="","",IFERROR(INDEX(Data_Analitik!$D$2:$D$351,MATCH($A14,Data_Analitik!$AL$2:$AL$351,0)),""))</f>
        <v>Kandangan</v>
      </c>
      <c r="E14" s="100">
        <f>IF($A14="","",IFERROR(INDEX(Data_Analitik!$E$2:$E$351,MATCH($A14,Data_Analitik!$AL$2:$AL$351,0)),""))</f>
        <v>1.43</v>
      </c>
      <c r="F14" s="97">
        <f>IF($A14="","",IFERROR(INDEX(Data_Analitik!$P$2:$P$351,MATCH($A14,Data_Analitik!$AL$2:$AL$351,0)),""))</f>
        <v>0</v>
      </c>
      <c r="G14" s="97">
        <f>IF($A14="","",IFERROR(INDEX(Data_Analitik!$R$2:$R$351,MATCH($A14,Data_Analitik!$AL$2:$AL$351,0)),""))</f>
        <v>0.8601398734779625</v>
      </c>
      <c r="H14" s="97">
        <f>IF($A14="","",IFERROR(INDEX(Data_Analitik!$T$2:$T$351,MATCH($A14,Data_Analitik!$AL$2:$AL$351,0)),""))</f>
        <v>0.13986014194421836</v>
      </c>
      <c r="I14" s="97">
        <f>IF($A14="","",IFERROR(INDEX(Data_Analitik!$V$2:$V$351,MATCH($A14,Data_Analitik!$AL$2:$AL$351,0)),""))</f>
        <v>0</v>
      </c>
      <c r="J14" s="97">
        <f>IF($A14="","",IFERROR(INDEX(Data_Analitik!$X$2:$X$351,MATCH($A14,Data_Analitik!$AL$2:$AL$351,0)),""))</f>
        <v>0.8601398734779625</v>
      </c>
      <c r="K14" s="97">
        <f>IF($A14="","",IFERROR(INDEX(Data_Analitik!$Z$2:$Z$351,MATCH($A14,Data_Analitik!$AL$2:$AL$351,0)),""))</f>
        <v>0.13986014194421836</v>
      </c>
      <c r="L14" s="33" t="str">
        <f>IF($A14="","",IFERROR(INDEX(Data_Analitik!$AB$2:$AB$351,MATCH($A14,Data_Analitik!$AL$2:$AL$351,0)),""))</f>
        <v>Relatif Mantap</v>
      </c>
    </row>
    <row r="15" spans="1:12" ht="21.95" customHeight="1" x14ac:dyDescent="0.25">
      <c r="A15" s="32">
        <f>IF(ROW()-9&lt;=SUM(Data_Analitik!$AK$2:$AK$351),ROW()-9,"")</f>
        <v>6</v>
      </c>
      <c r="B15" s="99" t="str">
        <f>IF($A15="","",IFERROR(INDEX(Data_Analitik!$B$2:$B$351,MATCH($A15,Data_Analitik!$AL$2:$AL$351,0)),""))</f>
        <v>006</v>
      </c>
      <c r="C15" s="101" t="str">
        <f>IF($A15="","",IFERROR(INDEX(Data_Analitik!$C$2:$C$351,MATCH($A15,Data_Analitik!$AL$2:$AL$351,0)),""))</f>
        <v>Jl. Merah Johansyah - Jl. Melati</v>
      </c>
      <c r="D15" s="101" t="str">
        <f>IF($A15="","",IFERROR(INDEX(Data_Analitik!$D$2:$D$351,MATCH($A15,Data_Analitik!$AL$2:$AL$351,0)),""))</f>
        <v>Kandangan</v>
      </c>
      <c r="E15" s="100">
        <f>IF($A15="","",IFERROR(INDEX(Data_Analitik!$E$2:$E$351,MATCH($A15,Data_Analitik!$AL$2:$AL$351,0)),""))</f>
        <v>0.82</v>
      </c>
      <c r="F15" s="97">
        <f>IF($A15="","",IFERROR(INDEX(Data_Analitik!$P$2:$P$351,MATCH($A15,Data_Analitik!$AL$2:$AL$351,0)),""))</f>
        <v>0.99999999127736916</v>
      </c>
      <c r="G15" s="97">
        <f>IF($A15="","",IFERROR(INDEX(Data_Analitik!$R$2:$R$351,MATCH($A15,Data_Analitik!$AL$2:$AL$351,0)),""))</f>
        <v>0</v>
      </c>
      <c r="H15" s="97">
        <f>IF($A15="","",IFERROR(INDEX(Data_Analitik!$T$2:$T$351,MATCH($A15,Data_Analitik!$AL$2:$AL$351,0)),""))</f>
        <v>0</v>
      </c>
      <c r="I15" s="97">
        <f>IF($A15="","",IFERROR(INDEX(Data_Analitik!$V$2:$V$351,MATCH($A15,Data_Analitik!$AL$2:$AL$351,0)),""))</f>
        <v>0</v>
      </c>
      <c r="J15" s="97">
        <f>IF($A15="","",IFERROR(INDEX(Data_Analitik!$X$2:$X$351,MATCH($A15,Data_Analitik!$AL$2:$AL$351,0)),""))</f>
        <v>0.99999999127736916</v>
      </c>
      <c r="K15" s="97">
        <f>IF($A15="","",IFERROR(INDEX(Data_Analitik!$Z$2:$Z$351,MATCH($A15,Data_Analitik!$AL$2:$AL$351,0)),""))</f>
        <v>0</v>
      </c>
      <c r="L15" s="33" t="str">
        <f>IF($A15="","",IFERROR(INDEX(Data_Analitik!$AB$2:$AB$351,MATCH($A15,Data_Analitik!$AL$2:$AL$351,0)),""))</f>
        <v>Relatif Mantap</v>
      </c>
    </row>
    <row r="16" spans="1:12" ht="21.95" customHeight="1" x14ac:dyDescent="0.25">
      <c r="A16" s="32">
        <f>IF(ROW()-9&lt;=SUM(Data_Analitik!$AK$2:$AK$351),ROW()-9,"")</f>
        <v>7</v>
      </c>
      <c r="B16" s="99" t="str">
        <f>IF($A16="","",IFERROR(INDEX(Data_Analitik!$B$2:$B$351,MATCH($A16,Data_Analitik!$AL$2:$AL$351,0)),""))</f>
        <v>007</v>
      </c>
      <c r="C16" s="101" t="str">
        <f>IF($A16="","",IFERROR(INDEX(Data_Analitik!$C$2:$C$351,MATCH($A16,Data_Analitik!$AL$2:$AL$351,0)),""))</f>
        <v>Jl. Menuju Stadion 2 Desember</v>
      </c>
      <c r="D16" s="101" t="str">
        <f>IF($A16="","",IFERROR(INDEX(Data_Analitik!$D$2:$D$351,MATCH($A16,Data_Analitik!$AL$2:$AL$351,0)),""))</f>
        <v>Kandangan</v>
      </c>
      <c r="E16" s="100">
        <f>IF($A16="","",IFERROR(INDEX(Data_Analitik!$E$2:$E$351,MATCH($A16,Data_Analitik!$AL$2:$AL$351,0)),""))</f>
        <v>0.28999999999999998</v>
      </c>
      <c r="F16" s="97">
        <f>IF($A16="","",IFERROR(INDEX(Data_Analitik!$P$2:$P$351,MATCH($A16,Data_Analitik!$AL$2:$AL$351,0)),""))</f>
        <v>0</v>
      </c>
      <c r="G16" s="97">
        <f>IF($A16="","",IFERROR(INDEX(Data_Analitik!$R$2:$R$351,MATCH($A16,Data_Analitik!$AL$2:$AL$351,0)),""))</f>
        <v>0.99999997122534401</v>
      </c>
      <c r="H16" s="97">
        <f>IF($A16="","",IFERROR(INDEX(Data_Analitik!$T$2:$T$351,MATCH($A16,Data_Analitik!$AL$2:$AL$351,0)),""))</f>
        <v>0</v>
      </c>
      <c r="I16" s="97">
        <f>IF($A16="","",IFERROR(INDEX(Data_Analitik!$V$2:$V$351,MATCH($A16,Data_Analitik!$AL$2:$AL$351,0)),""))</f>
        <v>0</v>
      </c>
      <c r="J16" s="97">
        <f>IF($A16="","",IFERROR(INDEX(Data_Analitik!$X$2:$X$351,MATCH($A16,Data_Analitik!$AL$2:$AL$351,0)),""))</f>
        <v>0.99999997122534401</v>
      </c>
      <c r="K16" s="97">
        <f>IF($A16="","",IFERROR(INDEX(Data_Analitik!$Z$2:$Z$351,MATCH($A16,Data_Analitik!$AL$2:$AL$351,0)),""))</f>
        <v>0</v>
      </c>
      <c r="L16" s="33" t="str">
        <f>IF($A16="","",IFERROR(INDEX(Data_Analitik!$AB$2:$AB$351,MATCH($A16,Data_Analitik!$AL$2:$AL$351,0)),""))</f>
        <v>Relatif Mantap</v>
      </c>
    </row>
    <row r="17" spans="1:12" ht="21.95" customHeight="1" x14ac:dyDescent="0.25">
      <c r="A17" s="32">
        <f>IF(ROW()-9&lt;=SUM(Data_Analitik!$AK$2:$AK$351),ROW()-9,"")</f>
        <v>8</v>
      </c>
      <c r="B17" s="99" t="str">
        <f>IF($A17="","",IFERROR(INDEX(Data_Analitik!$B$2:$B$351,MATCH($A17,Data_Analitik!$AL$2:$AL$351,0)),""))</f>
        <v>008</v>
      </c>
      <c r="C17" s="101" t="str">
        <f>IF($A17="","",IFERROR(INDEX(Data_Analitik!$C$2:$C$351,MATCH($A17,Data_Analitik!$AL$2:$AL$351,0)),""))</f>
        <v>Jl. Aluh Idut</v>
      </c>
      <c r="D17" s="101" t="str">
        <f>IF($A17="","",IFERROR(INDEX(Data_Analitik!$D$2:$D$351,MATCH($A17,Data_Analitik!$AL$2:$AL$351,0)),""))</f>
        <v>Kandangan</v>
      </c>
      <c r="E17" s="100">
        <f>IF($A17="","",IFERROR(INDEX(Data_Analitik!$E$2:$E$351,MATCH($A17,Data_Analitik!$AL$2:$AL$351,0)),""))</f>
        <v>1.34</v>
      </c>
      <c r="F17" s="97">
        <f>IF($A17="","",IFERROR(INDEX(Data_Analitik!$P$2:$P$351,MATCH($A17,Data_Analitik!$AL$2:$AL$351,0)),""))</f>
        <v>0.37313432835820892</v>
      </c>
      <c r="G17" s="97">
        <f>IF($A17="","",IFERROR(INDEX(Data_Analitik!$R$2:$R$351,MATCH($A17,Data_Analitik!$AL$2:$AL$351,0)),""))</f>
        <v>0.62686565207011657</v>
      </c>
      <c r="H17" s="97">
        <f>IF($A17="","",IFERROR(INDEX(Data_Analitik!$T$2:$T$351,MATCH($A17,Data_Analitik!$AL$2:$AL$351,0)),""))</f>
        <v>0</v>
      </c>
      <c r="I17" s="97">
        <f>IF($A17="","",IFERROR(INDEX(Data_Analitik!$V$2:$V$351,MATCH($A17,Data_Analitik!$AL$2:$AL$351,0)),""))</f>
        <v>0</v>
      </c>
      <c r="J17" s="97">
        <f>IF($A17="","",IFERROR(INDEX(Data_Analitik!$X$2:$X$351,MATCH($A17,Data_Analitik!$AL$2:$AL$351,0)),""))</f>
        <v>0.9999999804283255</v>
      </c>
      <c r="K17" s="97">
        <f>IF($A17="","",IFERROR(INDEX(Data_Analitik!$Z$2:$Z$351,MATCH($A17,Data_Analitik!$AL$2:$AL$351,0)),""))</f>
        <v>0</v>
      </c>
      <c r="L17" s="33" t="str">
        <f>IF($A17="","",IFERROR(INDEX(Data_Analitik!$AB$2:$AB$351,MATCH($A17,Data_Analitik!$AL$2:$AL$351,0)),""))</f>
        <v>Relatif Mantap</v>
      </c>
    </row>
    <row r="18" spans="1:12" ht="21.95" customHeight="1" x14ac:dyDescent="0.25">
      <c r="A18" s="32">
        <f>IF(ROW()-9&lt;=SUM(Data_Analitik!$AK$2:$AK$351),ROW()-9,"")</f>
        <v>9</v>
      </c>
      <c r="B18" s="99" t="str">
        <f>IF($A18="","",IFERROR(INDEX(Data_Analitik!$B$2:$B$351,MATCH($A18,Data_Analitik!$AL$2:$AL$351,0)),""))</f>
        <v>009</v>
      </c>
      <c r="C18" s="101" t="str">
        <f>IF($A18="","",IFERROR(INDEX(Data_Analitik!$C$2:$C$351,MATCH($A18,Data_Analitik!$AL$2:$AL$351,0)),""))</f>
        <v>Jl. Panglima Batur</v>
      </c>
      <c r="D18" s="101" t="str">
        <f>IF($A18="","",IFERROR(INDEX(Data_Analitik!$D$2:$D$351,MATCH($A18,Data_Analitik!$AL$2:$AL$351,0)),""))</f>
        <v>Kandangan</v>
      </c>
      <c r="E18" s="100">
        <f>IF($A18="","",IFERROR(INDEX(Data_Analitik!$E$2:$E$351,MATCH($A18,Data_Analitik!$AL$2:$AL$351,0)),""))</f>
        <v>1.0900000000000001</v>
      </c>
      <c r="F18" s="97">
        <f>IF($A18="","",IFERROR(INDEX(Data_Analitik!$P$2:$P$351,MATCH($A18,Data_Analitik!$AL$2:$AL$351,0)),""))</f>
        <v>0.73394496506507234</v>
      </c>
      <c r="G18" s="97">
        <f>IF($A18="","",IFERROR(INDEX(Data_Analitik!$R$2:$R$351,MATCH($A18,Data_Analitik!$AL$2:$AL$351,0)),""))</f>
        <v>0.26605503821591714</v>
      </c>
      <c r="H18" s="97">
        <f>IF($A18="","",IFERROR(INDEX(Data_Analitik!$T$2:$T$351,MATCH($A18,Data_Analitik!$AL$2:$AL$351,0)),""))</f>
        <v>0</v>
      </c>
      <c r="I18" s="97">
        <f>IF($A18="","",IFERROR(INDEX(Data_Analitik!$V$2:$V$351,MATCH($A18,Data_Analitik!$AL$2:$AL$351,0)),""))</f>
        <v>0</v>
      </c>
      <c r="J18" s="97">
        <f>IF($A18="","",IFERROR(INDEX(Data_Analitik!$X$2:$X$351,MATCH($A18,Data_Analitik!$AL$2:$AL$351,0)),""))</f>
        <v>1.0000000032809895</v>
      </c>
      <c r="K18" s="97">
        <f>IF($A18="","",IFERROR(INDEX(Data_Analitik!$Z$2:$Z$351,MATCH($A18,Data_Analitik!$AL$2:$AL$351,0)),""))</f>
        <v>0</v>
      </c>
      <c r="L18" s="33" t="str">
        <f>IF($A18="","",IFERROR(INDEX(Data_Analitik!$AB$2:$AB$351,MATCH($A18,Data_Analitik!$AL$2:$AL$351,0)),""))</f>
        <v>Relatif Mantap</v>
      </c>
    </row>
    <row r="19" spans="1:12" ht="21.95" customHeight="1" x14ac:dyDescent="0.25">
      <c r="A19" s="32">
        <f>IF(ROW()-9&lt;=SUM(Data_Analitik!$AK$2:$AK$351),ROW()-9,"")</f>
        <v>10</v>
      </c>
      <c r="B19" s="99" t="str">
        <f>IF($A19="","",IFERROR(INDEX(Data_Analitik!$B$2:$B$351,MATCH($A19,Data_Analitik!$AL$2:$AL$351,0)),""))</f>
        <v>010</v>
      </c>
      <c r="C19" s="101" t="str">
        <f>IF($A19="","",IFERROR(INDEX(Data_Analitik!$C$2:$C$351,MATCH($A19,Data_Analitik!$AL$2:$AL$351,0)),""))</f>
        <v>Jl. Nusa Indah</v>
      </c>
      <c r="D19" s="101" t="str">
        <f>IF($A19="","",IFERROR(INDEX(Data_Analitik!$D$2:$D$351,MATCH($A19,Data_Analitik!$AL$2:$AL$351,0)),""))</f>
        <v>Kandangan</v>
      </c>
      <c r="E19" s="100">
        <f>IF($A19="","",IFERROR(INDEX(Data_Analitik!$E$2:$E$351,MATCH($A19,Data_Analitik!$AL$2:$AL$351,0)),""))</f>
        <v>0.38</v>
      </c>
      <c r="F19" s="97">
        <f>IF($A19="","",IFERROR(INDEX(Data_Analitik!$P$2:$P$351,MATCH($A19,Data_Analitik!$AL$2:$AL$351,0)),""))</f>
        <v>0.52631579731640066</v>
      </c>
      <c r="G19" s="97">
        <f>IF($A19="","",IFERROR(INDEX(Data_Analitik!$R$2:$R$351,MATCH($A19,Data_Analitik!$AL$2:$AL$351,0)),""))</f>
        <v>0.4736842293488352</v>
      </c>
      <c r="H19" s="97">
        <f>IF($A19="","",IFERROR(INDEX(Data_Analitik!$T$2:$T$351,MATCH($A19,Data_Analitik!$AL$2:$AL$351,0)),""))</f>
        <v>0</v>
      </c>
      <c r="I19" s="97">
        <f>IF($A19="","",IFERROR(INDEX(Data_Analitik!$V$2:$V$351,MATCH($A19,Data_Analitik!$AL$2:$AL$351,0)),""))</f>
        <v>0</v>
      </c>
      <c r="J19" s="97">
        <f>IF($A19="","",IFERROR(INDEX(Data_Analitik!$X$2:$X$351,MATCH($A19,Data_Analitik!$AL$2:$AL$351,0)),""))</f>
        <v>1.0000000266652358</v>
      </c>
      <c r="K19" s="97">
        <f>IF($A19="","",IFERROR(INDEX(Data_Analitik!$Z$2:$Z$351,MATCH($A19,Data_Analitik!$AL$2:$AL$351,0)),""))</f>
        <v>0</v>
      </c>
      <c r="L19" s="33" t="str">
        <f>IF($A19="","",IFERROR(INDEX(Data_Analitik!$AB$2:$AB$351,MATCH($A19,Data_Analitik!$AL$2:$AL$351,0)),""))</f>
        <v>Relatif Mantap</v>
      </c>
    </row>
    <row r="20" spans="1:12" ht="21.95" customHeight="1" x14ac:dyDescent="0.25">
      <c r="A20" s="32">
        <f>IF(ROW()-9&lt;=SUM(Data_Analitik!$AK$2:$AK$351),ROW()-9,"")</f>
        <v>11</v>
      </c>
      <c r="B20" s="99" t="str">
        <f>IF($A20="","",IFERROR(INDEX(Data_Analitik!$B$2:$B$351,MATCH($A20,Data_Analitik!$AL$2:$AL$351,0)),""))</f>
        <v>011</v>
      </c>
      <c r="C20" s="101" t="str">
        <f>IF($A20="","",IFERROR(INDEX(Data_Analitik!$C$2:$C$351,MATCH($A20,Data_Analitik!$AL$2:$AL$351,0)),""))</f>
        <v>Jl. Anggrek</v>
      </c>
      <c r="D20" s="101" t="str">
        <f>IF($A20="","",IFERROR(INDEX(Data_Analitik!$D$2:$D$351,MATCH($A20,Data_Analitik!$AL$2:$AL$351,0)),""))</f>
        <v>Kandangan</v>
      </c>
      <c r="E20" s="100">
        <f>IF($A20="","",IFERROR(INDEX(Data_Analitik!$E$2:$E$351,MATCH($A20,Data_Analitik!$AL$2:$AL$351,0)),""))</f>
        <v>0.23</v>
      </c>
      <c r="F20" s="97">
        <f>IF($A20="","",IFERROR(INDEX(Data_Analitik!$P$2:$P$351,MATCH($A20,Data_Analitik!$AL$2:$AL$351,0)),""))</f>
        <v>1.000000018140544</v>
      </c>
      <c r="G20" s="97">
        <f>IF($A20="","",IFERROR(INDEX(Data_Analitik!$R$2:$R$351,MATCH($A20,Data_Analitik!$AL$2:$AL$351,0)),""))</f>
        <v>0</v>
      </c>
      <c r="H20" s="97">
        <f>IF($A20="","",IFERROR(INDEX(Data_Analitik!$T$2:$T$351,MATCH($A20,Data_Analitik!$AL$2:$AL$351,0)),""))</f>
        <v>0</v>
      </c>
      <c r="I20" s="97">
        <f>IF($A20="","",IFERROR(INDEX(Data_Analitik!$V$2:$V$351,MATCH($A20,Data_Analitik!$AL$2:$AL$351,0)),""))</f>
        <v>0</v>
      </c>
      <c r="J20" s="97">
        <f>IF($A20="","",IFERROR(INDEX(Data_Analitik!$X$2:$X$351,MATCH($A20,Data_Analitik!$AL$2:$AL$351,0)),""))</f>
        <v>1.000000018140544</v>
      </c>
      <c r="K20" s="97">
        <f>IF($A20="","",IFERROR(INDEX(Data_Analitik!$Z$2:$Z$351,MATCH($A20,Data_Analitik!$AL$2:$AL$351,0)),""))</f>
        <v>0</v>
      </c>
      <c r="L20" s="33" t="str">
        <f>IF($A20="","",IFERROR(INDEX(Data_Analitik!$AB$2:$AB$351,MATCH($A20,Data_Analitik!$AL$2:$AL$351,0)),""))</f>
        <v>Relatif Mantap</v>
      </c>
    </row>
    <row r="21" spans="1:12" ht="21.95" customHeight="1" x14ac:dyDescent="0.25">
      <c r="A21" s="32">
        <f>IF(ROW()-9&lt;=SUM(Data_Analitik!$AK$2:$AK$351),ROW()-9,"")</f>
        <v>12</v>
      </c>
      <c r="B21" s="99" t="str">
        <f>IF($A21="","",IFERROR(INDEX(Data_Analitik!$B$2:$B$351,MATCH($A21,Data_Analitik!$AL$2:$AL$351,0)),""))</f>
        <v>012</v>
      </c>
      <c r="C21" s="101" t="str">
        <f>IF($A21="","",IFERROR(INDEX(Data_Analitik!$C$2:$C$351,MATCH($A21,Data_Analitik!$AL$2:$AL$351,0)),""))</f>
        <v>Jl. Kenanga</v>
      </c>
      <c r="D21" s="101" t="str">
        <f>IF($A21="","",IFERROR(INDEX(Data_Analitik!$D$2:$D$351,MATCH($A21,Data_Analitik!$AL$2:$AL$351,0)),""))</f>
        <v>Kandangan</v>
      </c>
      <c r="E21" s="100">
        <f>IF($A21="","",IFERROR(INDEX(Data_Analitik!$E$2:$E$351,MATCH($A21,Data_Analitik!$AL$2:$AL$351,0)),""))</f>
        <v>0.23</v>
      </c>
      <c r="F21" s="97">
        <f>IF($A21="","",IFERROR(INDEX(Data_Analitik!$P$2:$P$351,MATCH($A21,Data_Analitik!$AL$2:$AL$351,0)),""))</f>
        <v>1.000000018140544</v>
      </c>
      <c r="G21" s="97">
        <f>IF($A21="","",IFERROR(INDEX(Data_Analitik!$R$2:$R$351,MATCH($A21,Data_Analitik!$AL$2:$AL$351,0)),""))</f>
        <v>0</v>
      </c>
      <c r="H21" s="97">
        <f>IF($A21="","",IFERROR(INDEX(Data_Analitik!$T$2:$T$351,MATCH($A21,Data_Analitik!$AL$2:$AL$351,0)),""))</f>
        <v>0</v>
      </c>
      <c r="I21" s="97">
        <f>IF($A21="","",IFERROR(INDEX(Data_Analitik!$V$2:$V$351,MATCH($A21,Data_Analitik!$AL$2:$AL$351,0)),""))</f>
        <v>0</v>
      </c>
      <c r="J21" s="97">
        <f>IF($A21="","",IFERROR(INDEX(Data_Analitik!$X$2:$X$351,MATCH($A21,Data_Analitik!$AL$2:$AL$351,0)),""))</f>
        <v>1.000000018140544</v>
      </c>
      <c r="K21" s="97">
        <f>IF($A21="","",IFERROR(INDEX(Data_Analitik!$Z$2:$Z$351,MATCH($A21,Data_Analitik!$AL$2:$AL$351,0)),""))</f>
        <v>0</v>
      </c>
      <c r="L21" s="33" t="str">
        <f>IF($A21="","",IFERROR(INDEX(Data_Analitik!$AB$2:$AB$351,MATCH($A21,Data_Analitik!$AL$2:$AL$351,0)),""))</f>
        <v>Relatif Mantap</v>
      </c>
    </row>
    <row r="22" spans="1:12" ht="21.95" customHeight="1" x14ac:dyDescent="0.25">
      <c r="A22" s="32">
        <f>IF(ROW()-9&lt;=SUM(Data_Analitik!$AK$2:$AK$351),ROW()-9,"")</f>
        <v>13</v>
      </c>
      <c r="B22" s="99" t="str">
        <f>IF($A22="","",IFERROR(INDEX(Data_Analitik!$B$2:$B$351,MATCH($A22,Data_Analitik!$AL$2:$AL$351,0)),""))</f>
        <v>013</v>
      </c>
      <c r="C22" s="101" t="str">
        <f>IF($A22="","",IFERROR(INDEX(Data_Analitik!$C$2:$C$351,MATCH($A22,Data_Analitik!$AL$2:$AL$351,0)),""))</f>
        <v>Jl. Mawar</v>
      </c>
      <c r="D22" s="101" t="str">
        <f>IF($A22="","",IFERROR(INDEX(Data_Analitik!$D$2:$D$351,MATCH($A22,Data_Analitik!$AL$2:$AL$351,0)),""))</f>
        <v>Kandangan</v>
      </c>
      <c r="E22" s="100">
        <f>IF($A22="","",IFERROR(INDEX(Data_Analitik!$E$2:$E$351,MATCH($A22,Data_Analitik!$AL$2:$AL$351,0)),""))</f>
        <v>0.23</v>
      </c>
      <c r="F22" s="97">
        <f>IF($A22="","",IFERROR(INDEX(Data_Analitik!$P$2:$P$351,MATCH($A22,Data_Analitik!$AL$2:$AL$351,0)),""))</f>
        <v>0</v>
      </c>
      <c r="G22" s="97">
        <f>IF($A22="","",IFERROR(INDEX(Data_Analitik!$R$2:$R$351,MATCH($A22,Data_Analitik!$AL$2:$AL$351,0)),""))</f>
        <v>1.000000018140544</v>
      </c>
      <c r="H22" s="97">
        <f>IF($A22="","",IFERROR(INDEX(Data_Analitik!$T$2:$T$351,MATCH($A22,Data_Analitik!$AL$2:$AL$351,0)),""))</f>
        <v>0</v>
      </c>
      <c r="I22" s="97">
        <f>IF($A22="","",IFERROR(INDEX(Data_Analitik!$V$2:$V$351,MATCH($A22,Data_Analitik!$AL$2:$AL$351,0)),""))</f>
        <v>0</v>
      </c>
      <c r="J22" s="97">
        <f>IF($A22="","",IFERROR(INDEX(Data_Analitik!$X$2:$X$351,MATCH($A22,Data_Analitik!$AL$2:$AL$351,0)),""))</f>
        <v>1.000000018140544</v>
      </c>
      <c r="K22" s="97">
        <f>IF($A22="","",IFERROR(INDEX(Data_Analitik!$Z$2:$Z$351,MATCH($A22,Data_Analitik!$AL$2:$AL$351,0)),""))</f>
        <v>0</v>
      </c>
      <c r="L22" s="33" t="str">
        <f>IF($A22="","",IFERROR(INDEX(Data_Analitik!$AB$2:$AB$351,MATCH($A22,Data_Analitik!$AL$2:$AL$351,0)),""))</f>
        <v>Relatif Mantap</v>
      </c>
    </row>
    <row r="23" spans="1:12" ht="21.95" customHeight="1" x14ac:dyDescent="0.25">
      <c r="A23" s="32">
        <f>IF(ROW()-9&lt;=SUM(Data_Analitik!$AK$2:$AK$351),ROW()-9,"")</f>
        <v>14</v>
      </c>
      <c r="B23" s="99" t="str">
        <f>IF($A23="","",IFERROR(INDEX(Data_Analitik!$B$2:$B$351,MATCH($A23,Data_Analitik!$AL$2:$AL$351,0)),""))</f>
        <v>014</v>
      </c>
      <c r="C23" s="101" t="str">
        <f>IF($A23="","",IFERROR(INDEX(Data_Analitik!$C$2:$C$351,MATCH($A23,Data_Analitik!$AL$2:$AL$351,0)),""))</f>
        <v>Jl. Kamboja</v>
      </c>
      <c r="D23" s="101" t="str">
        <f>IF($A23="","",IFERROR(INDEX(Data_Analitik!$D$2:$D$351,MATCH($A23,Data_Analitik!$AL$2:$AL$351,0)),""))</f>
        <v>Kandangan</v>
      </c>
      <c r="E23" s="100">
        <f>IF($A23="","",IFERROR(INDEX(Data_Analitik!$E$2:$E$351,MATCH($A23,Data_Analitik!$AL$2:$AL$351,0)),""))</f>
        <v>0.21</v>
      </c>
      <c r="F23" s="97">
        <f>IF($A23="","",IFERROR(INDEX(Data_Analitik!$P$2:$P$351,MATCH($A23,Data_Analitik!$AL$2:$AL$351,0)),""))</f>
        <v>0</v>
      </c>
      <c r="G23" s="97">
        <f>IF($A23="","",IFERROR(INDEX(Data_Analitik!$R$2:$R$351,MATCH($A23,Data_Analitik!$AL$2:$AL$351,0)),""))</f>
        <v>0.99999996877851949</v>
      </c>
      <c r="H23" s="97">
        <f>IF($A23="","",IFERROR(INDEX(Data_Analitik!$T$2:$T$351,MATCH($A23,Data_Analitik!$AL$2:$AL$351,0)),""))</f>
        <v>0</v>
      </c>
      <c r="I23" s="97">
        <f>IF($A23="","",IFERROR(INDEX(Data_Analitik!$V$2:$V$351,MATCH($A23,Data_Analitik!$AL$2:$AL$351,0)),""))</f>
        <v>0</v>
      </c>
      <c r="J23" s="97">
        <f>IF($A23="","",IFERROR(INDEX(Data_Analitik!$X$2:$X$351,MATCH($A23,Data_Analitik!$AL$2:$AL$351,0)),""))</f>
        <v>0.99999996877851949</v>
      </c>
      <c r="K23" s="97">
        <f>IF($A23="","",IFERROR(INDEX(Data_Analitik!$Z$2:$Z$351,MATCH($A23,Data_Analitik!$AL$2:$AL$351,0)),""))</f>
        <v>0</v>
      </c>
      <c r="L23" s="33" t="str">
        <f>IF($A23="","",IFERROR(INDEX(Data_Analitik!$AB$2:$AB$351,MATCH($A23,Data_Analitik!$AL$2:$AL$351,0)),""))</f>
        <v>Relatif Mantap</v>
      </c>
    </row>
    <row r="24" spans="1:12" ht="21.95" customHeight="1" x14ac:dyDescent="0.25">
      <c r="A24" s="32">
        <f>IF(ROW()-9&lt;=SUM(Data_Analitik!$AK$2:$AK$351),ROW()-9,"")</f>
        <v>15</v>
      </c>
      <c r="B24" s="99" t="str">
        <f>IF($A24="","",IFERROR(INDEX(Data_Analitik!$B$2:$B$351,MATCH($A24,Data_Analitik!$AL$2:$AL$351,0)),""))</f>
        <v>015</v>
      </c>
      <c r="C24" s="101" t="str">
        <f>IF($A24="","",IFERROR(INDEX(Data_Analitik!$C$2:$C$351,MATCH($A24,Data_Analitik!$AL$2:$AL$351,0)),""))</f>
        <v>Jl. Dahlia</v>
      </c>
      <c r="D24" s="101" t="str">
        <f>IF($A24="","",IFERROR(INDEX(Data_Analitik!$D$2:$D$351,MATCH($A24,Data_Analitik!$AL$2:$AL$351,0)),""))</f>
        <v>Kandangan</v>
      </c>
      <c r="E24" s="100">
        <f>IF($A24="","",IFERROR(INDEX(Data_Analitik!$E$2:$E$351,MATCH($A24,Data_Analitik!$AL$2:$AL$351,0)),""))</f>
        <v>0.18</v>
      </c>
      <c r="F24" s="97">
        <f>IF($A24="","",IFERROR(INDEX(Data_Analitik!$P$2:$P$351,MATCH($A24,Data_Analitik!$AL$2:$AL$351,0)),""))</f>
        <v>0</v>
      </c>
      <c r="G24" s="97">
        <f>IF($A24="","",IFERROR(INDEX(Data_Analitik!$R$2:$R$351,MATCH($A24,Data_Analitik!$AL$2:$AL$351,0)),""))</f>
        <v>0</v>
      </c>
      <c r="H24" s="97">
        <f>IF($A24="","",IFERROR(INDEX(Data_Analitik!$T$2:$T$351,MATCH($A24,Data_Analitik!$AL$2:$AL$351,0)),""))</f>
        <v>0.55555556383397842</v>
      </c>
      <c r="I24" s="97">
        <f>IF($A24="","",IFERROR(INDEX(Data_Analitik!$V$2:$V$351,MATCH($A24,Data_Analitik!$AL$2:$AL$351,0)),""))</f>
        <v>0.44444443451033699</v>
      </c>
      <c r="J24" s="97">
        <f>IF($A24="","",IFERROR(INDEX(Data_Analitik!$X$2:$X$351,MATCH($A24,Data_Analitik!$AL$2:$AL$351,0)),""))</f>
        <v>0</v>
      </c>
      <c r="K24" s="97">
        <f>IF($A24="","",IFERROR(INDEX(Data_Analitik!$Z$2:$Z$351,MATCH($A24,Data_Analitik!$AL$2:$AL$351,0)),""))</f>
        <v>0.99999999834431541</v>
      </c>
      <c r="L24" s="33" t="str">
        <f>IF($A24="","",IFERROR(INDEX(Data_Analitik!$AB$2:$AB$351,MATCH($A24,Data_Analitik!$AL$2:$AL$351,0)),""))</f>
        <v>Rusak Berat Dominan</v>
      </c>
    </row>
    <row r="25" spans="1:12" ht="21.95" customHeight="1" x14ac:dyDescent="0.25">
      <c r="A25" s="32">
        <f>IF(ROW()-9&lt;=SUM(Data_Analitik!$AK$2:$AK$351),ROW()-9,"")</f>
        <v>16</v>
      </c>
      <c r="B25" s="99" t="str">
        <f>IF($A25="","",IFERROR(INDEX(Data_Analitik!$B$2:$B$351,MATCH($A25,Data_Analitik!$AL$2:$AL$351,0)),""))</f>
        <v>016</v>
      </c>
      <c r="C25" s="101" t="str">
        <f>IF($A25="","",IFERROR(INDEX(Data_Analitik!$C$2:$C$351,MATCH($A25,Data_Analitik!$AL$2:$AL$351,0)),""))</f>
        <v>Jl. KS. Tubun</v>
      </c>
      <c r="D25" s="101" t="str">
        <f>IF($A25="","",IFERROR(INDEX(Data_Analitik!$D$2:$D$351,MATCH($A25,Data_Analitik!$AL$2:$AL$351,0)),""))</f>
        <v>Kandangan</v>
      </c>
      <c r="E25" s="100">
        <f>IF($A25="","",IFERROR(INDEX(Data_Analitik!$E$2:$E$351,MATCH($A25,Data_Analitik!$AL$2:$AL$351,0)),""))</f>
        <v>0.96</v>
      </c>
      <c r="F25" s="97">
        <f>IF($A25="","",IFERROR(INDEX(Data_Analitik!$P$2:$P$351,MATCH($A25,Data_Analitik!$AL$2:$AL$351,0)),""))</f>
        <v>0.16666666294137639</v>
      </c>
      <c r="G25" s="97">
        <f>IF($A25="","",IFERROR(INDEX(Data_Analitik!$R$2:$R$351,MATCH($A25,Data_Analitik!$AL$2:$AL$351,0)),""))</f>
        <v>0.31250001241763437</v>
      </c>
      <c r="H25" s="97">
        <f>IF($A25="","",IFERROR(INDEX(Data_Analitik!$T$2:$T$351,MATCH($A25,Data_Analitik!$AL$2:$AL$351,0)),""))</f>
        <v>0.52083333333333337</v>
      </c>
      <c r="I25" s="97">
        <f>IF($A25="","",IFERROR(INDEX(Data_Analitik!$V$2:$V$351,MATCH($A25,Data_Analitik!$AL$2:$AL$351,0)),""))</f>
        <v>0</v>
      </c>
      <c r="J25" s="97">
        <f>IF($A25="","",IFERROR(INDEX(Data_Analitik!$X$2:$X$351,MATCH($A25,Data_Analitik!$AL$2:$AL$351,0)),""))</f>
        <v>0.4791666753590107</v>
      </c>
      <c r="K25" s="97">
        <f>IF($A25="","",IFERROR(INDEX(Data_Analitik!$Z$2:$Z$351,MATCH($A25,Data_Analitik!$AL$2:$AL$351,0)),""))</f>
        <v>0.52083333333333337</v>
      </c>
      <c r="L25" s="33" t="str">
        <f>IF($A25="","",IFERROR(INDEX(Data_Analitik!$AB$2:$AB$351,MATCH($A25,Data_Analitik!$AL$2:$AL$351,0)),""))</f>
        <v>Tidak Mantap Tinggi</v>
      </c>
    </row>
    <row r="26" spans="1:12" ht="21.95" customHeight="1" x14ac:dyDescent="0.25">
      <c r="A26" s="32">
        <f>IF(ROW()-9&lt;=SUM(Data_Analitik!$AK$2:$AK$351),ROW()-9,"")</f>
        <v>17</v>
      </c>
      <c r="B26" s="99" t="str">
        <f>IF($A26="","",IFERROR(INDEX(Data_Analitik!$B$2:$B$351,MATCH($A26,Data_Analitik!$AL$2:$AL$351,0)),""))</f>
        <v>017</v>
      </c>
      <c r="C26" s="101" t="str">
        <f>IF($A26="","",IFERROR(INDEX(Data_Analitik!$C$2:$C$351,MATCH($A26,Data_Analitik!$AL$2:$AL$351,0)),""))</f>
        <v>Jl. Pemuda</v>
      </c>
      <c r="D26" s="101" t="str">
        <f>IF($A26="","",IFERROR(INDEX(Data_Analitik!$D$2:$D$351,MATCH($A26,Data_Analitik!$AL$2:$AL$351,0)),""))</f>
        <v>Kandangan</v>
      </c>
      <c r="E26" s="100">
        <f>IF($A26="","",IFERROR(INDEX(Data_Analitik!$E$2:$E$351,MATCH($A26,Data_Analitik!$AL$2:$AL$351,0)),""))</f>
        <v>0.26</v>
      </c>
      <c r="F26" s="97">
        <f>IF($A26="","",IFERROR(INDEX(Data_Analitik!$P$2:$P$351,MATCH($A26,Data_Analitik!$AL$2:$AL$351,0)),""))</f>
        <v>0.99999996332021857</v>
      </c>
      <c r="G26" s="97">
        <f>IF($A26="","",IFERROR(INDEX(Data_Analitik!$R$2:$R$351,MATCH($A26,Data_Analitik!$AL$2:$AL$351,0)),""))</f>
        <v>0</v>
      </c>
      <c r="H26" s="97">
        <f>IF($A26="","",IFERROR(INDEX(Data_Analitik!$T$2:$T$351,MATCH($A26,Data_Analitik!$AL$2:$AL$351,0)),""))</f>
        <v>0</v>
      </c>
      <c r="I26" s="97">
        <f>IF($A26="","",IFERROR(INDEX(Data_Analitik!$V$2:$V$351,MATCH($A26,Data_Analitik!$AL$2:$AL$351,0)),""))</f>
        <v>0</v>
      </c>
      <c r="J26" s="97">
        <f>IF($A26="","",IFERROR(INDEX(Data_Analitik!$X$2:$X$351,MATCH($A26,Data_Analitik!$AL$2:$AL$351,0)),""))</f>
        <v>0.99999996332021857</v>
      </c>
      <c r="K26" s="97">
        <f>IF($A26="","",IFERROR(INDEX(Data_Analitik!$Z$2:$Z$351,MATCH($A26,Data_Analitik!$AL$2:$AL$351,0)),""))</f>
        <v>0</v>
      </c>
      <c r="L26" s="33" t="str">
        <f>IF($A26="","",IFERROR(INDEX(Data_Analitik!$AB$2:$AB$351,MATCH($A26,Data_Analitik!$AL$2:$AL$351,0)),""))</f>
        <v>Relatif Mantap</v>
      </c>
    </row>
    <row r="27" spans="1:12" ht="21.95" customHeight="1" x14ac:dyDescent="0.25">
      <c r="A27" s="32">
        <f>IF(ROW()-9&lt;=SUM(Data_Analitik!$AK$2:$AK$351),ROW()-9,"")</f>
        <v>18</v>
      </c>
      <c r="B27" s="99" t="str">
        <f>IF($A27="","",IFERROR(INDEX(Data_Analitik!$B$2:$B$351,MATCH($A27,Data_Analitik!$AL$2:$AL$351,0)),""))</f>
        <v>018</v>
      </c>
      <c r="C27" s="101" t="str">
        <f>IF($A27="","",IFERROR(INDEX(Data_Analitik!$C$2:$C$351,MATCH($A27,Data_Analitik!$AL$2:$AL$351,0)),""))</f>
        <v>Jl. Parindra</v>
      </c>
      <c r="D27" s="101" t="str">
        <f>IF($A27="","",IFERROR(INDEX(Data_Analitik!$D$2:$D$351,MATCH($A27,Data_Analitik!$AL$2:$AL$351,0)),""))</f>
        <v>Kandangan</v>
      </c>
      <c r="E27" s="100">
        <f>IF($A27="","",IFERROR(INDEX(Data_Analitik!$E$2:$E$351,MATCH($A27,Data_Analitik!$AL$2:$AL$351,0)),""))</f>
        <v>0.28000000000000003</v>
      </c>
      <c r="F27" s="97">
        <f>IF($A27="","",IFERROR(INDEX(Data_Analitik!$P$2:$P$351,MATCH($A27,Data_Analitik!$AL$2:$AL$351,0)),""))</f>
        <v>0.64285716840199059</v>
      </c>
      <c r="G27" s="97">
        <f>IF($A27="","",IFERROR(INDEX(Data_Analitik!$R$2:$R$351,MATCH($A27,Data_Analitik!$AL$2:$AL$351,0)),""))</f>
        <v>0.35714286246470039</v>
      </c>
      <c r="H27" s="97">
        <f>IF($A27="","",IFERROR(INDEX(Data_Analitik!$T$2:$T$351,MATCH($A27,Data_Analitik!$AL$2:$AL$351,0)),""))</f>
        <v>0</v>
      </c>
      <c r="I27" s="97">
        <f>IF($A27="","",IFERROR(INDEX(Data_Analitik!$V$2:$V$351,MATCH($A27,Data_Analitik!$AL$2:$AL$351,0)),""))</f>
        <v>0</v>
      </c>
      <c r="J27" s="97">
        <f>IF($A27="","",IFERROR(INDEX(Data_Analitik!$X$2:$X$351,MATCH($A27,Data_Analitik!$AL$2:$AL$351,0)),""))</f>
        <v>1.000000030866691</v>
      </c>
      <c r="K27" s="97">
        <f>IF($A27="","",IFERROR(INDEX(Data_Analitik!$Z$2:$Z$351,MATCH($A27,Data_Analitik!$AL$2:$AL$351,0)),""))</f>
        <v>0</v>
      </c>
      <c r="L27" s="33" t="str">
        <f>IF($A27="","",IFERROR(INDEX(Data_Analitik!$AB$2:$AB$351,MATCH($A27,Data_Analitik!$AL$2:$AL$351,0)),""))</f>
        <v>Relatif Mantap</v>
      </c>
    </row>
    <row r="28" spans="1:12" ht="21.95" customHeight="1" x14ac:dyDescent="0.25">
      <c r="A28" s="32">
        <f>IF(ROW()-9&lt;=SUM(Data_Analitik!$AK$2:$AK$351),ROW()-9,"")</f>
        <v>19</v>
      </c>
      <c r="B28" s="99" t="str">
        <f>IF($A28="","",IFERROR(INDEX(Data_Analitik!$B$2:$B$351,MATCH($A28,Data_Analitik!$AL$2:$AL$351,0)),""))</f>
        <v>019</v>
      </c>
      <c r="C28" s="101" t="str">
        <f>IF($A28="","",IFERROR(INDEX(Data_Analitik!$C$2:$C$351,MATCH($A28,Data_Analitik!$AL$2:$AL$351,0)),""))</f>
        <v>Jl. Wahab Syahrani</v>
      </c>
      <c r="D28" s="101" t="str">
        <f>IF($A28="","",IFERROR(INDEX(Data_Analitik!$D$2:$D$351,MATCH($A28,Data_Analitik!$AL$2:$AL$351,0)),""))</f>
        <v>Kandangan</v>
      </c>
      <c r="E28" s="100">
        <f>IF($A28="","",IFERROR(INDEX(Data_Analitik!$E$2:$E$351,MATCH($A28,Data_Analitik!$AL$2:$AL$351,0)),""))</f>
        <v>0.12</v>
      </c>
      <c r="F28" s="97">
        <f>IF($A28="","",IFERROR(INDEX(Data_Analitik!$P$2:$P$351,MATCH($A28,Data_Analitik!$AL$2:$AL$351,0)),""))</f>
        <v>0</v>
      </c>
      <c r="G28" s="97">
        <f>IF($A28="","",IFERROR(INDEX(Data_Analitik!$R$2:$R$351,MATCH($A28,Data_Analitik!$AL$2:$AL$351,0)),""))</f>
        <v>0.99999997764825821</v>
      </c>
      <c r="H28" s="97">
        <f>IF($A28="","",IFERROR(INDEX(Data_Analitik!$T$2:$T$351,MATCH($A28,Data_Analitik!$AL$2:$AL$351,0)),""))</f>
        <v>0</v>
      </c>
      <c r="I28" s="97">
        <f>IF($A28="","",IFERROR(INDEX(Data_Analitik!$V$2:$V$351,MATCH($A28,Data_Analitik!$AL$2:$AL$351,0)),""))</f>
        <v>0</v>
      </c>
      <c r="J28" s="97">
        <f>IF($A28="","",IFERROR(INDEX(Data_Analitik!$X$2:$X$351,MATCH($A28,Data_Analitik!$AL$2:$AL$351,0)),""))</f>
        <v>0.99999997764825821</v>
      </c>
      <c r="K28" s="97">
        <f>IF($A28="","",IFERROR(INDEX(Data_Analitik!$Z$2:$Z$351,MATCH($A28,Data_Analitik!$AL$2:$AL$351,0)),""))</f>
        <v>0</v>
      </c>
      <c r="L28" s="33" t="str">
        <f>IF($A28="","",IFERROR(INDEX(Data_Analitik!$AB$2:$AB$351,MATCH($A28,Data_Analitik!$AL$2:$AL$351,0)),""))</f>
        <v>Relatif Mantap</v>
      </c>
    </row>
    <row r="29" spans="1:12" ht="21.95" customHeight="1" x14ac:dyDescent="0.25">
      <c r="A29" s="32">
        <f>IF(ROW()-9&lt;=SUM(Data_Analitik!$AK$2:$AK$351),ROW()-9,"")</f>
        <v>20</v>
      </c>
      <c r="B29" s="99" t="str">
        <f>IF($A29="","",IFERROR(INDEX(Data_Analitik!$B$2:$B$351,MATCH($A29,Data_Analitik!$AL$2:$AL$351,0)),""))</f>
        <v>020</v>
      </c>
      <c r="C29" s="101" t="str">
        <f>IF($A29="","",IFERROR(INDEX(Data_Analitik!$C$2:$C$351,MATCH($A29,Data_Analitik!$AL$2:$AL$351,0)),""))</f>
        <v>Jl. Musyawarah</v>
      </c>
      <c r="D29" s="101" t="str">
        <f>IF($A29="","",IFERROR(INDEX(Data_Analitik!$D$2:$D$351,MATCH($A29,Data_Analitik!$AL$2:$AL$351,0)),""))</f>
        <v>Kandangan</v>
      </c>
      <c r="E29" s="100">
        <f>IF($A29="","",IFERROR(INDEX(Data_Analitik!$E$2:$E$351,MATCH($A29,Data_Analitik!$AL$2:$AL$351,0)),""))</f>
        <v>0.32</v>
      </c>
      <c r="F29" s="97">
        <f>IF($A29="","",IFERROR(INDEX(Data_Analitik!$P$2:$P$351,MATCH($A29,Data_Analitik!$AL$2:$AL$351,0)),""))</f>
        <v>0.31250000465661287</v>
      </c>
      <c r="G29" s="97">
        <f>IF($A29="","",IFERROR(INDEX(Data_Analitik!$R$2:$R$351,MATCH($A29,Data_Analitik!$AL$2:$AL$351,0)),""))</f>
        <v>0.6874999962747097</v>
      </c>
      <c r="H29" s="97">
        <f>IF($A29="","",IFERROR(INDEX(Data_Analitik!$T$2:$T$351,MATCH($A29,Data_Analitik!$AL$2:$AL$351,0)),""))</f>
        <v>0</v>
      </c>
      <c r="I29" s="97">
        <f>IF($A29="","",IFERROR(INDEX(Data_Analitik!$V$2:$V$351,MATCH($A29,Data_Analitik!$AL$2:$AL$351,0)),""))</f>
        <v>0</v>
      </c>
      <c r="J29" s="97">
        <f>IF($A29="","",IFERROR(INDEX(Data_Analitik!$X$2:$X$351,MATCH($A29,Data_Analitik!$AL$2:$AL$351,0)),""))</f>
        <v>1.0000000009313226</v>
      </c>
      <c r="K29" s="97">
        <f>IF($A29="","",IFERROR(INDEX(Data_Analitik!$Z$2:$Z$351,MATCH($A29,Data_Analitik!$AL$2:$AL$351,0)),""))</f>
        <v>0</v>
      </c>
      <c r="L29" s="33" t="str">
        <f>IF($A29="","",IFERROR(INDEX(Data_Analitik!$AB$2:$AB$351,MATCH($A29,Data_Analitik!$AL$2:$AL$351,0)),""))</f>
        <v>Relatif Mantap</v>
      </c>
    </row>
    <row r="30" spans="1:12" ht="21.95" customHeight="1" x14ac:dyDescent="0.25">
      <c r="A30" s="32">
        <f>IF(ROW()-9&lt;=SUM(Data_Analitik!$AK$2:$AK$351),ROW()-9,"")</f>
        <v>21</v>
      </c>
      <c r="B30" s="99" t="str">
        <f>IF($A30="","",IFERROR(INDEX(Data_Analitik!$B$2:$B$351,MATCH($A30,Data_Analitik!$AL$2:$AL$351,0)),""))</f>
        <v>021</v>
      </c>
      <c r="C30" s="101" t="str">
        <f>IF($A30="","",IFERROR(INDEX(Data_Analitik!$C$2:$C$351,MATCH($A30,Data_Analitik!$AL$2:$AL$351,0)),""))</f>
        <v>Jl. Sekolah Islam</v>
      </c>
      <c r="D30" s="101" t="str">
        <f>IF($A30="","",IFERROR(INDEX(Data_Analitik!$D$2:$D$351,MATCH($A30,Data_Analitik!$AL$2:$AL$351,0)),""))</f>
        <v>Kandangan</v>
      </c>
      <c r="E30" s="100">
        <f>IF($A30="","",IFERROR(INDEX(Data_Analitik!$E$2:$E$351,MATCH($A30,Data_Analitik!$AL$2:$AL$351,0)),""))</f>
        <v>0.2</v>
      </c>
      <c r="F30" s="97">
        <f>IF($A30="","",IFERROR(INDEX(Data_Analitik!$P$2:$P$351,MATCH($A30,Data_Analitik!$AL$2:$AL$351,0)),""))</f>
        <v>1.0000000149011612</v>
      </c>
      <c r="G30" s="97">
        <f>IF($A30="","",IFERROR(INDEX(Data_Analitik!$R$2:$R$351,MATCH($A30,Data_Analitik!$AL$2:$AL$351,0)),""))</f>
        <v>0</v>
      </c>
      <c r="H30" s="97">
        <f>IF($A30="","",IFERROR(INDEX(Data_Analitik!$T$2:$T$351,MATCH($A30,Data_Analitik!$AL$2:$AL$351,0)),""))</f>
        <v>0</v>
      </c>
      <c r="I30" s="97">
        <f>IF($A30="","",IFERROR(INDEX(Data_Analitik!$V$2:$V$351,MATCH($A30,Data_Analitik!$AL$2:$AL$351,0)),""))</f>
        <v>0</v>
      </c>
      <c r="J30" s="97">
        <f>IF($A30="","",IFERROR(INDEX(Data_Analitik!$X$2:$X$351,MATCH($A30,Data_Analitik!$AL$2:$AL$351,0)),""))</f>
        <v>1.0000000149011612</v>
      </c>
      <c r="K30" s="97">
        <f>IF($A30="","",IFERROR(INDEX(Data_Analitik!$Z$2:$Z$351,MATCH($A30,Data_Analitik!$AL$2:$AL$351,0)),""))</f>
        <v>0</v>
      </c>
      <c r="L30" s="33" t="str">
        <f>IF($A30="","",IFERROR(INDEX(Data_Analitik!$AB$2:$AB$351,MATCH($A30,Data_Analitik!$AL$2:$AL$351,0)),""))</f>
        <v>Relatif Mantap</v>
      </c>
    </row>
    <row r="31" spans="1:12" ht="21.95" customHeight="1" x14ac:dyDescent="0.25">
      <c r="A31" s="32">
        <f>IF(ROW()-9&lt;=SUM(Data_Analitik!$AK$2:$AK$351),ROW()-9,"")</f>
        <v>22</v>
      </c>
      <c r="B31" s="99" t="str">
        <f>IF($A31="","",IFERROR(INDEX(Data_Analitik!$B$2:$B$351,MATCH($A31,Data_Analitik!$AL$2:$AL$351,0)),""))</f>
        <v>022</v>
      </c>
      <c r="C31" s="101" t="str">
        <f>IF($A31="","",IFERROR(INDEX(Data_Analitik!$C$2:$C$351,MATCH($A31,Data_Analitik!$AL$2:$AL$351,0)),""))</f>
        <v>Jl. Rahmah Bahran</v>
      </c>
      <c r="D31" s="101" t="str">
        <f>IF($A31="","",IFERROR(INDEX(Data_Analitik!$D$2:$D$351,MATCH($A31,Data_Analitik!$AL$2:$AL$351,0)),""))</f>
        <v>Kandangan</v>
      </c>
      <c r="E31" s="100">
        <f>IF($A31="","",IFERROR(INDEX(Data_Analitik!$E$2:$E$351,MATCH($A31,Data_Analitik!$AL$2:$AL$351,0)),""))</f>
        <v>0.22</v>
      </c>
      <c r="F31" s="97">
        <f>IF($A31="","",IFERROR(INDEX(Data_Analitik!$P$2:$P$351,MATCH($A31,Data_Analitik!$AL$2:$AL$351,0)),""))</f>
        <v>0</v>
      </c>
      <c r="G31" s="97">
        <f>IF($A31="","",IFERROR(INDEX(Data_Analitik!$R$2:$R$351,MATCH($A31,Data_Analitik!$AL$2:$AL$351,0)),""))</f>
        <v>0.99999999458139588</v>
      </c>
      <c r="H31" s="97">
        <f>IF($A31="","",IFERROR(INDEX(Data_Analitik!$T$2:$T$351,MATCH($A31,Data_Analitik!$AL$2:$AL$351,0)),""))</f>
        <v>0</v>
      </c>
      <c r="I31" s="97">
        <f>IF($A31="","",IFERROR(INDEX(Data_Analitik!$V$2:$V$351,MATCH($A31,Data_Analitik!$AL$2:$AL$351,0)),""))</f>
        <v>0</v>
      </c>
      <c r="J31" s="97">
        <f>IF($A31="","",IFERROR(INDEX(Data_Analitik!$X$2:$X$351,MATCH($A31,Data_Analitik!$AL$2:$AL$351,0)),""))</f>
        <v>0.99999999458139588</v>
      </c>
      <c r="K31" s="97">
        <f>IF($A31="","",IFERROR(INDEX(Data_Analitik!$Z$2:$Z$351,MATCH($A31,Data_Analitik!$AL$2:$AL$351,0)),""))</f>
        <v>0</v>
      </c>
      <c r="L31" s="33" t="str">
        <f>IF($A31="","",IFERROR(INDEX(Data_Analitik!$AB$2:$AB$351,MATCH($A31,Data_Analitik!$AL$2:$AL$351,0)),""))</f>
        <v>Relatif Mantap</v>
      </c>
    </row>
    <row r="32" spans="1:12" ht="21.95" customHeight="1" x14ac:dyDescent="0.25">
      <c r="A32" s="32">
        <f>IF(ROW()-9&lt;=SUM(Data_Analitik!$AK$2:$AK$351),ROW()-9,"")</f>
        <v>23</v>
      </c>
      <c r="B32" s="99" t="str">
        <f>IF($A32="","",IFERROR(INDEX(Data_Analitik!$B$2:$B$351,MATCH($A32,Data_Analitik!$AL$2:$AL$351,0)),""))</f>
        <v>023</v>
      </c>
      <c r="C32" s="101" t="str">
        <f>IF($A32="","",IFERROR(INDEX(Data_Analitik!$C$2:$C$351,MATCH($A32,Data_Analitik!$AL$2:$AL$351,0)),""))</f>
        <v>Jl. Brigjen Katamso</v>
      </c>
      <c r="D32" s="101" t="str">
        <f>IF($A32="","",IFERROR(INDEX(Data_Analitik!$D$2:$D$351,MATCH($A32,Data_Analitik!$AL$2:$AL$351,0)),""))</f>
        <v>Kandangan</v>
      </c>
      <c r="E32" s="100">
        <f>IF($A32="","",IFERROR(INDEX(Data_Analitik!$E$2:$E$351,MATCH($A32,Data_Analitik!$AL$2:$AL$351,0)),""))</f>
        <v>0.35</v>
      </c>
      <c r="F32" s="97">
        <f>IF($A32="","",IFERROR(INDEX(Data_Analitik!$P$2:$P$351,MATCH($A32,Data_Analitik!$AL$2:$AL$351,0)),""))</f>
        <v>0</v>
      </c>
      <c r="G32" s="97">
        <f>IF($A32="","",IFERROR(INDEX(Data_Analitik!$R$2:$R$351,MATCH($A32,Data_Analitik!$AL$2:$AL$351,0)),""))</f>
        <v>0.99999998297010151</v>
      </c>
      <c r="H32" s="97">
        <f>IF($A32="","",IFERROR(INDEX(Data_Analitik!$T$2:$T$351,MATCH($A32,Data_Analitik!$AL$2:$AL$351,0)),""))</f>
        <v>0</v>
      </c>
      <c r="I32" s="97">
        <f>IF($A32="","",IFERROR(INDEX(Data_Analitik!$V$2:$V$351,MATCH($A32,Data_Analitik!$AL$2:$AL$351,0)),""))</f>
        <v>0</v>
      </c>
      <c r="J32" s="97">
        <f>IF($A32="","",IFERROR(INDEX(Data_Analitik!$X$2:$X$351,MATCH($A32,Data_Analitik!$AL$2:$AL$351,0)),""))</f>
        <v>0.99999998297010151</v>
      </c>
      <c r="K32" s="97">
        <f>IF($A32="","",IFERROR(INDEX(Data_Analitik!$Z$2:$Z$351,MATCH($A32,Data_Analitik!$AL$2:$AL$351,0)),""))</f>
        <v>0</v>
      </c>
      <c r="L32" s="33" t="str">
        <f>IF($A32="","",IFERROR(INDEX(Data_Analitik!$AB$2:$AB$351,MATCH($A32,Data_Analitik!$AL$2:$AL$351,0)),""))</f>
        <v>Relatif Mantap</v>
      </c>
    </row>
    <row r="33" spans="1:12" ht="21.95" customHeight="1" x14ac:dyDescent="0.25">
      <c r="A33" s="32">
        <f>IF(ROW()-9&lt;=SUM(Data_Analitik!$AK$2:$AK$351),ROW()-9,"")</f>
        <v>24</v>
      </c>
      <c r="B33" s="99" t="str">
        <f>IF($A33="","",IFERROR(INDEX(Data_Analitik!$B$2:$B$351,MATCH($A33,Data_Analitik!$AL$2:$AL$351,0)),""))</f>
        <v>024</v>
      </c>
      <c r="C33" s="101" t="str">
        <f>IF($A33="","",IFERROR(INDEX(Data_Analitik!$C$2:$C$351,MATCH($A33,Data_Analitik!$AL$2:$AL$351,0)),""))</f>
        <v>Jl. Kolonel Sugiono</v>
      </c>
      <c r="D33" s="101" t="str">
        <f>IF($A33="","",IFERROR(INDEX(Data_Analitik!$D$2:$D$351,MATCH($A33,Data_Analitik!$AL$2:$AL$351,0)),""))</f>
        <v>Kandangan</v>
      </c>
      <c r="E33" s="100">
        <f>IF($A33="","",IFERROR(INDEX(Data_Analitik!$E$2:$E$351,MATCH($A33,Data_Analitik!$AL$2:$AL$351,0)),""))</f>
        <v>0.22</v>
      </c>
      <c r="F33" s="97">
        <f>IF($A33="","",IFERROR(INDEX(Data_Analitik!$P$2:$P$351,MATCH($A33,Data_Analitik!$AL$2:$AL$351,0)),""))</f>
        <v>0.99999999458139588</v>
      </c>
      <c r="G33" s="97">
        <f>IF($A33="","",IFERROR(INDEX(Data_Analitik!$R$2:$R$351,MATCH($A33,Data_Analitik!$AL$2:$AL$351,0)),""))</f>
        <v>0</v>
      </c>
      <c r="H33" s="97">
        <f>IF($A33="","",IFERROR(INDEX(Data_Analitik!$T$2:$T$351,MATCH($A33,Data_Analitik!$AL$2:$AL$351,0)),""))</f>
        <v>0</v>
      </c>
      <c r="I33" s="97">
        <f>IF($A33="","",IFERROR(INDEX(Data_Analitik!$V$2:$V$351,MATCH($A33,Data_Analitik!$AL$2:$AL$351,0)),""))</f>
        <v>0</v>
      </c>
      <c r="J33" s="97">
        <f>IF($A33="","",IFERROR(INDEX(Data_Analitik!$X$2:$X$351,MATCH($A33,Data_Analitik!$AL$2:$AL$351,0)),""))</f>
        <v>0.99999999458139588</v>
      </c>
      <c r="K33" s="97">
        <f>IF($A33="","",IFERROR(INDEX(Data_Analitik!$Z$2:$Z$351,MATCH($A33,Data_Analitik!$AL$2:$AL$351,0)),""))</f>
        <v>0</v>
      </c>
      <c r="L33" s="33" t="str">
        <f>IF($A33="","",IFERROR(INDEX(Data_Analitik!$AB$2:$AB$351,MATCH($A33,Data_Analitik!$AL$2:$AL$351,0)),""))</f>
        <v>Relatif Mantap</v>
      </c>
    </row>
    <row r="34" spans="1:12" ht="21.95" customHeight="1" x14ac:dyDescent="0.25">
      <c r="A34" s="32">
        <f>IF(ROW()-9&lt;=SUM(Data_Analitik!$AK$2:$AK$351),ROW()-9,"")</f>
        <v>25</v>
      </c>
      <c r="B34" s="99" t="str">
        <f>IF($A34="","",IFERROR(INDEX(Data_Analitik!$B$2:$B$351,MATCH($A34,Data_Analitik!$AL$2:$AL$351,0)),""))</f>
        <v>025</v>
      </c>
      <c r="C34" s="101" t="str">
        <f>IF($A34="","",IFERROR(INDEX(Data_Analitik!$C$2:$C$351,MATCH($A34,Data_Analitik!$AL$2:$AL$351,0)),""))</f>
        <v>Singakarsa - Palas</v>
      </c>
      <c r="D34" s="101" t="str">
        <f>IF($A34="","",IFERROR(INDEX(Data_Analitik!$D$2:$D$351,MATCH($A34,Data_Analitik!$AL$2:$AL$351,0)),""))</f>
        <v>Kandangan</v>
      </c>
      <c r="E34" s="100">
        <f>IF($A34="","",IFERROR(INDEX(Data_Analitik!$E$2:$E$351,MATCH($A34,Data_Analitik!$AL$2:$AL$351,0)),""))</f>
        <v>5.32</v>
      </c>
      <c r="F34" s="97">
        <f>IF($A34="","",IFERROR(INDEX(Data_Analitik!$P$2:$P$351,MATCH($A34,Data_Analitik!$AL$2:$AL$351,0)),""))</f>
        <v>0.20676692177478531</v>
      </c>
      <c r="G34" s="97">
        <f>IF($A34="","",IFERROR(INDEX(Data_Analitik!$R$2:$R$351,MATCH($A34,Data_Analitik!$AL$2:$AL$351,0)),""))</f>
        <v>0.31954888114355556</v>
      </c>
      <c r="H34" s="97">
        <f>IF($A34="","",IFERROR(INDEX(Data_Analitik!$T$2:$T$351,MATCH($A34,Data_Analitik!$AL$2:$AL$351,0)),""))</f>
        <v>0.24812031061129461</v>
      </c>
      <c r="I34" s="97">
        <f>IF($A34="","",IFERROR(INDEX(Data_Analitik!$V$2:$V$351,MATCH($A34,Data_Analitik!$AL$2:$AL$351,0)),""))</f>
        <v>0.22556391873754056</v>
      </c>
      <c r="J34" s="97">
        <f>IF($A34="","",IFERROR(INDEX(Data_Analitik!$X$2:$X$351,MATCH($A34,Data_Analitik!$AL$2:$AL$351,0)),""))</f>
        <v>0.5263158029183409</v>
      </c>
      <c r="K34" s="97">
        <f>IF($A34="","",IFERROR(INDEX(Data_Analitik!$Z$2:$Z$351,MATCH($A34,Data_Analitik!$AL$2:$AL$351,0)),""))</f>
        <v>0.47368422934883514</v>
      </c>
      <c r="L34" s="33" t="str">
        <f>IF($A34="","",IFERROR(INDEX(Data_Analitik!$AB$2:$AB$351,MATCH($A34,Data_Analitik!$AL$2:$AL$351,0)),""))</f>
        <v>Rusak Berat Dominan</v>
      </c>
    </row>
    <row r="35" spans="1:12" ht="21.95" customHeight="1" x14ac:dyDescent="0.25">
      <c r="A35" s="32">
        <f>IF(ROW()-9&lt;=SUM(Data_Analitik!$AK$2:$AK$351),ROW()-9,"")</f>
        <v>26</v>
      </c>
      <c r="B35" s="99" t="str">
        <f>IF($A35="","",IFERROR(INDEX(Data_Analitik!$B$2:$B$351,MATCH($A35,Data_Analitik!$AL$2:$AL$351,0)),""))</f>
        <v>026</v>
      </c>
      <c r="C35" s="101" t="str">
        <f>IF($A35="","",IFERROR(INDEX(Data_Analitik!$C$2:$C$351,MATCH($A35,Data_Analitik!$AL$2:$AL$351,0)),""))</f>
        <v>Singakarsa - Getek</v>
      </c>
      <c r="D35" s="101" t="str">
        <f>IF($A35="","",IFERROR(INDEX(Data_Analitik!$D$2:$D$351,MATCH($A35,Data_Analitik!$AL$2:$AL$351,0)),""))</f>
        <v>Kandangan</v>
      </c>
      <c r="E35" s="100">
        <f>IF($A35="","",IFERROR(INDEX(Data_Analitik!$E$2:$E$351,MATCH($A35,Data_Analitik!$AL$2:$AL$351,0)),""))</f>
        <v>0.2</v>
      </c>
      <c r="F35" s="97">
        <f>IF($A35="","",IFERROR(INDEX(Data_Analitik!$P$2:$P$351,MATCH($A35,Data_Analitik!$AL$2:$AL$351,0)),""))</f>
        <v>0</v>
      </c>
      <c r="G35" s="97">
        <f>IF($A35="","",IFERROR(INDEX(Data_Analitik!$R$2:$R$351,MATCH($A35,Data_Analitik!$AL$2:$AL$351,0)),""))</f>
        <v>1.0000000149011612</v>
      </c>
      <c r="H35" s="97">
        <f>IF($A35="","",IFERROR(INDEX(Data_Analitik!$T$2:$T$351,MATCH($A35,Data_Analitik!$AL$2:$AL$351,0)),""))</f>
        <v>0</v>
      </c>
      <c r="I35" s="97">
        <f>IF($A35="","",IFERROR(INDEX(Data_Analitik!$V$2:$V$351,MATCH($A35,Data_Analitik!$AL$2:$AL$351,0)),""))</f>
        <v>0</v>
      </c>
      <c r="J35" s="97">
        <f>IF($A35="","",IFERROR(INDEX(Data_Analitik!$X$2:$X$351,MATCH($A35,Data_Analitik!$AL$2:$AL$351,0)),""))</f>
        <v>1.0000000149011612</v>
      </c>
      <c r="K35" s="97">
        <f>IF($A35="","",IFERROR(INDEX(Data_Analitik!$Z$2:$Z$351,MATCH($A35,Data_Analitik!$AL$2:$AL$351,0)),""))</f>
        <v>0</v>
      </c>
      <c r="L35" s="33" t="str">
        <f>IF($A35="","",IFERROR(INDEX(Data_Analitik!$AB$2:$AB$351,MATCH($A35,Data_Analitik!$AL$2:$AL$351,0)),""))</f>
        <v>Relatif Mantap</v>
      </c>
    </row>
    <row r="36" spans="1:12" ht="21.95" customHeight="1" x14ac:dyDescent="0.25">
      <c r="A36" s="32">
        <f>IF(ROW()-9&lt;=SUM(Data_Analitik!$AK$2:$AK$351),ROW()-9,"")</f>
        <v>27</v>
      </c>
      <c r="B36" s="99" t="str">
        <f>IF($A36="","",IFERROR(INDEX(Data_Analitik!$B$2:$B$351,MATCH($A36,Data_Analitik!$AL$2:$AL$351,0)),""))</f>
        <v>027</v>
      </c>
      <c r="C36" s="101" t="str">
        <f>IF($A36="","",IFERROR(INDEX(Data_Analitik!$C$2:$C$351,MATCH($A36,Data_Analitik!$AL$2:$AL$351,0)),""))</f>
        <v>Parincahan - Singakarsa (Jl. Harapan)</v>
      </c>
      <c r="D36" s="101" t="str">
        <f>IF($A36="","",IFERROR(INDEX(Data_Analitik!$D$2:$D$351,MATCH($A36,Data_Analitik!$AL$2:$AL$351,0)),""))</f>
        <v>Kandangan</v>
      </c>
      <c r="E36" s="100">
        <f>IF($A36="","",IFERROR(INDEX(Data_Analitik!$E$2:$E$351,MATCH($A36,Data_Analitik!$AL$2:$AL$351,0)),""))</f>
        <v>0.66</v>
      </c>
      <c r="F36" s="97">
        <f>IF($A36="","",IFERROR(INDEX(Data_Analitik!$P$2:$P$351,MATCH($A36,Data_Analitik!$AL$2:$AL$351,0)),""))</f>
        <v>0</v>
      </c>
      <c r="G36" s="97">
        <f>IF($A36="","",IFERROR(INDEX(Data_Analitik!$R$2:$R$351,MATCH($A36,Data_Analitik!$AL$2:$AL$351,0)),""))</f>
        <v>1.0000000397364297</v>
      </c>
      <c r="H36" s="97">
        <f>IF($A36="","",IFERROR(INDEX(Data_Analitik!$T$2:$T$351,MATCH($A36,Data_Analitik!$AL$2:$AL$351,0)),""))</f>
        <v>0</v>
      </c>
      <c r="I36" s="97">
        <f>IF($A36="","",IFERROR(INDEX(Data_Analitik!$V$2:$V$351,MATCH($A36,Data_Analitik!$AL$2:$AL$351,0)),""))</f>
        <v>0</v>
      </c>
      <c r="J36" s="97">
        <f>IF($A36="","",IFERROR(INDEX(Data_Analitik!$X$2:$X$351,MATCH($A36,Data_Analitik!$AL$2:$AL$351,0)),""))</f>
        <v>1.0000000397364297</v>
      </c>
      <c r="K36" s="97">
        <f>IF($A36="","",IFERROR(INDEX(Data_Analitik!$Z$2:$Z$351,MATCH($A36,Data_Analitik!$AL$2:$AL$351,0)),""))</f>
        <v>0</v>
      </c>
      <c r="L36" s="33" t="str">
        <f>IF($A36="","",IFERROR(INDEX(Data_Analitik!$AB$2:$AB$351,MATCH($A36,Data_Analitik!$AL$2:$AL$351,0)),""))</f>
        <v>Relatif Mantap</v>
      </c>
    </row>
    <row r="37" spans="1:12" ht="21.95" customHeight="1" x14ac:dyDescent="0.25">
      <c r="A37" s="32">
        <f>IF(ROW()-9&lt;=SUM(Data_Analitik!$AK$2:$AK$351),ROW()-9,"")</f>
        <v>28</v>
      </c>
      <c r="B37" s="99" t="str">
        <f>IF($A37="","",IFERROR(INDEX(Data_Analitik!$B$2:$B$351,MATCH($A37,Data_Analitik!$AL$2:$AL$351,0)),""))</f>
        <v>028</v>
      </c>
      <c r="C37" s="101" t="str">
        <f>IF($A37="","",IFERROR(INDEX(Data_Analitik!$C$2:$C$351,MATCH($A37,Data_Analitik!$AL$2:$AL$351,0)),""))</f>
        <v>Budi Bakti - Tiga Desember</v>
      </c>
      <c r="D37" s="101" t="str">
        <f>IF($A37="","",IFERROR(INDEX(Data_Analitik!$D$2:$D$351,MATCH($A37,Data_Analitik!$AL$2:$AL$351,0)),""))</f>
        <v>Kandangan</v>
      </c>
      <c r="E37" s="100">
        <f>IF($A37="","",IFERROR(INDEX(Data_Analitik!$E$2:$E$351,MATCH($A37,Data_Analitik!$AL$2:$AL$351,0)),""))</f>
        <v>0.81</v>
      </c>
      <c r="F37" s="97">
        <f>IF($A37="","",IFERROR(INDEX(Data_Analitik!$P$2:$P$351,MATCH($A37,Data_Analitik!$AL$2:$AL$351,0)),""))</f>
        <v>0</v>
      </c>
      <c r="G37" s="97">
        <f>IF($A37="","",IFERROR(INDEX(Data_Analitik!$R$2:$R$351,MATCH($A37,Data_Analitik!$AL$2:$AL$351,0)),""))</f>
        <v>1.0000000029434393</v>
      </c>
      <c r="H37" s="97">
        <f>IF($A37="","",IFERROR(INDEX(Data_Analitik!$T$2:$T$351,MATCH($A37,Data_Analitik!$AL$2:$AL$351,0)),""))</f>
        <v>0</v>
      </c>
      <c r="I37" s="97">
        <f>IF($A37="","",IFERROR(INDEX(Data_Analitik!$V$2:$V$351,MATCH($A37,Data_Analitik!$AL$2:$AL$351,0)),""))</f>
        <v>0</v>
      </c>
      <c r="J37" s="97">
        <f>IF($A37="","",IFERROR(INDEX(Data_Analitik!$X$2:$X$351,MATCH($A37,Data_Analitik!$AL$2:$AL$351,0)),""))</f>
        <v>1.0000000029434393</v>
      </c>
      <c r="K37" s="97">
        <f>IF($A37="","",IFERROR(INDEX(Data_Analitik!$Z$2:$Z$351,MATCH($A37,Data_Analitik!$AL$2:$AL$351,0)),""))</f>
        <v>0</v>
      </c>
      <c r="L37" s="33" t="str">
        <f>IF($A37="","",IFERROR(INDEX(Data_Analitik!$AB$2:$AB$351,MATCH($A37,Data_Analitik!$AL$2:$AL$351,0)),""))</f>
        <v>Relatif Mantap</v>
      </c>
    </row>
    <row r="38" spans="1:12" ht="21.95" customHeight="1" x14ac:dyDescent="0.25">
      <c r="A38" s="32">
        <f>IF(ROW()-9&lt;=SUM(Data_Analitik!$AK$2:$AK$351),ROW()-9,"")</f>
        <v>29</v>
      </c>
      <c r="B38" s="99" t="str">
        <f>IF($A38="","",IFERROR(INDEX(Data_Analitik!$B$2:$B$351,MATCH($A38,Data_Analitik!$AL$2:$AL$351,0)),""))</f>
        <v>029</v>
      </c>
      <c r="C38" s="101" t="str">
        <f>IF($A38="","",IFERROR(INDEX(Data_Analitik!$C$2:$C$351,MATCH($A38,Data_Analitik!$AL$2:$AL$351,0)),""))</f>
        <v>Jl. Jafri Zamzam</v>
      </c>
      <c r="D38" s="101" t="str">
        <f>IF($A38="","",IFERROR(INDEX(Data_Analitik!$D$2:$D$351,MATCH($A38,Data_Analitik!$AL$2:$AL$351,0)),""))</f>
        <v>Kandangan</v>
      </c>
      <c r="E38" s="100">
        <f>IF($A38="","",IFERROR(INDEX(Data_Analitik!$E$2:$E$351,MATCH($A38,Data_Analitik!$AL$2:$AL$351,0)),""))</f>
        <v>1.07</v>
      </c>
      <c r="F38" s="97">
        <f>IF($A38="","",IFERROR(INDEX(Data_Analitik!$P$2:$P$351,MATCH($A38,Data_Analitik!$AL$2:$AL$351,0)),""))</f>
        <v>0</v>
      </c>
      <c r="G38" s="97">
        <f>IF($A38="","",IFERROR(INDEX(Data_Analitik!$R$2:$R$351,MATCH($A38,Data_Analitik!$AL$2:$AL$351,0)),""))</f>
        <v>0.62616823989654247</v>
      </c>
      <c r="H38" s="97">
        <f>IF($A38="","",IFERROR(INDEX(Data_Analitik!$T$2:$T$351,MATCH($A38,Data_Analitik!$AL$2:$AL$351,0)),""))</f>
        <v>0.18691589063573105</v>
      </c>
      <c r="I38" s="97">
        <f>IF($A38="","",IFERROR(INDEX(Data_Analitik!$V$2:$V$351,MATCH($A38,Data_Analitik!$AL$2:$AL$351,0)),""))</f>
        <v>0.18691589063573105</v>
      </c>
      <c r="J38" s="97">
        <f>IF($A38="","",IFERROR(INDEX(Data_Analitik!$X$2:$X$351,MATCH($A38,Data_Analitik!$AL$2:$AL$351,0)),""))</f>
        <v>0.62616823989654247</v>
      </c>
      <c r="K38" s="97">
        <f>IF($A38="","",IFERROR(INDEX(Data_Analitik!$Z$2:$Z$351,MATCH($A38,Data_Analitik!$AL$2:$AL$351,0)),""))</f>
        <v>0.3738317812714621</v>
      </c>
      <c r="L38" s="33" t="str">
        <f>IF($A38="","",IFERROR(INDEX(Data_Analitik!$AB$2:$AB$351,MATCH($A38,Data_Analitik!$AL$2:$AL$351,0)),""))</f>
        <v>Tidak Mantap Sedang</v>
      </c>
    </row>
    <row r="39" spans="1:12" ht="21.95" customHeight="1" x14ac:dyDescent="0.25">
      <c r="A39" s="32">
        <f>IF(ROW()-9&lt;=SUM(Data_Analitik!$AK$2:$AK$351),ROW()-9,"")</f>
        <v>30</v>
      </c>
      <c r="B39" s="99" t="str">
        <f>IF($A39="","",IFERROR(INDEX(Data_Analitik!$B$2:$B$351,MATCH($A39,Data_Analitik!$AL$2:$AL$351,0)),""))</f>
        <v>030</v>
      </c>
      <c r="C39" s="101" t="str">
        <f>IF($A39="","",IFERROR(INDEX(Data_Analitik!$C$2:$C$351,MATCH($A39,Data_Analitik!$AL$2:$AL$351,0)),""))</f>
        <v>Sungai Damang - Amawang Kiri</v>
      </c>
      <c r="D39" s="101" t="str">
        <f>IF($A39="","",IFERROR(INDEX(Data_Analitik!$D$2:$D$351,MATCH($A39,Data_Analitik!$AL$2:$AL$351,0)),""))</f>
        <v>Kandangan</v>
      </c>
      <c r="E39" s="100">
        <f>IF($A39="","",IFERROR(INDEX(Data_Analitik!$E$2:$E$351,MATCH($A39,Data_Analitik!$AL$2:$AL$351,0)),""))</f>
        <v>2.5099999999999998</v>
      </c>
      <c r="F39" s="97">
        <f>IF($A39="","",IFERROR(INDEX(Data_Analitik!$P$2:$P$351,MATCH($A39,Data_Analitik!$AL$2:$AL$351,0)),""))</f>
        <v>0.23904383419994341</v>
      </c>
      <c r="G39" s="97">
        <f>IF($A39="","",IFERROR(INDEX(Data_Analitik!$R$2:$R$351,MATCH($A39,Data_Analitik!$AL$2:$AL$351,0)),""))</f>
        <v>0.68127491559640352</v>
      </c>
      <c r="H39" s="97">
        <f>IF($A39="","",IFERROR(INDEX(Data_Analitik!$T$2:$T$351,MATCH($A39,Data_Analitik!$AL$2:$AL$351,0)),""))</f>
        <v>7.9681276087741934E-2</v>
      </c>
      <c r="I39" s="97">
        <f>IF($A39="","",IFERROR(INDEX(Data_Analitik!$V$2:$V$351,MATCH($A39,Data_Analitik!$AL$2:$AL$351,0)),""))</f>
        <v>0</v>
      </c>
      <c r="J39" s="97">
        <f>IF($A39="","",IFERROR(INDEX(Data_Analitik!$X$2:$X$351,MATCH($A39,Data_Analitik!$AL$2:$AL$351,0)),""))</f>
        <v>0.92031874979634687</v>
      </c>
      <c r="K39" s="97">
        <f>IF($A39="","",IFERROR(INDEX(Data_Analitik!$Z$2:$Z$351,MATCH($A39,Data_Analitik!$AL$2:$AL$351,0)),""))</f>
        <v>7.9681276087741934E-2</v>
      </c>
      <c r="L39" s="33" t="str">
        <f>IF($A39="","",IFERROR(INDEX(Data_Analitik!$AB$2:$AB$351,MATCH($A39,Data_Analitik!$AL$2:$AL$351,0)),""))</f>
        <v>Relatif Mantap</v>
      </c>
    </row>
    <row r="40" spans="1:12" ht="21.95" customHeight="1" x14ac:dyDescent="0.25">
      <c r="A40" s="32">
        <f>IF(ROW()-9&lt;=SUM(Data_Analitik!$AK$2:$AK$351),ROW()-9,"")</f>
        <v>31</v>
      </c>
      <c r="B40" s="99" t="str">
        <f>IF($A40="","",IFERROR(INDEX(Data_Analitik!$B$2:$B$351,MATCH($A40,Data_Analitik!$AL$2:$AL$351,0)),""))</f>
        <v>031</v>
      </c>
      <c r="C40" s="101" t="str">
        <f>IF($A40="","",IFERROR(INDEX(Data_Analitik!$C$2:$C$351,MATCH($A40,Data_Analitik!$AL$2:$AL$351,0)),""))</f>
        <v>Amawang Muka - Getek</v>
      </c>
      <c r="D40" s="101" t="str">
        <f>IF($A40="","",IFERROR(INDEX(Data_Analitik!$D$2:$D$351,MATCH($A40,Data_Analitik!$AL$2:$AL$351,0)),""))</f>
        <v>Kandangan</v>
      </c>
      <c r="E40" s="100">
        <f>IF($A40="","",IFERROR(INDEX(Data_Analitik!$E$2:$E$351,MATCH($A40,Data_Analitik!$AL$2:$AL$351,0)),""))</f>
        <v>5.41</v>
      </c>
      <c r="F40" s="97">
        <f>IF($A40="","",IFERROR(INDEX(Data_Analitik!$P$2:$P$351,MATCH($A40,Data_Analitik!$AL$2:$AL$351,0)),""))</f>
        <v>0.83179297597042512</v>
      </c>
      <c r="G40" s="97">
        <f>IF($A40="","",IFERROR(INDEX(Data_Analitik!$R$2:$R$351,MATCH($A40,Data_Analitik!$AL$2:$AL$351,0)),""))</f>
        <v>7.5785581594033508E-2</v>
      </c>
      <c r="H40" s="97">
        <f>IF($A40="","",IFERROR(INDEX(Data_Analitik!$T$2:$T$351,MATCH($A40,Data_Analitik!$AL$2:$AL$351,0)),""))</f>
        <v>9.2421441774491686E-2</v>
      </c>
      <c r="I40" s="97">
        <f>IF($A40="","",IFERROR(INDEX(Data_Analitik!$V$2:$V$351,MATCH($A40,Data_Analitik!$AL$2:$AL$351,0)),""))</f>
        <v>0</v>
      </c>
      <c r="J40" s="97">
        <f>IF($A40="","",IFERROR(INDEX(Data_Analitik!$X$2:$X$351,MATCH($A40,Data_Analitik!$AL$2:$AL$351,0)),""))</f>
        <v>0.9075785575644586</v>
      </c>
      <c r="K40" s="97">
        <f>IF($A40="","",IFERROR(INDEX(Data_Analitik!$Z$2:$Z$351,MATCH($A40,Data_Analitik!$AL$2:$AL$351,0)),""))</f>
        <v>9.2421441774491686E-2</v>
      </c>
      <c r="L40" s="33" t="str">
        <f>IF($A40="","",IFERROR(INDEX(Data_Analitik!$AB$2:$AB$351,MATCH($A40,Data_Analitik!$AL$2:$AL$351,0)),""))</f>
        <v>Relatif Mantap</v>
      </c>
    </row>
    <row r="41" spans="1:12" ht="21.95" customHeight="1" x14ac:dyDescent="0.25">
      <c r="A41" s="32">
        <f>IF(ROW()-9&lt;=SUM(Data_Analitik!$AK$2:$AK$351),ROW()-9,"")</f>
        <v>32</v>
      </c>
      <c r="B41" s="99" t="str">
        <f>IF($A41="","",IFERROR(INDEX(Data_Analitik!$B$2:$B$351,MATCH($A41,Data_Analitik!$AL$2:$AL$351,0)),""))</f>
        <v>032</v>
      </c>
      <c r="C41" s="101" t="str">
        <f>IF($A41="","",IFERROR(INDEX(Data_Analitik!$C$2:$C$351,MATCH($A41,Data_Analitik!$AL$2:$AL$351,0)),""))</f>
        <v>Amawang Kanan - Wasah Hulu</v>
      </c>
      <c r="D41" s="101" t="str">
        <f>IF($A41="","",IFERROR(INDEX(Data_Analitik!$D$2:$D$351,MATCH($A41,Data_Analitik!$AL$2:$AL$351,0)),""))</f>
        <v>Kandangan</v>
      </c>
      <c r="E41" s="100">
        <f>IF($A41="","",IFERROR(INDEX(Data_Analitik!$E$2:$E$351,MATCH($A41,Data_Analitik!$AL$2:$AL$351,0)),""))</f>
        <v>3.17</v>
      </c>
      <c r="F41" s="97">
        <f>IF($A41="","",IFERROR(INDEX(Data_Analitik!$P$2:$P$351,MATCH($A41,Data_Analitik!$AL$2:$AL$351,0)),""))</f>
        <v>0</v>
      </c>
      <c r="G41" s="97">
        <f>IF($A41="","",IFERROR(INDEX(Data_Analitik!$R$2:$R$351,MATCH($A41,Data_Analitik!$AL$2:$AL$351,0)),""))</f>
        <v>0.77917981975086104</v>
      </c>
      <c r="H41" s="97">
        <f>IF($A41="","",IFERROR(INDEX(Data_Analitik!$T$2:$T$351,MATCH($A41,Data_Analitik!$AL$2:$AL$351,0)),""))</f>
        <v>0.22082018551390253</v>
      </c>
      <c r="I41" s="97">
        <f>IF($A41="","",IFERROR(INDEX(Data_Analitik!$V$2:$V$351,MATCH($A41,Data_Analitik!$AL$2:$AL$351,0)),""))</f>
        <v>0</v>
      </c>
      <c r="J41" s="97">
        <f>IF($A41="","",IFERROR(INDEX(Data_Analitik!$X$2:$X$351,MATCH($A41,Data_Analitik!$AL$2:$AL$351,0)),""))</f>
        <v>0.77917981975086104</v>
      </c>
      <c r="K41" s="97">
        <f>IF($A41="","",IFERROR(INDEX(Data_Analitik!$Z$2:$Z$351,MATCH($A41,Data_Analitik!$AL$2:$AL$351,0)),""))</f>
        <v>0.22082018551390253</v>
      </c>
      <c r="L41" s="33" t="str">
        <f>IF($A41="","",IFERROR(INDEX(Data_Analitik!$AB$2:$AB$351,MATCH($A41,Data_Analitik!$AL$2:$AL$351,0)),""))</f>
        <v>Tidak Mantap Sedang</v>
      </c>
    </row>
    <row r="42" spans="1:12" ht="21.95" customHeight="1" x14ac:dyDescent="0.25">
      <c r="A42" s="32">
        <f>IF(ROW()-9&lt;=SUM(Data_Analitik!$AK$2:$AK$351),ROW()-9,"")</f>
        <v>33</v>
      </c>
      <c r="B42" s="99" t="str">
        <f>IF($A42="","",IFERROR(INDEX(Data_Analitik!$B$2:$B$351,MATCH($A42,Data_Analitik!$AL$2:$AL$351,0)),""))</f>
        <v>033</v>
      </c>
      <c r="C42" s="101" t="str">
        <f>IF($A42="","",IFERROR(INDEX(Data_Analitik!$C$2:$C$351,MATCH($A42,Data_Analitik!$AL$2:$AL$351,0)),""))</f>
        <v>Jl. DI. Panjaitan - Loklua</v>
      </c>
      <c r="D42" s="101" t="str">
        <f>IF($A42="","",IFERROR(INDEX(Data_Analitik!$D$2:$D$351,MATCH($A42,Data_Analitik!$AL$2:$AL$351,0)),""))</f>
        <v>Kandangan</v>
      </c>
      <c r="E42" s="100">
        <f>IF($A42="","",IFERROR(INDEX(Data_Analitik!$E$2:$E$351,MATCH($A42,Data_Analitik!$AL$2:$AL$351,0)),""))</f>
        <v>0.41</v>
      </c>
      <c r="F42" s="97">
        <f>IF($A42="","",IFERROR(INDEX(Data_Analitik!$P$2:$P$351,MATCH($A42,Data_Analitik!$AL$2:$AL$351,0)),""))</f>
        <v>0</v>
      </c>
      <c r="G42" s="97">
        <f>IF($A42="","",IFERROR(INDEX(Data_Analitik!$R$2:$R$351,MATCH($A42,Data_Analitik!$AL$2:$AL$351,0)),""))</f>
        <v>0.99999999127736916</v>
      </c>
      <c r="H42" s="97">
        <f>IF($A42="","",IFERROR(INDEX(Data_Analitik!$T$2:$T$351,MATCH($A42,Data_Analitik!$AL$2:$AL$351,0)),""))</f>
        <v>0</v>
      </c>
      <c r="I42" s="97">
        <f>IF($A42="","",IFERROR(INDEX(Data_Analitik!$V$2:$V$351,MATCH($A42,Data_Analitik!$AL$2:$AL$351,0)),""))</f>
        <v>0</v>
      </c>
      <c r="J42" s="97">
        <f>IF($A42="","",IFERROR(INDEX(Data_Analitik!$X$2:$X$351,MATCH($A42,Data_Analitik!$AL$2:$AL$351,0)),""))</f>
        <v>0.99999999127736916</v>
      </c>
      <c r="K42" s="97">
        <f>IF($A42="","",IFERROR(INDEX(Data_Analitik!$Z$2:$Z$351,MATCH($A42,Data_Analitik!$AL$2:$AL$351,0)),""))</f>
        <v>0</v>
      </c>
      <c r="L42" s="33" t="str">
        <f>IF($A42="","",IFERROR(INDEX(Data_Analitik!$AB$2:$AB$351,MATCH($A42,Data_Analitik!$AL$2:$AL$351,0)),""))</f>
        <v>Relatif Mantap</v>
      </c>
    </row>
    <row r="43" spans="1:12" ht="21.95" customHeight="1" x14ac:dyDescent="0.25">
      <c r="A43" s="32">
        <f>IF(ROW()-9&lt;=SUM(Data_Analitik!$AK$2:$AK$351),ROW()-9,"")</f>
        <v>34</v>
      </c>
      <c r="B43" s="99" t="str">
        <f>IF($A43="","",IFERROR(INDEX(Data_Analitik!$B$2:$B$351,MATCH($A43,Data_Analitik!$AL$2:$AL$351,0)),""))</f>
        <v>034</v>
      </c>
      <c r="C43" s="101" t="str">
        <f>IF($A43="","",IFERROR(INDEX(Data_Analitik!$C$2:$C$351,MATCH($A43,Data_Analitik!$AL$2:$AL$351,0)),""))</f>
        <v>Jl. Jend. Sudirman</v>
      </c>
      <c r="D43" s="101" t="str">
        <f>IF($A43="","",IFERROR(INDEX(Data_Analitik!$D$2:$D$351,MATCH($A43,Data_Analitik!$AL$2:$AL$351,0)),""))</f>
        <v>Kandangan</v>
      </c>
      <c r="E43" s="100">
        <f>IF($A43="","",IFERROR(INDEX(Data_Analitik!$E$2:$E$351,MATCH($A43,Data_Analitik!$AL$2:$AL$351,0)),""))</f>
        <v>2.44</v>
      </c>
      <c r="F43" s="97">
        <f>IF($A43="","",IFERROR(INDEX(Data_Analitik!$P$2:$P$351,MATCH($A43,Data_Analitik!$AL$2:$AL$351,0)),""))</f>
        <v>0</v>
      </c>
      <c r="G43" s="97">
        <f>IF($A43="","",IFERROR(INDEX(Data_Analitik!$R$2:$R$351,MATCH($A43,Data_Analitik!$AL$2:$AL$351,0)),""))</f>
        <v>1.0000000234510078</v>
      </c>
      <c r="H43" s="97">
        <f>IF($A43="","",IFERROR(INDEX(Data_Analitik!$T$2:$T$351,MATCH($A43,Data_Analitik!$AL$2:$AL$351,0)),""))</f>
        <v>0</v>
      </c>
      <c r="I43" s="97">
        <f>IF($A43="","",IFERROR(INDEX(Data_Analitik!$V$2:$V$351,MATCH($A43,Data_Analitik!$AL$2:$AL$351,0)),""))</f>
        <v>0</v>
      </c>
      <c r="J43" s="97">
        <f>IF($A43="","",IFERROR(INDEX(Data_Analitik!$X$2:$X$351,MATCH($A43,Data_Analitik!$AL$2:$AL$351,0)),""))</f>
        <v>1.0000000234510078</v>
      </c>
      <c r="K43" s="97">
        <f>IF($A43="","",IFERROR(INDEX(Data_Analitik!$Z$2:$Z$351,MATCH($A43,Data_Analitik!$AL$2:$AL$351,0)),""))</f>
        <v>0</v>
      </c>
      <c r="L43" s="33" t="str">
        <f>IF($A43="","",IFERROR(INDEX(Data_Analitik!$AB$2:$AB$351,MATCH($A43,Data_Analitik!$AL$2:$AL$351,0)),""))</f>
        <v>Relatif Mantap</v>
      </c>
    </row>
    <row r="44" spans="1:12" ht="21.95" customHeight="1" x14ac:dyDescent="0.25">
      <c r="A44" s="32">
        <f>IF(ROW()-9&lt;=SUM(Data_Analitik!$AK$2:$AK$351),ROW()-9,"")</f>
        <v>35</v>
      </c>
      <c r="B44" s="99" t="str">
        <f>IF($A44="","",IFERROR(INDEX(Data_Analitik!$B$2:$B$351,MATCH($A44,Data_Analitik!$AL$2:$AL$351,0)),""))</f>
        <v>035</v>
      </c>
      <c r="C44" s="101" t="str">
        <f>IF($A44="","",IFERROR(INDEX(Data_Analitik!$C$2:$C$351,MATCH($A44,Data_Analitik!$AL$2:$AL$351,0)),""))</f>
        <v>Jl. AES Nasution</v>
      </c>
      <c r="D44" s="101" t="str">
        <f>IF($A44="","",IFERROR(INDEX(Data_Analitik!$D$2:$D$351,MATCH($A44,Data_Analitik!$AL$2:$AL$351,0)),""))</f>
        <v>Kandangan</v>
      </c>
      <c r="E44" s="100">
        <f>IF($A44="","",IFERROR(INDEX(Data_Analitik!$E$2:$E$351,MATCH($A44,Data_Analitik!$AL$2:$AL$351,0)),""))</f>
        <v>0.24</v>
      </c>
      <c r="F44" s="97">
        <f>IF($A44="","",IFERROR(INDEX(Data_Analitik!$P$2:$P$351,MATCH($A44,Data_Analitik!$AL$2:$AL$351,0)),""))</f>
        <v>0.99999997764825821</v>
      </c>
      <c r="G44" s="97">
        <f>IF($A44="","",IFERROR(INDEX(Data_Analitik!$R$2:$R$351,MATCH($A44,Data_Analitik!$AL$2:$AL$351,0)),""))</f>
        <v>0</v>
      </c>
      <c r="H44" s="97">
        <f>IF($A44="","",IFERROR(INDEX(Data_Analitik!$T$2:$T$351,MATCH($A44,Data_Analitik!$AL$2:$AL$351,0)),""))</f>
        <v>0</v>
      </c>
      <c r="I44" s="97">
        <f>IF($A44="","",IFERROR(INDEX(Data_Analitik!$V$2:$V$351,MATCH($A44,Data_Analitik!$AL$2:$AL$351,0)),""))</f>
        <v>0</v>
      </c>
      <c r="J44" s="97">
        <f>IF($A44="","",IFERROR(INDEX(Data_Analitik!$X$2:$X$351,MATCH($A44,Data_Analitik!$AL$2:$AL$351,0)),""))</f>
        <v>0.99999997764825821</v>
      </c>
      <c r="K44" s="97">
        <f>IF($A44="","",IFERROR(INDEX(Data_Analitik!$Z$2:$Z$351,MATCH($A44,Data_Analitik!$AL$2:$AL$351,0)),""))</f>
        <v>0</v>
      </c>
      <c r="L44" s="33" t="str">
        <f>IF($A44="","",IFERROR(INDEX(Data_Analitik!$AB$2:$AB$351,MATCH($A44,Data_Analitik!$AL$2:$AL$351,0)),""))</f>
        <v>Relatif Mantap</v>
      </c>
    </row>
    <row r="45" spans="1:12" ht="21.95" customHeight="1" x14ac:dyDescent="0.25">
      <c r="A45" s="32">
        <f>IF(ROW()-9&lt;=SUM(Data_Analitik!$AK$2:$AK$351),ROW()-9,"")</f>
        <v>36</v>
      </c>
      <c r="B45" s="99" t="str">
        <f>IF($A45="","",IFERROR(INDEX(Data_Analitik!$B$2:$B$351,MATCH($A45,Data_Analitik!$AL$2:$AL$351,0)),""))</f>
        <v>036</v>
      </c>
      <c r="C45" s="101" t="str">
        <f>IF($A45="","",IFERROR(INDEX(Data_Analitik!$C$2:$C$351,MATCH($A45,Data_Analitik!$AL$2:$AL$351,0)),""))</f>
        <v>Tembok Lama - Loklua</v>
      </c>
      <c r="D45" s="101" t="str">
        <f>IF($A45="","",IFERROR(INDEX(Data_Analitik!$D$2:$D$351,MATCH($A45,Data_Analitik!$AL$2:$AL$351,0)),""))</f>
        <v>Kandangan</v>
      </c>
      <c r="E45" s="100">
        <f>IF($A45="","",IFERROR(INDEX(Data_Analitik!$E$2:$E$351,MATCH($A45,Data_Analitik!$AL$2:$AL$351,0)),""))</f>
        <v>0.84</v>
      </c>
      <c r="F45" s="97">
        <f>IF($A45="","",IFERROR(INDEX(Data_Analitik!$P$2:$P$351,MATCH($A45,Data_Analitik!$AL$2:$AL$351,0)),""))</f>
        <v>0</v>
      </c>
      <c r="G45" s="97">
        <f>IF($A45="","",IFERROR(INDEX(Data_Analitik!$R$2:$R$351,MATCH($A45,Data_Analitik!$AL$2:$AL$351,0)),""))</f>
        <v>0.52380952097120737</v>
      </c>
      <c r="H45" s="97">
        <f>IF($A45="","",IFERROR(INDEX(Data_Analitik!$T$2:$T$351,MATCH($A45,Data_Analitik!$AL$2:$AL$351,0)),""))</f>
        <v>0.35714287133443923</v>
      </c>
      <c r="I45" s="97">
        <f>IF($A45="","",IFERROR(INDEX(Data_Analitik!$V$2:$V$351,MATCH($A45,Data_Analitik!$AL$2:$AL$351,0)),""))</f>
        <v>0.11904762082156681</v>
      </c>
      <c r="J45" s="97">
        <f>IF($A45="","",IFERROR(INDEX(Data_Analitik!$X$2:$X$351,MATCH($A45,Data_Analitik!$AL$2:$AL$351,0)),""))</f>
        <v>0.52380952097120737</v>
      </c>
      <c r="K45" s="97">
        <f>IF($A45="","",IFERROR(INDEX(Data_Analitik!$Z$2:$Z$351,MATCH($A45,Data_Analitik!$AL$2:$AL$351,0)),""))</f>
        <v>0.47619049215600606</v>
      </c>
      <c r="L45" s="33" t="str">
        <f>IF($A45="","",IFERROR(INDEX(Data_Analitik!$AB$2:$AB$351,MATCH($A45,Data_Analitik!$AL$2:$AL$351,0)),""))</f>
        <v>Tidak Mantap Sedang</v>
      </c>
    </row>
    <row r="46" spans="1:12" ht="21.95" customHeight="1" x14ac:dyDescent="0.25">
      <c r="A46" s="32">
        <f>IF(ROW()-9&lt;=SUM(Data_Analitik!$AK$2:$AK$351),ROW()-9,"")</f>
        <v>37</v>
      </c>
      <c r="B46" s="99" t="str">
        <f>IF($A46="","",IFERROR(INDEX(Data_Analitik!$B$2:$B$351,MATCH($A46,Data_Analitik!$AL$2:$AL$351,0)),""))</f>
        <v>037</v>
      </c>
      <c r="C46" s="101" t="str">
        <f>IF($A46="","",IFERROR(INDEX(Data_Analitik!$C$2:$C$351,MATCH($A46,Data_Analitik!$AL$2:$AL$351,0)),""))</f>
        <v>Jl. Kesehatan - Komp. Rmh Dokter</v>
      </c>
      <c r="D46" s="101" t="str">
        <f>IF($A46="","",IFERROR(INDEX(Data_Analitik!$D$2:$D$351,MATCH($A46,Data_Analitik!$AL$2:$AL$351,0)),""))</f>
        <v>Kandangan</v>
      </c>
      <c r="E46" s="100">
        <f>IF($A46="","",IFERROR(INDEX(Data_Analitik!$E$2:$E$351,MATCH($A46,Data_Analitik!$AL$2:$AL$351,0)),""))</f>
        <v>0.28000000000000003</v>
      </c>
      <c r="F46" s="97">
        <f>IF($A46="","",IFERROR(INDEX(Data_Analitik!$P$2:$P$351,MATCH($A46,Data_Analitik!$AL$2:$AL$351,0)),""))</f>
        <v>1.0000000042574746</v>
      </c>
      <c r="G46" s="97">
        <f>IF($A46="","",IFERROR(INDEX(Data_Analitik!$R$2:$R$351,MATCH($A46,Data_Analitik!$AL$2:$AL$351,0)),""))</f>
        <v>0</v>
      </c>
      <c r="H46" s="97">
        <f>IF($A46="","",IFERROR(INDEX(Data_Analitik!$T$2:$T$351,MATCH($A46,Data_Analitik!$AL$2:$AL$351,0)),""))</f>
        <v>0</v>
      </c>
      <c r="I46" s="97">
        <f>IF($A46="","",IFERROR(INDEX(Data_Analitik!$V$2:$V$351,MATCH($A46,Data_Analitik!$AL$2:$AL$351,0)),""))</f>
        <v>0</v>
      </c>
      <c r="J46" s="97">
        <f>IF($A46="","",IFERROR(INDEX(Data_Analitik!$X$2:$X$351,MATCH($A46,Data_Analitik!$AL$2:$AL$351,0)),""))</f>
        <v>1.0000000042574746</v>
      </c>
      <c r="K46" s="97">
        <f>IF($A46="","",IFERROR(INDEX(Data_Analitik!$Z$2:$Z$351,MATCH($A46,Data_Analitik!$AL$2:$AL$351,0)),""))</f>
        <v>0</v>
      </c>
      <c r="L46" s="33" t="str">
        <f>IF($A46="","",IFERROR(INDEX(Data_Analitik!$AB$2:$AB$351,MATCH($A46,Data_Analitik!$AL$2:$AL$351,0)),""))</f>
        <v>Relatif Mantap</v>
      </c>
    </row>
    <row r="47" spans="1:12" ht="21.95" customHeight="1" x14ac:dyDescent="0.25">
      <c r="A47" s="32">
        <f>IF(ROW()-9&lt;=SUM(Data_Analitik!$AK$2:$AK$351),ROW()-9,"")</f>
        <v>38</v>
      </c>
      <c r="B47" s="99" t="str">
        <f>IF($A47="","",IFERROR(INDEX(Data_Analitik!$B$2:$B$351,MATCH($A47,Data_Analitik!$AL$2:$AL$351,0)),""))</f>
        <v>038</v>
      </c>
      <c r="C47" s="101" t="str">
        <f>IF($A47="","",IFERROR(INDEX(Data_Analitik!$C$2:$C$351,MATCH($A47,Data_Analitik!$AL$2:$AL$351,0)),""))</f>
        <v>Jl. Samping Bappeda - Mesjid Darul Halik</v>
      </c>
      <c r="D47" s="101" t="str">
        <f>IF($A47="","",IFERROR(INDEX(Data_Analitik!$D$2:$D$351,MATCH($A47,Data_Analitik!$AL$2:$AL$351,0)),""))</f>
        <v>Kandangan</v>
      </c>
      <c r="E47" s="100">
        <f>IF($A47="","",IFERROR(INDEX(Data_Analitik!$E$2:$E$351,MATCH($A47,Data_Analitik!$AL$2:$AL$351,0)),""))</f>
        <v>0.19</v>
      </c>
      <c r="F47" s="97">
        <f>IF($A47="","",IFERROR(INDEX(Data_Analitik!$P$2:$P$351,MATCH($A47,Data_Analitik!$AL$2:$AL$351,0)),""))</f>
        <v>0</v>
      </c>
      <c r="G47" s="97">
        <f>IF($A47="","",IFERROR(INDEX(Data_Analitik!$R$2:$R$351,MATCH($A47,Data_Analitik!$AL$2:$AL$351,0)),""))</f>
        <v>0</v>
      </c>
      <c r="H47" s="97">
        <f>IF($A47="","",IFERROR(INDEX(Data_Analitik!$T$2:$T$351,MATCH($A47,Data_Analitik!$AL$2:$AL$351,0)),""))</f>
        <v>0.99999998745165375</v>
      </c>
      <c r="I47" s="97">
        <f>IF($A47="","",IFERROR(INDEX(Data_Analitik!$V$2:$V$351,MATCH($A47,Data_Analitik!$AL$2:$AL$351,0)),""))</f>
        <v>0</v>
      </c>
      <c r="J47" s="97">
        <f>IF($A47="","",IFERROR(INDEX(Data_Analitik!$X$2:$X$351,MATCH($A47,Data_Analitik!$AL$2:$AL$351,0)),""))</f>
        <v>0</v>
      </c>
      <c r="K47" s="97">
        <f>IF($A47="","",IFERROR(INDEX(Data_Analitik!$Z$2:$Z$351,MATCH($A47,Data_Analitik!$AL$2:$AL$351,0)),""))</f>
        <v>0.99999998745165375</v>
      </c>
      <c r="L47" s="33" t="str">
        <f>IF($A47="","",IFERROR(INDEX(Data_Analitik!$AB$2:$AB$351,MATCH($A47,Data_Analitik!$AL$2:$AL$351,0)),""))</f>
        <v>Tidak Mantap Tinggi</v>
      </c>
    </row>
    <row r="48" spans="1:12" ht="21.95" customHeight="1" x14ac:dyDescent="0.25">
      <c r="A48" s="32">
        <f>IF(ROW()-9&lt;=SUM(Data_Analitik!$AK$2:$AK$351),ROW()-9,"")</f>
        <v>39</v>
      </c>
      <c r="B48" s="99" t="str">
        <f>IF($A48="","",IFERROR(INDEX(Data_Analitik!$B$2:$B$351,MATCH($A48,Data_Analitik!$AL$2:$AL$351,0)),""))</f>
        <v>039</v>
      </c>
      <c r="C48" s="101" t="str">
        <f>IF($A48="","",IFERROR(INDEX(Data_Analitik!$C$2:$C$351,MATCH($A48,Data_Analitik!$AL$2:$AL$351,0)),""))</f>
        <v>Jl.  Bina Bakat</v>
      </c>
      <c r="D48" s="101" t="str">
        <f>IF($A48="","",IFERROR(INDEX(Data_Analitik!$D$2:$D$351,MATCH($A48,Data_Analitik!$AL$2:$AL$351,0)),""))</f>
        <v>Kandangan</v>
      </c>
      <c r="E48" s="100">
        <f>IF($A48="","",IFERROR(INDEX(Data_Analitik!$E$2:$E$351,MATCH($A48,Data_Analitik!$AL$2:$AL$351,0)),""))</f>
        <v>0.24</v>
      </c>
      <c r="F48" s="97">
        <f>IF($A48="","",IFERROR(INDEX(Data_Analitik!$P$2:$P$351,MATCH($A48,Data_Analitik!$AL$2:$AL$351,0)),""))</f>
        <v>0.99999997764825821</v>
      </c>
      <c r="G48" s="97">
        <f>IF($A48="","",IFERROR(INDEX(Data_Analitik!$R$2:$R$351,MATCH($A48,Data_Analitik!$AL$2:$AL$351,0)),""))</f>
        <v>0</v>
      </c>
      <c r="H48" s="97">
        <f>IF($A48="","",IFERROR(INDEX(Data_Analitik!$T$2:$T$351,MATCH($A48,Data_Analitik!$AL$2:$AL$351,0)),""))</f>
        <v>0</v>
      </c>
      <c r="I48" s="97">
        <f>IF($A48="","",IFERROR(INDEX(Data_Analitik!$V$2:$V$351,MATCH($A48,Data_Analitik!$AL$2:$AL$351,0)),""))</f>
        <v>0</v>
      </c>
      <c r="J48" s="97">
        <f>IF($A48="","",IFERROR(INDEX(Data_Analitik!$X$2:$X$351,MATCH($A48,Data_Analitik!$AL$2:$AL$351,0)),""))</f>
        <v>0.99999997764825821</v>
      </c>
      <c r="K48" s="97">
        <f>IF($A48="","",IFERROR(INDEX(Data_Analitik!$Z$2:$Z$351,MATCH($A48,Data_Analitik!$AL$2:$AL$351,0)),""))</f>
        <v>0</v>
      </c>
      <c r="L48" s="33" t="str">
        <f>IF($A48="","",IFERROR(INDEX(Data_Analitik!$AB$2:$AB$351,MATCH($A48,Data_Analitik!$AL$2:$AL$351,0)),""))</f>
        <v>Relatif Mantap</v>
      </c>
    </row>
    <row r="49" spans="1:12" ht="21.95" customHeight="1" x14ac:dyDescent="0.25">
      <c r="A49" s="32">
        <f>IF(ROW()-9&lt;=SUM(Data_Analitik!$AK$2:$AK$351),ROW()-9,"")</f>
        <v>40</v>
      </c>
      <c r="B49" s="99" t="str">
        <f>IF($A49="","",IFERROR(INDEX(Data_Analitik!$B$2:$B$351,MATCH($A49,Data_Analitik!$AL$2:$AL$351,0)),""))</f>
        <v>040</v>
      </c>
      <c r="C49" s="101" t="str">
        <f>IF($A49="","",IFERROR(INDEX(Data_Analitik!$C$2:$C$351,MATCH($A49,Data_Analitik!$AL$2:$AL$351,0)),""))</f>
        <v>Baluti - Jambu Hulu (Paku)</v>
      </c>
      <c r="D49" s="101" t="str">
        <f>IF($A49="","",IFERROR(INDEX(Data_Analitik!$D$2:$D$351,MATCH($A49,Data_Analitik!$AL$2:$AL$351,0)),""))</f>
        <v>Kandangan - Padang Batung</v>
      </c>
      <c r="E49" s="100">
        <f>IF($A49="","",IFERROR(INDEX(Data_Analitik!$E$2:$E$351,MATCH($A49,Data_Analitik!$AL$2:$AL$351,0)),""))</f>
        <v>4.07</v>
      </c>
      <c r="F49" s="97">
        <f>IF($A49="","",IFERROR(INDEX(Data_Analitik!$P$2:$P$351,MATCH($A49,Data_Analitik!$AL$2:$AL$351,0)),""))</f>
        <v>0.12285012285012284</v>
      </c>
      <c r="G49" s="97">
        <f>IF($A49="","",IFERROR(INDEX(Data_Analitik!$R$2:$R$351,MATCH($A49,Data_Analitik!$AL$2:$AL$351,0)),""))</f>
        <v>0.44226043054454156</v>
      </c>
      <c r="H49" s="97">
        <f>IF($A49="","",IFERROR(INDEX(Data_Analitik!$T$2:$T$351,MATCH($A49,Data_Analitik!$AL$2:$AL$351,0)),""))</f>
        <v>0.31203930735295177</v>
      </c>
      <c r="I49" s="97">
        <f>IF($A49="","",IFERROR(INDEX(Data_Analitik!$V$2:$V$351,MATCH($A49,Data_Analitik!$AL$2:$AL$351,0)),""))</f>
        <v>0.12285012285012284</v>
      </c>
      <c r="J49" s="97">
        <f>IF($A49="","",IFERROR(INDEX(Data_Analitik!$X$2:$X$351,MATCH($A49,Data_Analitik!$AL$2:$AL$351,0)),""))</f>
        <v>0.56511055339466443</v>
      </c>
      <c r="K49" s="97">
        <f>IF($A49="","",IFERROR(INDEX(Data_Analitik!$Z$2:$Z$351,MATCH($A49,Data_Analitik!$AL$2:$AL$351,0)),""))</f>
        <v>0.43488943020307458</v>
      </c>
      <c r="L49" s="33" t="str">
        <f>IF($A49="","",IFERROR(INDEX(Data_Analitik!$AB$2:$AB$351,MATCH($A49,Data_Analitik!$AL$2:$AL$351,0)),""))</f>
        <v>Tidak Mantap Sedang</v>
      </c>
    </row>
    <row r="50" spans="1:12" ht="21.95" customHeight="1" x14ac:dyDescent="0.25">
      <c r="A50" s="32">
        <f>IF(ROW()-9&lt;=SUM(Data_Analitik!$AK$2:$AK$351),ROW()-9,"")</f>
        <v>41</v>
      </c>
      <c r="B50" s="99" t="str">
        <f>IF($A50="","",IFERROR(INDEX(Data_Analitik!$B$2:$B$351,MATCH($A50,Data_Analitik!$AL$2:$AL$351,0)),""))</f>
        <v>041</v>
      </c>
      <c r="C50" s="101" t="str">
        <f>IF($A50="","",IFERROR(INDEX(Data_Analitik!$C$2:$C$351,MATCH($A50,Data_Analitik!$AL$2:$AL$351,0)),""))</f>
        <v>Sp. 3 Baluti - Amawang</v>
      </c>
      <c r="D50" s="101" t="str">
        <f>IF($A50="","",IFERROR(INDEX(Data_Analitik!$D$2:$D$351,MATCH($A50,Data_Analitik!$AL$2:$AL$351,0)),""))</f>
        <v>Kandangan</v>
      </c>
      <c r="E50" s="100">
        <f>IF($A50="","",IFERROR(INDEX(Data_Analitik!$E$2:$E$351,MATCH($A50,Data_Analitik!$AL$2:$AL$351,0)),""))</f>
        <v>1.57</v>
      </c>
      <c r="F50" s="97">
        <f>IF($A50="","",IFERROR(INDEX(Data_Analitik!$P$2:$P$351,MATCH($A50,Data_Analitik!$AL$2:$AL$351,0)),""))</f>
        <v>0.25477707386016846</v>
      </c>
      <c r="G50" s="97">
        <f>IF($A50="","",IFERROR(INDEX(Data_Analitik!$R$2:$R$351,MATCH($A50,Data_Analitik!$AL$2:$AL$351,0)),""))</f>
        <v>0.68152869582935505</v>
      </c>
      <c r="H50" s="97">
        <f>IF($A50="","",IFERROR(INDEX(Data_Analitik!$T$2:$T$351,MATCH($A50,Data_Analitik!$AL$2:$AL$351,0)),""))</f>
        <v>6.3694268465042114E-2</v>
      </c>
      <c r="I50" s="97">
        <f>IF($A50="","",IFERROR(INDEX(Data_Analitik!$V$2:$V$351,MATCH($A50,Data_Analitik!$AL$2:$AL$351,0)),""))</f>
        <v>0</v>
      </c>
      <c r="J50" s="97">
        <f>IF($A50="","",IFERROR(INDEX(Data_Analitik!$X$2:$X$351,MATCH($A50,Data_Analitik!$AL$2:$AL$351,0)),""))</f>
        <v>0.9363057696895235</v>
      </c>
      <c r="K50" s="97">
        <f>IF($A50="","",IFERROR(INDEX(Data_Analitik!$Z$2:$Z$351,MATCH($A50,Data_Analitik!$AL$2:$AL$351,0)),""))</f>
        <v>6.3694268465042114E-2</v>
      </c>
      <c r="L50" s="33" t="str">
        <f>IF($A50="","",IFERROR(INDEX(Data_Analitik!$AB$2:$AB$351,MATCH($A50,Data_Analitik!$AL$2:$AL$351,0)),""))</f>
        <v>Relatif Mantap</v>
      </c>
    </row>
    <row r="51" spans="1:12" ht="21.95" customHeight="1" x14ac:dyDescent="0.25">
      <c r="A51" s="32">
        <f>IF(ROW()-9&lt;=SUM(Data_Analitik!$AK$2:$AK$351),ROW()-9,"")</f>
        <v>42</v>
      </c>
      <c r="B51" s="99" t="str">
        <f>IF($A51="","",IFERROR(INDEX(Data_Analitik!$B$2:$B$351,MATCH($A51,Data_Analitik!$AL$2:$AL$351,0)),""))</f>
        <v>042</v>
      </c>
      <c r="C51" s="101" t="str">
        <f>IF($A51="","",IFERROR(INDEX(Data_Analitik!$C$2:$C$351,MATCH($A51,Data_Analitik!$AL$2:$AL$351,0)),""))</f>
        <v>Sei Kupang Utara - Simp. Empat Lungau</v>
      </c>
      <c r="D51" s="101" t="str">
        <f>IF($A51="","",IFERROR(INDEX(Data_Analitik!$D$2:$D$351,MATCH($A51,Data_Analitik!$AL$2:$AL$351,0)),""))</f>
        <v>Kandangan</v>
      </c>
      <c r="E51" s="100">
        <f>IF($A51="","",IFERROR(INDEX(Data_Analitik!$E$2:$E$351,MATCH($A51,Data_Analitik!$AL$2:$AL$351,0)),""))</f>
        <v>2.36</v>
      </c>
      <c r="F51" s="97">
        <f>IF($A51="","",IFERROR(INDEX(Data_Analitik!$P$2:$P$351,MATCH($A51,Data_Analitik!$AL$2:$AL$351,0)),""))</f>
        <v>0.63559322033898313</v>
      </c>
      <c r="G51" s="97">
        <f>IF($A51="","",IFERROR(INDEX(Data_Analitik!$R$2:$R$351,MATCH($A51,Data_Analitik!$AL$2:$AL$351,0)),""))</f>
        <v>0.36440678572250629</v>
      </c>
      <c r="H51" s="97">
        <f>IF($A51="","",IFERROR(INDEX(Data_Analitik!$T$2:$T$351,MATCH($A51,Data_Analitik!$AL$2:$AL$351,0)),""))</f>
        <v>0</v>
      </c>
      <c r="I51" s="97">
        <f>IF($A51="","",IFERROR(INDEX(Data_Analitik!$V$2:$V$351,MATCH($A51,Data_Analitik!$AL$2:$AL$351,0)),""))</f>
        <v>0</v>
      </c>
      <c r="J51" s="97">
        <f>IF($A51="","",IFERROR(INDEX(Data_Analitik!$X$2:$X$351,MATCH($A51,Data_Analitik!$AL$2:$AL$351,0)),""))</f>
        <v>1.0000000060614893</v>
      </c>
      <c r="K51" s="97">
        <f>IF($A51="","",IFERROR(INDEX(Data_Analitik!$Z$2:$Z$351,MATCH($A51,Data_Analitik!$AL$2:$AL$351,0)),""))</f>
        <v>0</v>
      </c>
      <c r="L51" s="33" t="str">
        <f>IF($A51="","",IFERROR(INDEX(Data_Analitik!$AB$2:$AB$351,MATCH($A51,Data_Analitik!$AL$2:$AL$351,0)),""))</f>
        <v>Relatif Mantap</v>
      </c>
    </row>
    <row r="52" spans="1:12" ht="21.95" customHeight="1" x14ac:dyDescent="0.25">
      <c r="A52" s="32">
        <f>IF(ROW()-9&lt;=SUM(Data_Analitik!$AK$2:$AK$351),ROW()-9,"")</f>
        <v>43</v>
      </c>
      <c r="B52" s="99" t="str">
        <f>IF($A52="","",IFERROR(INDEX(Data_Analitik!$B$2:$B$351,MATCH($A52,Data_Analitik!$AL$2:$AL$351,0)),""))</f>
        <v>043</v>
      </c>
      <c r="C52" s="101" t="str">
        <f>IF($A52="","",IFERROR(INDEX(Data_Analitik!$C$2:$C$351,MATCH($A52,Data_Analitik!$AL$2:$AL$351,0)),""))</f>
        <v>Sp. Empat Lungau - Bangkau</v>
      </c>
      <c r="D52" s="101" t="str">
        <f>IF($A52="","",IFERROR(INDEX(Data_Analitik!$D$2:$D$351,MATCH($A52,Data_Analitik!$AL$2:$AL$351,0)),""))</f>
        <v>Kandangan</v>
      </c>
      <c r="E52" s="100">
        <f>IF($A52="","",IFERROR(INDEX(Data_Analitik!$E$2:$E$351,MATCH($A52,Data_Analitik!$AL$2:$AL$351,0)),""))</f>
        <v>8.1</v>
      </c>
      <c r="F52" s="97">
        <f>IF($A52="","",IFERROR(INDEX(Data_Analitik!$P$2:$P$351,MATCH($A52,Data_Analitik!$AL$2:$AL$351,0)),""))</f>
        <v>0</v>
      </c>
      <c r="G52" s="97">
        <f>IF($A52="","",IFERROR(INDEX(Data_Analitik!$R$2:$R$351,MATCH($A52,Data_Analitik!$AL$2:$AL$351,0)),""))</f>
        <v>0.27160494415848346</v>
      </c>
      <c r="H52" s="97">
        <f>IF($A52="","",IFERROR(INDEX(Data_Analitik!$T$2:$T$351,MATCH($A52,Data_Analitik!$AL$2:$AL$351,0)),""))</f>
        <v>0</v>
      </c>
      <c r="I52" s="97">
        <f>IF($A52="","",IFERROR(INDEX(Data_Analitik!$V$2:$V$351,MATCH($A52,Data_Analitik!$AL$2:$AL$351,0)),""))</f>
        <v>0.72839507350215205</v>
      </c>
      <c r="J52" s="97">
        <f>IF($A52="","",IFERROR(INDEX(Data_Analitik!$X$2:$X$351,MATCH($A52,Data_Analitik!$AL$2:$AL$351,0)),""))</f>
        <v>0.27160494415848346</v>
      </c>
      <c r="K52" s="97">
        <f>IF($A52="","",IFERROR(INDEX(Data_Analitik!$Z$2:$Z$351,MATCH($A52,Data_Analitik!$AL$2:$AL$351,0)),""))</f>
        <v>0.72839507350215205</v>
      </c>
      <c r="L52" s="33" t="str">
        <f>IF($A52="","",IFERROR(INDEX(Data_Analitik!$AB$2:$AB$351,MATCH($A52,Data_Analitik!$AL$2:$AL$351,0)),""))</f>
        <v>Rusak Berat Dominan</v>
      </c>
    </row>
    <row r="53" spans="1:12" ht="21.95" customHeight="1" x14ac:dyDescent="0.25">
      <c r="A53" s="32">
        <f>IF(ROW()-9&lt;=SUM(Data_Analitik!$AK$2:$AK$351),ROW()-9,"")</f>
        <v>44</v>
      </c>
      <c r="B53" s="99" t="str">
        <f>IF($A53="","",IFERROR(INDEX(Data_Analitik!$B$2:$B$351,MATCH($A53,Data_Analitik!$AL$2:$AL$351,0)),""))</f>
        <v>044</v>
      </c>
      <c r="C53" s="101" t="str">
        <f>IF($A53="","",IFERROR(INDEX(Data_Analitik!$C$2:$C$351,MATCH($A53,Data_Analitik!$AL$2:$AL$351,0)),""))</f>
        <v>Sp. Empat Lungau - Garis</v>
      </c>
      <c r="D53" s="101" t="str">
        <f>IF($A53="","",IFERROR(INDEX(Data_Analitik!$D$2:$D$351,MATCH($A53,Data_Analitik!$AL$2:$AL$351,0)),""))</f>
        <v>Kandangan</v>
      </c>
      <c r="E53" s="100">
        <f>IF($A53="","",IFERROR(INDEX(Data_Analitik!$E$2:$E$351,MATCH($A53,Data_Analitik!$AL$2:$AL$351,0)),""))</f>
        <v>8.19</v>
      </c>
      <c r="F53" s="97">
        <f>IF($A53="","",IFERROR(INDEX(Data_Analitik!$P$2:$P$351,MATCH($A53,Data_Analitik!$AL$2:$AL$351,0)),""))</f>
        <v>0</v>
      </c>
      <c r="G53" s="97">
        <f>IF($A53="","",IFERROR(INDEX(Data_Analitik!$R$2:$R$351,MATCH($A53,Data_Analitik!$AL$2:$AL$351,0)),""))</f>
        <v>0.19536019827128914</v>
      </c>
      <c r="H53" s="97">
        <f>IF($A53="","",IFERROR(INDEX(Data_Analitik!$T$2:$T$351,MATCH($A53,Data_Analitik!$AL$2:$AL$351,0)),""))</f>
        <v>0</v>
      </c>
      <c r="I53" s="97">
        <f>IF($A53="","",IFERROR(INDEX(Data_Analitik!$V$2:$V$351,MATCH($A53,Data_Analitik!$AL$2:$AL$351,0)),""))</f>
        <v>0.80463982327080474</v>
      </c>
      <c r="J53" s="97">
        <f>IF($A53="","",IFERROR(INDEX(Data_Analitik!$X$2:$X$351,MATCH($A53,Data_Analitik!$AL$2:$AL$351,0)),""))</f>
        <v>0.19536019827128914</v>
      </c>
      <c r="K53" s="97">
        <f>IF($A53="","",IFERROR(INDEX(Data_Analitik!$Z$2:$Z$351,MATCH($A53,Data_Analitik!$AL$2:$AL$351,0)),""))</f>
        <v>0.80463982327080474</v>
      </c>
      <c r="L53" s="33" t="str">
        <f>IF($A53="","",IFERROR(INDEX(Data_Analitik!$AB$2:$AB$351,MATCH($A53,Data_Analitik!$AL$2:$AL$351,0)),""))</f>
        <v>Rusak Berat Dominan</v>
      </c>
    </row>
    <row r="54" spans="1:12" ht="21.95" customHeight="1" x14ac:dyDescent="0.25">
      <c r="A54" s="32">
        <f>IF(ROW()-9&lt;=SUM(Data_Analitik!$AK$2:$AK$351),ROW()-9,"")</f>
        <v>45</v>
      </c>
      <c r="B54" s="99" t="str">
        <f>IF($A54="","",IFERROR(INDEX(Data_Analitik!$B$2:$B$351,MATCH($A54,Data_Analitik!$AL$2:$AL$351,0)),""))</f>
        <v>045</v>
      </c>
      <c r="C54" s="101" t="str">
        <f>IF($A54="","",IFERROR(INDEX(Data_Analitik!$C$2:$C$351,MATCH($A54,Data_Analitik!$AL$2:$AL$351,0)),""))</f>
        <v>Gambir - Sp. Empat Lungau</v>
      </c>
      <c r="D54" s="101" t="str">
        <f>IF($A54="","",IFERROR(INDEX(Data_Analitik!$D$2:$D$351,MATCH($A54,Data_Analitik!$AL$2:$AL$351,0)),""))</f>
        <v>Kandangan</v>
      </c>
      <c r="E54" s="100">
        <f>IF($A54="","",IFERROR(INDEX(Data_Analitik!$E$2:$E$351,MATCH($A54,Data_Analitik!$AL$2:$AL$351,0)),""))</f>
        <v>2.95</v>
      </c>
      <c r="F54" s="97">
        <f>IF($A54="","",IFERROR(INDEX(Data_Analitik!$P$2:$P$351,MATCH($A54,Data_Analitik!$AL$2:$AL$351,0)),""))</f>
        <v>0</v>
      </c>
      <c r="G54" s="97">
        <f>IF($A54="","",IFERROR(INDEX(Data_Analitik!$R$2:$R$351,MATCH($A54,Data_Analitik!$AL$2:$AL$351,0)),""))</f>
        <v>0.50847457627118642</v>
      </c>
      <c r="H54" s="97">
        <f>IF($A54="","",IFERROR(INDEX(Data_Analitik!$T$2:$T$351,MATCH($A54,Data_Analitik!$AL$2:$AL$351,0)),""))</f>
        <v>0</v>
      </c>
      <c r="I54" s="97">
        <f>IF($A54="","",IFERROR(INDEX(Data_Analitik!$V$2:$V$351,MATCH($A54,Data_Analitik!$AL$2:$AL$351,0)),""))</f>
        <v>0.49152543989278502</v>
      </c>
      <c r="J54" s="97">
        <f>IF($A54="","",IFERROR(INDEX(Data_Analitik!$X$2:$X$351,MATCH($A54,Data_Analitik!$AL$2:$AL$351,0)),""))</f>
        <v>0.50847457627118642</v>
      </c>
      <c r="K54" s="97">
        <f>IF($A54="","",IFERROR(INDEX(Data_Analitik!$Z$2:$Z$351,MATCH($A54,Data_Analitik!$AL$2:$AL$351,0)),""))</f>
        <v>0.49152543989278502</v>
      </c>
      <c r="L54" s="33" t="str">
        <f>IF($A54="","",IFERROR(INDEX(Data_Analitik!$AB$2:$AB$351,MATCH($A54,Data_Analitik!$AL$2:$AL$351,0)),""))</f>
        <v>Rusak Berat Dominan</v>
      </c>
    </row>
    <row r="55" spans="1:12" ht="21.95" customHeight="1" x14ac:dyDescent="0.25">
      <c r="A55" s="32">
        <f>IF(ROW()-9&lt;=SUM(Data_Analitik!$AK$2:$AK$351),ROW()-9,"")</f>
        <v>46</v>
      </c>
      <c r="B55" s="99" t="str">
        <f>IF($A55="","",IFERROR(INDEX(Data_Analitik!$B$2:$B$351,MATCH($A55,Data_Analitik!$AL$2:$AL$351,0)),""))</f>
        <v>046</v>
      </c>
      <c r="C55" s="101" t="str">
        <f>IF($A55="","",IFERROR(INDEX(Data_Analitik!$C$2:$C$351,MATCH($A55,Data_Analitik!$AL$2:$AL$351,0)),""))</f>
        <v>Bariang - Getek</v>
      </c>
      <c r="D55" s="101" t="str">
        <f>IF($A55="","",IFERROR(INDEX(Data_Analitik!$D$2:$D$351,MATCH($A55,Data_Analitik!$AL$2:$AL$351,0)),""))</f>
        <v>Kandangan</v>
      </c>
      <c r="E55" s="100">
        <f>IF($A55="","",IFERROR(INDEX(Data_Analitik!$E$2:$E$351,MATCH($A55,Data_Analitik!$AL$2:$AL$351,0)),""))</f>
        <v>1.24</v>
      </c>
      <c r="F55" s="97">
        <f>IF($A55="","",IFERROR(INDEX(Data_Analitik!$P$2:$P$351,MATCH($A55,Data_Analitik!$AL$2:$AL$351,0)),""))</f>
        <v>0</v>
      </c>
      <c r="G55" s="97">
        <f>IF($A55="","",IFERROR(INDEX(Data_Analitik!$R$2:$R$351,MATCH($A55,Data_Analitik!$AL$2:$AL$351,0)),""))</f>
        <v>0.32258064996811653</v>
      </c>
      <c r="H55" s="97">
        <f>IF($A55="","",IFERROR(INDEX(Data_Analitik!$T$2:$T$351,MATCH($A55,Data_Analitik!$AL$2:$AL$351,0)),""))</f>
        <v>0.67741933368867446</v>
      </c>
      <c r="I55" s="97">
        <f>IF($A55="","",IFERROR(INDEX(Data_Analitik!$V$2:$V$351,MATCH($A55,Data_Analitik!$AL$2:$AL$351,0)),""))</f>
        <v>0</v>
      </c>
      <c r="J55" s="97">
        <f>IF($A55="","",IFERROR(INDEX(Data_Analitik!$X$2:$X$351,MATCH($A55,Data_Analitik!$AL$2:$AL$351,0)),""))</f>
        <v>0.32258064996811653</v>
      </c>
      <c r="K55" s="97">
        <f>IF($A55="","",IFERROR(INDEX(Data_Analitik!$Z$2:$Z$351,MATCH($A55,Data_Analitik!$AL$2:$AL$351,0)),""))</f>
        <v>0.67741933368867446</v>
      </c>
      <c r="L55" s="33" t="str">
        <f>IF($A55="","",IFERROR(INDEX(Data_Analitik!$AB$2:$AB$351,MATCH($A55,Data_Analitik!$AL$2:$AL$351,0)),""))</f>
        <v>Tidak Mantap Tinggi</v>
      </c>
    </row>
    <row r="56" spans="1:12" ht="21.95" customHeight="1" x14ac:dyDescent="0.25">
      <c r="A56" s="32">
        <f>IF(ROW()-9&lt;=SUM(Data_Analitik!$AK$2:$AK$351),ROW()-9,"")</f>
        <v>47</v>
      </c>
      <c r="B56" s="99" t="str">
        <f>IF($A56="","",IFERROR(INDEX(Data_Analitik!$B$2:$B$351,MATCH($A56,Data_Analitik!$AL$2:$AL$351,0)),""))</f>
        <v>047</v>
      </c>
      <c r="C56" s="101" t="str">
        <f>IF($A56="","",IFERROR(INDEX(Data_Analitik!$C$2:$C$351,MATCH($A56,Data_Analitik!$AL$2:$AL$351,0)),""))</f>
        <v>Muara Banta - Karang Jawa</v>
      </c>
      <c r="D56" s="101" t="str">
        <f>IF($A56="","",IFERROR(INDEX(Data_Analitik!$D$2:$D$351,MATCH($A56,Data_Analitik!$AL$2:$AL$351,0)),""))</f>
        <v>Kandangan - Padang Batung</v>
      </c>
      <c r="E56" s="100">
        <f>IF($A56="","",IFERROR(INDEX(Data_Analitik!$E$2:$E$351,MATCH($A56,Data_Analitik!$AL$2:$AL$351,0)),""))</f>
        <v>1.59</v>
      </c>
      <c r="F56" s="97">
        <f>IF($A56="","",IFERROR(INDEX(Data_Analitik!$P$2:$P$351,MATCH($A56,Data_Analitik!$AL$2:$AL$351,0)),""))</f>
        <v>0</v>
      </c>
      <c r="G56" s="97">
        <f>IF($A56="","",IFERROR(INDEX(Data_Analitik!$R$2:$R$351,MATCH($A56,Data_Analitik!$AL$2:$AL$351,0)),""))</f>
        <v>1.0000000209928308</v>
      </c>
      <c r="H56" s="97">
        <f>IF($A56="","",IFERROR(INDEX(Data_Analitik!$T$2:$T$351,MATCH($A56,Data_Analitik!$AL$2:$AL$351,0)),""))</f>
        <v>0</v>
      </c>
      <c r="I56" s="97">
        <f>IF($A56="","",IFERROR(INDEX(Data_Analitik!$V$2:$V$351,MATCH($A56,Data_Analitik!$AL$2:$AL$351,0)),""))</f>
        <v>0</v>
      </c>
      <c r="J56" s="97">
        <f>IF($A56="","",IFERROR(INDEX(Data_Analitik!$X$2:$X$351,MATCH($A56,Data_Analitik!$AL$2:$AL$351,0)),""))</f>
        <v>1.0000000209928308</v>
      </c>
      <c r="K56" s="97">
        <f>IF($A56="","",IFERROR(INDEX(Data_Analitik!$Z$2:$Z$351,MATCH($A56,Data_Analitik!$AL$2:$AL$351,0)),""))</f>
        <v>0</v>
      </c>
      <c r="L56" s="33" t="str">
        <f>IF($A56="","",IFERROR(INDEX(Data_Analitik!$AB$2:$AB$351,MATCH($A56,Data_Analitik!$AL$2:$AL$351,0)),""))</f>
        <v>Relatif Mantap</v>
      </c>
    </row>
    <row r="57" spans="1:12" ht="21.95" customHeight="1" x14ac:dyDescent="0.25">
      <c r="A57" s="32">
        <f>IF(ROW()-9&lt;=SUM(Data_Analitik!$AK$2:$AK$351),ROW()-9,"")</f>
        <v>48</v>
      </c>
      <c r="B57" s="99" t="str">
        <f>IF($A57="","",IFERROR(INDEX(Data_Analitik!$B$2:$B$351,MATCH($A57,Data_Analitik!$AL$2:$AL$351,0)),""))</f>
        <v>048</v>
      </c>
      <c r="C57" s="101" t="str">
        <f>IF($A57="","",IFERROR(INDEX(Data_Analitik!$C$2:$C$351,MATCH($A57,Data_Analitik!$AL$2:$AL$351,0)),""))</f>
        <v>Sungai Paring - Sei Hanyar Pantai Ulin</v>
      </c>
      <c r="D57" s="101" t="str">
        <f>IF($A57="","",IFERROR(INDEX(Data_Analitik!$D$2:$D$351,MATCH($A57,Data_Analitik!$AL$2:$AL$351,0)),""))</f>
        <v>Kandangan - Simpur</v>
      </c>
      <c r="E57" s="100">
        <f>IF($A57="","",IFERROR(INDEX(Data_Analitik!$E$2:$E$351,MATCH($A57,Data_Analitik!$AL$2:$AL$351,0)),""))</f>
        <v>5.85</v>
      </c>
      <c r="F57" s="97">
        <f>IF($A57="","",IFERROR(INDEX(Data_Analitik!$P$2:$P$351,MATCH($A57,Data_Analitik!$AL$2:$AL$351,0)),""))</f>
        <v>0</v>
      </c>
      <c r="G57" s="97">
        <f>IF($A57="","",IFERROR(INDEX(Data_Analitik!$R$2:$R$351,MATCH($A57,Data_Analitik!$AL$2:$AL$351,0)),""))</f>
        <v>0.23931623524070805</v>
      </c>
      <c r="H57" s="97">
        <f>IF($A57="","",IFERROR(INDEX(Data_Analitik!$T$2:$T$351,MATCH($A57,Data_Analitik!$AL$2:$AL$351,0)),""))</f>
        <v>0.39316238501133066</v>
      </c>
      <c r="I57" s="97">
        <f>IF($A57="","",IFERROR(INDEX(Data_Analitik!$V$2:$V$351,MATCH($A57,Data_Analitik!$AL$2:$AL$351,0)),""))</f>
        <v>0.36752137363466442</v>
      </c>
      <c r="J57" s="97">
        <f>IF($A57="","",IFERROR(INDEX(Data_Analitik!$X$2:$X$351,MATCH($A57,Data_Analitik!$AL$2:$AL$351,0)),""))</f>
        <v>0.23931623524070805</v>
      </c>
      <c r="K57" s="97">
        <f>IF($A57="","",IFERROR(INDEX(Data_Analitik!$Z$2:$Z$351,MATCH($A57,Data_Analitik!$AL$2:$AL$351,0)),""))</f>
        <v>0.76068375864599513</v>
      </c>
      <c r="L57" s="33" t="str">
        <f>IF($A57="","",IFERROR(INDEX(Data_Analitik!$AB$2:$AB$351,MATCH($A57,Data_Analitik!$AL$2:$AL$351,0)),""))</f>
        <v>Rusak Berat Dominan</v>
      </c>
    </row>
    <row r="58" spans="1:12" ht="21.95" customHeight="1" x14ac:dyDescent="0.25">
      <c r="A58" s="32">
        <f>IF(ROW()-9&lt;=SUM(Data_Analitik!$AK$2:$AK$351),ROW()-9,"")</f>
        <v>49</v>
      </c>
      <c r="B58" s="99" t="str">
        <f>IF($A58="","",IFERROR(INDEX(Data_Analitik!$B$2:$B$351,MATCH($A58,Data_Analitik!$AL$2:$AL$351,0)),""))</f>
        <v>049</v>
      </c>
      <c r="C58" s="101" t="str">
        <f>IF($A58="","",IFERROR(INDEX(Data_Analitik!$C$2:$C$351,MATCH($A58,Data_Analitik!$AL$2:$AL$351,0)),""))</f>
        <v>Kandangan Hulu - Sp. Tabihi</v>
      </c>
      <c r="D58" s="101" t="str">
        <f>IF($A58="","",IFERROR(INDEX(Data_Analitik!$D$2:$D$351,MATCH($A58,Data_Analitik!$AL$2:$AL$351,0)),""))</f>
        <v>Kandangan - Padang Batung</v>
      </c>
      <c r="E58" s="100">
        <f>IF($A58="","",IFERROR(INDEX(Data_Analitik!$E$2:$E$351,MATCH($A58,Data_Analitik!$AL$2:$AL$351,0)),""))</f>
        <v>1.25</v>
      </c>
      <c r="F58" s="97">
        <f>IF($A58="","",IFERROR(INDEX(Data_Analitik!$P$2:$P$351,MATCH($A58,Data_Analitik!$AL$2:$AL$351,0)),""))</f>
        <v>0.27999999523162844</v>
      </c>
      <c r="G58" s="97">
        <f>IF($A58="","",IFERROR(INDEX(Data_Analitik!$R$2:$R$351,MATCH($A58,Data_Analitik!$AL$2:$AL$351,0)),""))</f>
        <v>0.71999998092651363</v>
      </c>
      <c r="H58" s="97">
        <f>IF($A58="","",IFERROR(INDEX(Data_Analitik!$T$2:$T$351,MATCH($A58,Data_Analitik!$AL$2:$AL$351,0)),""))</f>
        <v>0</v>
      </c>
      <c r="I58" s="97">
        <f>IF($A58="","",IFERROR(INDEX(Data_Analitik!$V$2:$V$351,MATCH($A58,Data_Analitik!$AL$2:$AL$351,0)),""))</f>
        <v>0</v>
      </c>
      <c r="J58" s="97">
        <f>IF($A58="","",IFERROR(INDEX(Data_Analitik!$X$2:$X$351,MATCH($A58,Data_Analitik!$AL$2:$AL$351,0)),""))</f>
        <v>0.99999997615814207</v>
      </c>
      <c r="K58" s="97">
        <f>IF($A58="","",IFERROR(INDEX(Data_Analitik!$Z$2:$Z$351,MATCH($A58,Data_Analitik!$AL$2:$AL$351,0)),""))</f>
        <v>0</v>
      </c>
      <c r="L58" s="33" t="str">
        <f>IF($A58="","",IFERROR(INDEX(Data_Analitik!$AB$2:$AB$351,MATCH($A58,Data_Analitik!$AL$2:$AL$351,0)),""))</f>
        <v>Relatif Mantap</v>
      </c>
    </row>
    <row r="59" spans="1:12" ht="21.95" customHeight="1" x14ac:dyDescent="0.25">
      <c r="A59" s="32">
        <f>IF(ROW()-9&lt;=SUM(Data_Analitik!$AK$2:$AK$351),ROW()-9,"")</f>
        <v>50</v>
      </c>
      <c r="B59" s="99" t="str">
        <f>IF($A59="","",IFERROR(INDEX(Data_Analitik!$B$2:$B$351,MATCH($A59,Data_Analitik!$AL$2:$AL$351,0)),""))</f>
        <v>050</v>
      </c>
      <c r="C59" s="101" t="str">
        <f>IF($A59="","",IFERROR(INDEX(Data_Analitik!$C$2:$C$351,MATCH($A59,Data_Analitik!$AL$2:$AL$351,0)),""))</f>
        <v>Banyu Barau - Sei Kalang</v>
      </c>
      <c r="D59" s="101" t="str">
        <f>IF($A59="","",IFERROR(INDEX(Data_Analitik!$D$2:$D$351,MATCH($A59,Data_Analitik!$AL$2:$AL$351,0)),""))</f>
        <v>Kandangan</v>
      </c>
      <c r="E59" s="100">
        <f>IF($A59="","",IFERROR(INDEX(Data_Analitik!$E$2:$E$351,MATCH($A59,Data_Analitik!$AL$2:$AL$351,0)),""))</f>
        <v>2.1</v>
      </c>
      <c r="F59" s="97">
        <f>IF($A59="","",IFERROR(INDEX(Data_Analitik!$P$2:$P$351,MATCH($A59,Data_Analitik!$AL$2:$AL$351,0)),""))</f>
        <v>0.42857141721816289</v>
      </c>
      <c r="G59" s="97">
        <f>IF($A59="","",IFERROR(INDEX(Data_Analitik!$R$2:$R$351,MATCH($A59,Data_Analitik!$AL$2:$AL$351,0)),""))</f>
        <v>0.57142859413510272</v>
      </c>
      <c r="H59" s="97">
        <f>IF($A59="","",IFERROR(INDEX(Data_Analitik!$T$2:$T$351,MATCH($A59,Data_Analitik!$AL$2:$AL$351,0)),""))</f>
        <v>0</v>
      </c>
      <c r="I59" s="97">
        <f>IF($A59="","",IFERROR(INDEX(Data_Analitik!$V$2:$V$351,MATCH($A59,Data_Analitik!$AL$2:$AL$351,0)),""))</f>
        <v>0</v>
      </c>
      <c r="J59" s="97">
        <f>IF($A59="","",IFERROR(INDEX(Data_Analitik!$X$2:$X$351,MATCH($A59,Data_Analitik!$AL$2:$AL$351,0)),""))</f>
        <v>1.0000000113532657</v>
      </c>
      <c r="K59" s="97">
        <f>IF($A59="","",IFERROR(INDEX(Data_Analitik!$Z$2:$Z$351,MATCH($A59,Data_Analitik!$AL$2:$AL$351,0)),""))</f>
        <v>0</v>
      </c>
      <c r="L59" s="33" t="str">
        <f>IF($A59="","",IFERROR(INDEX(Data_Analitik!$AB$2:$AB$351,MATCH($A59,Data_Analitik!$AL$2:$AL$351,0)),""))</f>
        <v>Relatif Mantap</v>
      </c>
    </row>
    <row r="60" spans="1:12" ht="21.95" customHeight="1" x14ac:dyDescent="0.25">
      <c r="A60" s="32">
        <f>IF(ROW()-9&lt;=SUM(Data_Analitik!$AK$2:$AK$351),ROW()-9,"")</f>
        <v>51</v>
      </c>
      <c r="B60" s="99" t="str">
        <f>IF($A60="","",IFERROR(INDEX(Data_Analitik!$B$2:$B$351,MATCH($A60,Data_Analitik!$AL$2:$AL$351,0)),""))</f>
        <v>051</v>
      </c>
      <c r="C60" s="101" t="str">
        <f>IF($A60="","",IFERROR(INDEX(Data_Analitik!$C$2:$C$351,MATCH($A60,Data_Analitik!$AL$2:$AL$351,0)),""))</f>
        <v>Tibung Raya - Asam Cangkuk</v>
      </c>
      <c r="D60" s="101" t="str">
        <f>IF($A60="","",IFERROR(INDEX(Data_Analitik!$D$2:$D$351,MATCH($A60,Data_Analitik!$AL$2:$AL$351,0)),""))</f>
        <v>Kandangan</v>
      </c>
      <c r="E60" s="100">
        <f>IF($A60="","",IFERROR(INDEX(Data_Analitik!$E$2:$E$351,MATCH($A60,Data_Analitik!$AL$2:$AL$351,0)),""))</f>
        <v>0.86</v>
      </c>
      <c r="F60" s="97">
        <f>IF($A60="","",IFERROR(INDEX(Data_Analitik!$P$2:$P$351,MATCH($A60,Data_Analitik!$AL$2:$AL$351,0)),""))</f>
        <v>1.0000000166338543</v>
      </c>
      <c r="G60" s="97">
        <f>IF($A60="","",IFERROR(INDEX(Data_Analitik!$R$2:$R$351,MATCH($A60,Data_Analitik!$AL$2:$AL$351,0)),""))</f>
        <v>0</v>
      </c>
      <c r="H60" s="97">
        <f>IF($A60="","",IFERROR(INDEX(Data_Analitik!$T$2:$T$351,MATCH($A60,Data_Analitik!$AL$2:$AL$351,0)),""))</f>
        <v>0</v>
      </c>
      <c r="I60" s="97">
        <f>IF($A60="","",IFERROR(INDEX(Data_Analitik!$V$2:$V$351,MATCH($A60,Data_Analitik!$AL$2:$AL$351,0)),""))</f>
        <v>0</v>
      </c>
      <c r="J60" s="97">
        <f>IF($A60="","",IFERROR(INDEX(Data_Analitik!$X$2:$X$351,MATCH($A60,Data_Analitik!$AL$2:$AL$351,0)),""))</f>
        <v>1.0000000166338543</v>
      </c>
      <c r="K60" s="97">
        <f>IF($A60="","",IFERROR(INDEX(Data_Analitik!$Z$2:$Z$351,MATCH($A60,Data_Analitik!$AL$2:$AL$351,0)),""))</f>
        <v>0</v>
      </c>
      <c r="L60" s="33" t="str">
        <f>IF($A60="","",IFERROR(INDEX(Data_Analitik!$AB$2:$AB$351,MATCH($A60,Data_Analitik!$AL$2:$AL$351,0)),""))</f>
        <v>Relatif Mantap</v>
      </c>
    </row>
    <row r="61" spans="1:12" ht="21.95" customHeight="1" x14ac:dyDescent="0.25">
      <c r="A61" s="32">
        <f>IF(ROW()-9&lt;=SUM(Data_Analitik!$AK$2:$AK$351),ROW()-9,"")</f>
        <v>52</v>
      </c>
      <c r="B61" s="99" t="str">
        <f>IF($A61="","",IFERROR(INDEX(Data_Analitik!$B$2:$B$351,MATCH($A61,Data_Analitik!$AL$2:$AL$351,0)),""))</f>
        <v>052</v>
      </c>
      <c r="C61" s="101" t="str">
        <f>IF($A61="","",IFERROR(INDEX(Data_Analitik!$C$2:$C$351,MATCH($A61,Data_Analitik!$AL$2:$AL$351,0)),""))</f>
        <v>Gambah Dalam - Rantauan</v>
      </c>
      <c r="D61" s="101" t="str">
        <f>IF($A61="","",IFERROR(INDEX(Data_Analitik!$D$2:$D$351,MATCH($A61,Data_Analitik!$AL$2:$AL$351,0)),""))</f>
        <v>Kandangan</v>
      </c>
      <c r="E61" s="100">
        <f>IF($A61="","",IFERROR(INDEX(Data_Analitik!$E$2:$E$351,MATCH($A61,Data_Analitik!$AL$2:$AL$351,0)),""))</f>
        <v>1.52</v>
      </c>
      <c r="F61" s="97">
        <f>IF($A61="","",IFERROR(INDEX(Data_Analitik!$P$2:$P$351,MATCH($A61,Data_Analitik!$AL$2:$AL$351,0)),""))</f>
        <v>0</v>
      </c>
      <c r="G61" s="97">
        <f>IF($A61="","",IFERROR(INDEX(Data_Analitik!$R$2:$R$351,MATCH($A61,Data_Analitik!$AL$2:$AL$351,0)),""))</f>
        <v>0.67105261903060109</v>
      </c>
      <c r="H61" s="97">
        <f>IF($A61="","",IFERROR(INDEX(Data_Analitik!$T$2:$T$351,MATCH($A61,Data_Analitik!$AL$2:$AL$351,0)),""))</f>
        <v>0.32894736842105265</v>
      </c>
      <c r="I61" s="97">
        <f>IF($A61="","",IFERROR(INDEX(Data_Analitik!$V$2:$V$351,MATCH($A61,Data_Analitik!$AL$2:$AL$351,0)),""))</f>
        <v>0</v>
      </c>
      <c r="J61" s="97">
        <f>IF($A61="","",IFERROR(INDEX(Data_Analitik!$X$2:$X$351,MATCH($A61,Data_Analitik!$AL$2:$AL$351,0)),""))</f>
        <v>0.67105261903060109</v>
      </c>
      <c r="K61" s="97">
        <f>IF($A61="","",IFERROR(INDEX(Data_Analitik!$Z$2:$Z$351,MATCH($A61,Data_Analitik!$AL$2:$AL$351,0)),""))</f>
        <v>0.32894736842105265</v>
      </c>
      <c r="L61" s="33" t="str">
        <f>IF($A61="","",IFERROR(INDEX(Data_Analitik!$AB$2:$AB$351,MATCH($A61,Data_Analitik!$AL$2:$AL$351,0)),""))</f>
        <v>Tidak Mantap Sedang</v>
      </c>
    </row>
    <row r="62" spans="1:12" ht="21.95" customHeight="1" x14ac:dyDescent="0.25">
      <c r="A62" s="32">
        <f>IF(ROW()-9&lt;=SUM(Data_Analitik!$AK$2:$AK$351),ROW()-9,"")</f>
        <v>53</v>
      </c>
      <c r="B62" s="99" t="str">
        <f>IF($A62="","",IFERROR(INDEX(Data_Analitik!$B$2:$B$351,MATCH($A62,Data_Analitik!$AL$2:$AL$351,0)),""))</f>
        <v>053</v>
      </c>
      <c r="C62" s="101" t="str">
        <f>IF($A62="","",IFERROR(INDEX(Data_Analitik!$C$2:$C$351,MATCH($A62,Data_Analitik!$AL$2:$AL$351,0)),""))</f>
        <v>Gambah Luar - Gambah Dalam</v>
      </c>
      <c r="D62" s="101" t="str">
        <f>IF($A62="","",IFERROR(INDEX(Data_Analitik!$D$2:$D$351,MATCH($A62,Data_Analitik!$AL$2:$AL$351,0)),""))</f>
        <v>Kandangan</v>
      </c>
      <c r="E62" s="100">
        <f>IF($A62="","",IFERROR(INDEX(Data_Analitik!$E$2:$E$351,MATCH($A62,Data_Analitik!$AL$2:$AL$351,0)),""))</f>
        <v>1.29</v>
      </c>
      <c r="F62" s="97">
        <f>IF($A62="","",IFERROR(INDEX(Data_Analitik!$P$2:$P$351,MATCH($A62,Data_Analitik!$AL$2:$AL$351,0)),""))</f>
        <v>0</v>
      </c>
      <c r="G62" s="97">
        <f>IF($A62="","",IFERROR(INDEX(Data_Analitik!$R$2:$R$351,MATCH($A62,Data_Analitik!$AL$2:$AL$351,0)),""))</f>
        <v>0.76744186785794044</v>
      </c>
      <c r="H62" s="97">
        <f>IF($A62="","",IFERROR(INDEX(Data_Analitik!$T$2:$T$351,MATCH($A62,Data_Analitik!$AL$2:$AL$351,0)),""))</f>
        <v>0.23255814877591391</v>
      </c>
      <c r="I62" s="97">
        <f>IF($A62="","",IFERROR(INDEX(Data_Analitik!$V$2:$V$351,MATCH($A62,Data_Analitik!$AL$2:$AL$351,0)),""))</f>
        <v>0</v>
      </c>
      <c r="J62" s="97">
        <f>IF($A62="","",IFERROR(INDEX(Data_Analitik!$X$2:$X$351,MATCH($A62,Data_Analitik!$AL$2:$AL$351,0)),""))</f>
        <v>0.76744186785794044</v>
      </c>
      <c r="K62" s="97">
        <f>IF($A62="","",IFERROR(INDEX(Data_Analitik!$Z$2:$Z$351,MATCH($A62,Data_Analitik!$AL$2:$AL$351,0)),""))</f>
        <v>0.23255814877591391</v>
      </c>
      <c r="L62" s="33" t="str">
        <f>IF($A62="","",IFERROR(INDEX(Data_Analitik!$AB$2:$AB$351,MATCH($A62,Data_Analitik!$AL$2:$AL$351,0)),""))</f>
        <v>Tidak Mantap Sedang</v>
      </c>
    </row>
    <row r="63" spans="1:12" ht="21.95" customHeight="1" x14ac:dyDescent="0.25">
      <c r="A63" s="32">
        <f>IF(ROW()-9&lt;=SUM(Data_Analitik!$AK$2:$AK$351),ROW()-9,"")</f>
        <v>54</v>
      </c>
      <c r="B63" s="99" t="str">
        <f>IF($A63="","",IFERROR(INDEX(Data_Analitik!$B$2:$B$351,MATCH($A63,Data_Analitik!$AL$2:$AL$351,0)),""))</f>
        <v>054</v>
      </c>
      <c r="C63" s="101" t="str">
        <f>IF($A63="","",IFERROR(INDEX(Data_Analitik!$C$2:$C$351,MATCH($A63,Data_Analitik!$AL$2:$AL$351,0)),""))</f>
        <v>Pegangsaan Timur - Teluk Aman</v>
      </c>
      <c r="D63" s="101" t="str">
        <f>IF($A63="","",IFERROR(INDEX(Data_Analitik!$D$2:$D$351,MATCH($A63,Data_Analitik!$AL$2:$AL$351,0)),""))</f>
        <v>Kandangan</v>
      </c>
      <c r="E63" s="100">
        <f>IF($A63="","",IFERROR(INDEX(Data_Analitik!$E$2:$E$351,MATCH($A63,Data_Analitik!$AL$2:$AL$351,0)),""))</f>
        <v>1.05</v>
      </c>
      <c r="F63" s="97">
        <f>IF($A63="","",IFERROR(INDEX(Data_Analitik!$P$2:$P$351,MATCH($A63,Data_Analitik!$AL$2:$AL$351,0)),""))</f>
        <v>0</v>
      </c>
      <c r="G63" s="97">
        <f>IF($A63="","",IFERROR(INDEX(Data_Analitik!$R$2:$R$351,MATCH($A63,Data_Analitik!$AL$2:$AL$351,0)),""))</f>
        <v>0.7142857142857143</v>
      </c>
      <c r="H63" s="97">
        <f>IF($A63="","",IFERROR(INDEX(Data_Analitik!$T$2:$T$351,MATCH($A63,Data_Analitik!$AL$2:$AL$351,0)),""))</f>
        <v>0.28571429706755136</v>
      </c>
      <c r="I63" s="97">
        <f>IF($A63="","",IFERROR(INDEX(Data_Analitik!$V$2:$V$351,MATCH($A63,Data_Analitik!$AL$2:$AL$351,0)),""))</f>
        <v>0</v>
      </c>
      <c r="J63" s="97">
        <f>IF($A63="","",IFERROR(INDEX(Data_Analitik!$X$2:$X$351,MATCH($A63,Data_Analitik!$AL$2:$AL$351,0)),""))</f>
        <v>0.7142857142857143</v>
      </c>
      <c r="K63" s="97">
        <f>IF($A63="","",IFERROR(INDEX(Data_Analitik!$Z$2:$Z$351,MATCH($A63,Data_Analitik!$AL$2:$AL$351,0)),""))</f>
        <v>0.28571429706755136</v>
      </c>
      <c r="L63" s="33" t="str">
        <f>IF($A63="","",IFERROR(INDEX(Data_Analitik!$AB$2:$AB$351,MATCH($A63,Data_Analitik!$AL$2:$AL$351,0)),""))</f>
        <v>Tidak Mantap Sedang</v>
      </c>
    </row>
    <row r="64" spans="1:12" ht="21.95" customHeight="1" x14ac:dyDescent="0.25">
      <c r="A64" s="32">
        <f>IF(ROW()-9&lt;=SUM(Data_Analitik!$AK$2:$AK$351),ROW()-9,"")</f>
        <v>55</v>
      </c>
      <c r="B64" s="99" t="str">
        <f>IF($A64="","",IFERROR(INDEX(Data_Analitik!$B$2:$B$351,MATCH($A64,Data_Analitik!$AL$2:$AL$351,0)),""))</f>
        <v>055</v>
      </c>
      <c r="C64" s="101" t="str">
        <f>IF($A64="","",IFERROR(INDEX(Data_Analitik!$C$2:$C$351,MATCH($A64,Data_Analitik!$AL$2:$AL$351,0)),""))</f>
        <v>Gambah Luar - Sungai Kudung</v>
      </c>
      <c r="D64" s="101" t="str">
        <f>IF($A64="","",IFERROR(INDEX(Data_Analitik!$D$2:$D$351,MATCH($A64,Data_Analitik!$AL$2:$AL$351,0)),""))</f>
        <v>Kandangan</v>
      </c>
      <c r="E64" s="100">
        <f>IF($A64="","",IFERROR(INDEX(Data_Analitik!$E$2:$E$351,MATCH($A64,Data_Analitik!$AL$2:$AL$351,0)),""))</f>
        <v>0.89</v>
      </c>
      <c r="F64" s="97">
        <f>IF($A64="","",IFERROR(INDEX(Data_Analitik!$P$2:$P$351,MATCH($A64,Data_Analitik!$AL$2:$AL$351,0)),""))</f>
        <v>0</v>
      </c>
      <c r="G64" s="97">
        <f>IF($A64="","",IFERROR(INDEX(Data_Analitik!$R$2:$R$351,MATCH($A64,Data_Analitik!$AL$2:$AL$351,0)),""))</f>
        <v>0.43820223111784862</v>
      </c>
      <c r="H64" s="97">
        <f>IF($A64="","",IFERROR(INDEX(Data_Analitik!$T$2:$T$351,MATCH($A64,Data_Analitik!$AL$2:$AL$351,0)),""))</f>
        <v>0.44943820894434211</v>
      </c>
      <c r="I64" s="97">
        <f>IF($A64="","",IFERROR(INDEX(Data_Analitik!$V$2:$V$351,MATCH($A64,Data_Analitik!$AL$2:$AL$351,0)),""))</f>
        <v>0.11235955223608553</v>
      </c>
      <c r="J64" s="97">
        <f>IF($A64="","",IFERROR(INDEX(Data_Analitik!$X$2:$X$351,MATCH($A64,Data_Analitik!$AL$2:$AL$351,0)),""))</f>
        <v>0.43820223111784862</v>
      </c>
      <c r="K64" s="97">
        <f>IF($A64="","",IFERROR(INDEX(Data_Analitik!$Z$2:$Z$351,MATCH($A64,Data_Analitik!$AL$2:$AL$351,0)),""))</f>
        <v>0.56179776118042768</v>
      </c>
      <c r="L64" s="33" t="str">
        <f>IF($A64="","",IFERROR(INDEX(Data_Analitik!$AB$2:$AB$351,MATCH($A64,Data_Analitik!$AL$2:$AL$351,0)),""))</f>
        <v>Tidak Mantap Tinggi</v>
      </c>
    </row>
    <row r="65" spans="1:12" ht="21.95" customHeight="1" x14ac:dyDescent="0.25">
      <c r="A65" s="32">
        <f>IF(ROW()-9&lt;=SUM(Data_Analitik!$AK$2:$AK$351),ROW()-9,"")</f>
        <v>56</v>
      </c>
      <c r="B65" s="99" t="str">
        <f>IF($A65="","",IFERROR(INDEX(Data_Analitik!$B$2:$B$351,MATCH($A65,Data_Analitik!$AL$2:$AL$351,0)),""))</f>
        <v>056</v>
      </c>
      <c r="C65" s="101" t="str">
        <f>IF($A65="","",IFERROR(INDEX(Data_Analitik!$C$2:$C$351,MATCH($A65,Data_Analitik!$AL$2:$AL$351,0)),""))</f>
        <v>Bakarung Tengah - Karang Jawa</v>
      </c>
      <c r="D65" s="101" t="str">
        <f>IF($A65="","",IFERROR(INDEX(Data_Analitik!$D$2:$D$351,MATCH($A65,Data_Analitik!$AL$2:$AL$351,0)),""))</f>
        <v>Kandangan - Padang Batung</v>
      </c>
      <c r="E65" s="100">
        <f>IF($A65="","",IFERROR(INDEX(Data_Analitik!$E$2:$E$351,MATCH($A65,Data_Analitik!$AL$2:$AL$351,0)),""))</f>
        <v>3.77</v>
      </c>
      <c r="F65" s="97">
        <f>IF($A65="","",IFERROR(INDEX(Data_Analitik!$P$2:$P$351,MATCH($A65,Data_Analitik!$AL$2:$AL$351,0)),""))</f>
        <v>0</v>
      </c>
      <c r="G65" s="97">
        <f>IF($A65="","",IFERROR(INDEX(Data_Analitik!$R$2:$R$351,MATCH($A65,Data_Analitik!$AL$2:$AL$351,0)),""))</f>
        <v>0.81432358971957497</v>
      </c>
      <c r="H65" s="97">
        <f>IF($A65="","",IFERROR(INDEX(Data_Analitik!$T$2:$T$351,MATCH($A65,Data_Analitik!$AL$2:$AL$351,0)),""))</f>
        <v>0.18567638941089418</v>
      </c>
      <c r="I65" s="97">
        <f>IF($A65="","",IFERROR(INDEX(Data_Analitik!$V$2:$V$351,MATCH($A65,Data_Analitik!$AL$2:$AL$351,0)),""))</f>
        <v>0</v>
      </c>
      <c r="J65" s="97">
        <f>IF($A65="","",IFERROR(INDEX(Data_Analitik!$X$2:$X$351,MATCH($A65,Data_Analitik!$AL$2:$AL$351,0)),""))</f>
        <v>0.81432358971957497</v>
      </c>
      <c r="K65" s="97">
        <f>IF($A65="","",IFERROR(INDEX(Data_Analitik!$Z$2:$Z$351,MATCH($A65,Data_Analitik!$AL$2:$AL$351,0)),""))</f>
        <v>0.18567638941089418</v>
      </c>
      <c r="L65" s="33" t="str">
        <f>IF($A65="","",IFERROR(INDEX(Data_Analitik!$AB$2:$AB$351,MATCH($A65,Data_Analitik!$AL$2:$AL$351,0)),""))</f>
        <v>Relatif Mantap</v>
      </c>
    </row>
    <row r="66" spans="1:12" ht="21.95" customHeight="1" x14ac:dyDescent="0.25">
      <c r="A66" s="32">
        <f>IF(ROW()-9&lt;=SUM(Data_Analitik!$AK$2:$AK$351),ROW()-9,"")</f>
        <v>57</v>
      </c>
      <c r="B66" s="99" t="str">
        <f>IF($A66="","",IFERROR(INDEX(Data_Analitik!$B$2:$B$351,MATCH($A66,Data_Analitik!$AL$2:$AL$351,0)),""))</f>
        <v>057</v>
      </c>
      <c r="C66" s="101" t="str">
        <f>IF($A66="","",IFERROR(INDEX(Data_Analitik!$C$2:$C$351,MATCH($A66,Data_Analitik!$AL$2:$AL$351,0)),""))</f>
        <v>Jl. Papagaran/Palangsatan</v>
      </c>
      <c r="D66" s="101" t="str">
        <f>IF($A66="","",IFERROR(INDEX(Data_Analitik!$D$2:$D$351,MATCH($A66,Data_Analitik!$AL$2:$AL$351,0)),""))</f>
        <v>Kandangan - Simpur</v>
      </c>
      <c r="E66" s="100">
        <f>IF($A66="","",IFERROR(INDEX(Data_Analitik!$E$2:$E$351,MATCH($A66,Data_Analitik!$AL$2:$AL$351,0)),""))</f>
        <v>1</v>
      </c>
      <c r="F66" s="97">
        <f>IF($A66="","",IFERROR(INDEX(Data_Analitik!$P$2:$P$351,MATCH($A66,Data_Analitik!$AL$2:$AL$351,0)),""))</f>
        <v>0</v>
      </c>
      <c r="G66" s="97">
        <f>IF($A66="","",IFERROR(INDEX(Data_Analitik!$R$2:$R$351,MATCH($A66,Data_Analitik!$AL$2:$AL$351,0)),""))</f>
        <v>0.30000001192092896</v>
      </c>
      <c r="H66" s="97">
        <f>IF($A66="","",IFERROR(INDEX(Data_Analitik!$T$2:$T$351,MATCH($A66,Data_Analitik!$AL$2:$AL$351,0)),""))</f>
        <v>0.69999998807907104</v>
      </c>
      <c r="I66" s="97">
        <f>IF($A66="","",IFERROR(INDEX(Data_Analitik!$V$2:$V$351,MATCH($A66,Data_Analitik!$AL$2:$AL$351,0)),""))</f>
        <v>0</v>
      </c>
      <c r="J66" s="97">
        <f>IF($A66="","",IFERROR(INDEX(Data_Analitik!$X$2:$X$351,MATCH($A66,Data_Analitik!$AL$2:$AL$351,0)),""))</f>
        <v>0.30000001192092896</v>
      </c>
      <c r="K66" s="97">
        <f>IF($A66="","",IFERROR(INDEX(Data_Analitik!$Z$2:$Z$351,MATCH($A66,Data_Analitik!$AL$2:$AL$351,0)),""))</f>
        <v>0.69999998807907104</v>
      </c>
      <c r="L66" s="33" t="str">
        <f>IF($A66="","",IFERROR(INDEX(Data_Analitik!$AB$2:$AB$351,MATCH($A66,Data_Analitik!$AL$2:$AL$351,0)),""))</f>
        <v>Tidak Mantap Tinggi</v>
      </c>
    </row>
    <row r="67" spans="1:12" ht="21.95" customHeight="1" x14ac:dyDescent="0.25">
      <c r="A67" s="32">
        <f>IF(ROW()-9&lt;=SUM(Data_Analitik!$AK$2:$AK$351),ROW()-9,"")</f>
        <v>58</v>
      </c>
      <c r="B67" s="99" t="str">
        <f>IF($A67="","",IFERROR(INDEX(Data_Analitik!$B$2:$B$351,MATCH($A67,Data_Analitik!$AL$2:$AL$351,0)),""))</f>
        <v>058</v>
      </c>
      <c r="C67" s="101" t="str">
        <f>IF($A67="","",IFERROR(INDEX(Data_Analitik!$C$2:$C$351,MATCH($A67,Data_Analitik!$AL$2:$AL$351,0)),""))</f>
        <v>Jl. Tembok Kacil. Sei. Kudung</v>
      </c>
      <c r="D67" s="101" t="str">
        <f>IF($A67="","",IFERROR(INDEX(Data_Analitik!$D$2:$D$351,MATCH($A67,Data_Analitik!$AL$2:$AL$351,0)),""))</f>
        <v>Kandangan - Padang Batung</v>
      </c>
      <c r="E67" s="100">
        <f>IF($A67="","",IFERROR(INDEX(Data_Analitik!$E$2:$E$351,MATCH($A67,Data_Analitik!$AL$2:$AL$351,0)),""))</f>
        <v>0.37</v>
      </c>
      <c r="F67" s="97">
        <f>IF($A67="","",IFERROR(INDEX(Data_Analitik!$P$2:$P$351,MATCH($A67,Data_Analitik!$AL$2:$AL$351,0)),""))</f>
        <v>0</v>
      </c>
      <c r="G67" s="97">
        <f>IF($A67="","",IFERROR(INDEX(Data_Analitik!$R$2:$R$351,MATCH($A67,Data_Analitik!$AL$2:$AL$351,0)),""))</f>
        <v>0.81081084302953776</v>
      </c>
      <c r="H67" s="97">
        <f>IF($A67="","",IFERROR(INDEX(Data_Analitik!$T$2:$T$351,MATCH($A67,Data_Analitik!$AL$2:$AL$351,0)),""))</f>
        <v>0.18918918999465736</v>
      </c>
      <c r="I67" s="97">
        <f>IF($A67="","",IFERROR(INDEX(Data_Analitik!$V$2:$V$351,MATCH($A67,Data_Analitik!$AL$2:$AL$351,0)),""))</f>
        <v>0</v>
      </c>
      <c r="J67" s="97">
        <f>IF($A67="","",IFERROR(INDEX(Data_Analitik!$X$2:$X$351,MATCH($A67,Data_Analitik!$AL$2:$AL$351,0)),""))</f>
        <v>0.81081084302953776</v>
      </c>
      <c r="K67" s="97">
        <f>IF($A67="","",IFERROR(INDEX(Data_Analitik!$Z$2:$Z$351,MATCH($A67,Data_Analitik!$AL$2:$AL$351,0)),""))</f>
        <v>0.18918918999465736</v>
      </c>
      <c r="L67" s="33" t="str">
        <f>IF($A67="","",IFERROR(INDEX(Data_Analitik!$AB$2:$AB$351,MATCH($A67,Data_Analitik!$AL$2:$AL$351,0)),""))</f>
        <v>Relatif Mantap</v>
      </c>
    </row>
    <row r="68" spans="1:12" ht="21.95" customHeight="1" x14ac:dyDescent="0.25">
      <c r="A68" s="32">
        <f>IF(ROW()-9&lt;=SUM(Data_Analitik!$AK$2:$AK$351),ROW()-9,"")</f>
        <v>59</v>
      </c>
      <c r="B68" s="99" t="str">
        <f>IF($A68="","",IFERROR(INDEX(Data_Analitik!$B$2:$B$351,MATCH($A68,Data_Analitik!$AL$2:$AL$351,0)),""))</f>
        <v>059</v>
      </c>
      <c r="C68" s="101" t="str">
        <f>IF($A68="","",IFERROR(INDEX(Data_Analitik!$C$2:$C$351,MATCH($A68,Data_Analitik!$AL$2:$AL$351,0)),""))</f>
        <v>Jl. Mesjid Quba</v>
      </c>
      <c r="D68" s="101" t="str">
        <f>IF($A68="","",IFERROR(INDEX(Data_Analitik!$D$2:$D$351,MATCH($A68,Data_Analitik!$AL$2:$AL$351,0)),""))</f>
        <v>Kandangan</v>
      </c>
      <c r="E68" s="100">
        <f>IF($A68="","",IFERROR(INDEX(Data_Analitik!$E$2:$E$351,MATCH($A68,Data_Analitik!$AL$2:$AL$351,0)),""))</f>
        <v>0.21</v>
      </c>
      <c r="F68" s="97">
        <f>IF($A68="","",IFERROR(INDEX(Data_Analitik!$P$2:$P$351,MATCH($A68,Data_Analitik!$AL$2:$AL$351,0)),""))</f>
        <v>0</v>
      </c>
      <c r="G68" s="97">
        <f>IF($A68="","",IFERROR(INDEX(Data_Analitik!$R$2:$R$351,MATCH($A68,Data_Analitik!$AL$2:$AL$351,0)),""))</f>
        <v>0.99999996877851949</v>
      </c>
      <c r="H68" s="97">
        <f>IF($A68="","",IFERROR(INDEX(Data_Analitik!$T$2:$T$351,MATCH($A68,Data_Analitik!$AL$2:$AL$351,0)),""))</f>
        <v>0</v>
      </c>
      <c r="I68" s="97">
        <f>IF($A68="","",IFERROR(INDEX(Data_Analitik!$V$2:$V$351,MATCH($A68,Data_Analitik!$AL$2:$AL$351,0)),""))</f>
        <v>0</v>
      </c>
      <c r="J68" s="97">
        <f>IF($A68="","",IFERROR(INDEX(Data_Analitik!$X$2:$X$351,MATCH($A68,Data_Analitik!$AL$2:$AL$351,0)),""))</f>
        <v>0.99999996877851949</v>
      </c>
      <c r="K68" s="97">
        <f>IF($A68="","",IFERROR(INDEX(Data_Analitik!$Z$2:$Z$351,MATCH($A68,Data_Analitik!$AL$2:$AL$351,0)),""))</f>
        <v>0</v>
      </c>
      <c r="L68" s="33" t="str">
        <f>IF($A68="","",IFERROR(INDEX(Data_Analitik!$AB$2:$AB$351,MATCH($A68,Data_Analitik!$AL$2:$AL$351,0)),""))</f>
        <v>Relatif Mantap</v>
      </c>
    </row>
    <row r="69" spans="1:12" ht="21.95" customHeight="1" x14ac:dyDescent="0.25">
      <c r="A69" s="32">
        <f>IF(ROW()-9&lt;=SUM(Data_Analitik!$AK$2:$AK$351),ROW()-9,"")</f>
        <v>60</v>
      </c>
      <c r="B69" s="99" t="str">
        <f>IF($A69="","",IFERROR(INDEX(Data_Analitik!$B$2:$B$351,MATCH($A69,Data_Analitik!$AL$2:$AL$351,0)),""))</f>
        <v>060</v>
      </c>
      <c r="C69" s="101" t="str">
        <f>IF($A69="","",IFERROR(INDEX(Data_Analitik!$C$2:$C$351,MATCH($A69,Data_Analitik!$AL$2:$AL$351,0)),""))</f>
        <v>Jl. Sungai Karuh</v>
      </c>
      <c r="D69" s="101" t="str">
        <f>IF($A69="","",IFERROR(INDEX(Data_Analitik!$D$2:$D$351,MATCH($A69,Data_Analitik!$AL$2:$AL$351,0)),""))</f>
        <v>Kandangan</v>
      </c>
      <c r="E69" s="100">
        <f>IF($A69="","",IFERROR(INDEX(Data_Analitik!$E$2:$E$351,MATCH($A69,Data_Analitik!$AL$2:$AL$351,0)),""))</f>
        <v>1.96</v>
      </c>
      <c r="F69" s="97">
        <f>IF($A69="","",IFERROR(INDEX(Data_Analitik!$P$2:$P$351,MATCH($A69,Data_Analitik!$AL$2:$AL$351,0)),""))</f>
        <v>0</v>
      </c>
      <c r="G69" s="97">
        <f>IF($A69="","",IFERROR(INDEX(Data_Analitik!$R$2:$R$351,MATCH($A69,Data_Analitik!$AL$2:$AL$351,0)),""))</f>
        <v>1.0000000194627412</v>
      </c>
      <c r="H69" s="97">
        <f>IF($A69="","",IFERROR(INDEX(Data_Analitik!$T$2:$T$351,MATCH($A69,Data_Analitik!$AL$2:$AL$351,0)),""))</f>
        <v>0</v>
      </c>
      <c r="I69" s="97">
        <f>IF($A69="","",IFERROR(INDEX(Data_Analitik!$V$2:$V$351,MATCH($A69,Data_Analitik!$AL$2:$AL$351,0)),""))</f>
        <v>0</v>
      </c>
      <c r="J69" s="97">
        <f>IF($A69="","",IFERROR(INDEX(Data_Analitik!$X$2:$X$351,MATCH($A69,Data_Analitik!$AL$2:$AL$351,0)),""))</f>
        <v>1.0000000194627412</v>
      </c>
      <c r="K69" s="97">
        <f>IF($A69="","",IFERROR(INDEX(Data_Analitik!$Z$2:$Z$351,MATCH($A69,Data_Analitik!$AL$2:$AL$351,0)),""))</f>
        <v>0</v>
      </c>
      <c r="L69" s="33" t="str">
        <f>IF($A69="","",IFERROR(INDEX(Data_Analitik!$AB$2:$AB$351,MATCH($A69,Data_Analitik!$AL$2:$AL$351,0)),""))</f>
        <v>Relatif Mantap</v>
      </c>
    </row>
    <row r="70" spans="1:12" ht="21.95" customHeight="1" x14ac:dyDescent="0.25">
      <c r="A70" s="32">
        <f>IF(ROW()-9&lt;=SUM(Data_Analitik!$AK$2:$AK$351),ROW()-9,"")</f>
        <v>61</v>
      </c>
      <c r="B70" s="99" t="str">
        <f>IF($A70="","",IFERROR(INDEX(Data_Analitik!$B$2:$B$351,MATCH($A70,Data_Analitik!$AL$2:$AL$351,0)),""))</f>
        <v>061</v>
      </c>
      <c r="C70" s="101" t="str">
        <f>IF($A70="","",IFERROR(INDEX(Data_Analitik!$C$2:$C$351,MATCH($A70,Data_Analitik!$AL$2:$AL$351,0)),""))</f>
        <v>Rambai - Bariang</v>
      </c>
      <c r="D70" s="101" t="str">
        <f>IF($A70="","",IFERROR(INDEX(Data_Analitik!$D$2:$D$351,MATCH($A70,Data_Analitik!$AL$2:$AL$351,0)),""))</f>
        <v>Kandangan</v>
      </c>
      <c r="E70" s="100">
        <f>IF($A70="","",IFERROR(INDEX(Data_Analitik!$E$2:$E$351,MATCH($A70,Data_Analitik!$AL$2:$AL$351,0)),""))</f>
        <v>1.21</v>
      </c>
      <c r="F70" s="97">
        <f>IF($A70="","",IFERROR(INDEX(Data_Analitik!$P$2:$P$351,MATCH($A70,Data_Analitik!$AL$2:$AL$351,0)),""))</f>
        <v>0</v>
      </c>
      <c r="G70" s="97">
        <f>IF($A70="","",IFERROR(INDEX(Data_Analitik!$R$2:$R$351,MATCH($A70,Data_Analitik!$AL$2:$AL$351,0)),""))</f>
        <v>0.49586778829905614</v>
      </c>
      <c r="H70" s="97">
        <f>IF($A70="","",IFERROR(INDEX(Data_Analitik!$T$2:$T$351,MATCH($A70,Data_Analitik!$AL$2:$AL$351,0)),""))</f>
        <v>0.16528925866134897</v>
      </c>
      <c r="I70" s="97">
        <f>IF($A70="","",IFERROR(INDEX(Data_Analitik!$V$2:$V$351,MATCH($A70,Data_Analitik!$AL$2:$AL$351,0)),""))</f>
        <v>0.33884297225100934</v>
      </c>
      <c r="J70" s="97">
        <f>IF($A70="","",IFERROR(INDEX(Data_Analitik!$X$2:$X$351,MATCH($A70,Data_Analitik!$AL$2:$AL$351,0)),""))</f>
        <v>0.49586778829905614</v>
      </c>
      <c r="K70" s="97">
        <f>IF($A70="","",IFERROR(INDEX(Data_Analitik!$Z$2:$Z$351,MATCH($A70,Data_Analitik!$AL$2:$AL$351,0)),""))</f>
        <v>0.50413223091235837</v>
      </c>
      <c r="L70" s="33" t="str">
        <f>IF($A70="","",IFERROR(INDEX(Data_Analitik!$AB$2:$AB$351,MATCH($A70,Data_Analitik!$AL$2:$AL$351,0)),""))</f>
        <v>Rusak Berat Dominan</v>
      </c>
    </row>
    <row r="71" spans="1:12" ht="21.95" customHeight="1" x14ac:dyDescent="0.25">
      <c r="A71" s="32">
        <f>IF(ROW()-9&lt;=SUM(Data_Analitik!$AK$2:$AK$351),ROW()-9,"")</f>
        <v>62</v>
      </c>
      <c r="B71" s="99" t="str">
        <f>IF($A71="","",IFERROR(INDEX(Data_Analitik!$B$2:$B$351,MATCH($A71,Data_Analitik!$AL$2:$AL$351,0)),""))</f>
        <v>062</v>
      </c>
      <c r="C71" s="101" t="str">
        <f>IF($A71="","",IFERROR(INDEX(Data_Analitik!$C$2:$C$351,MATCH($A71,Data_Analitik!$AL$2:$AL$351,0)),""))</f>
        <v>Jangkang - Pantai Ulin</v>
      </c>
      <c r="D71" s="101" t="str">
        <f>IF($A71="","",IFERROR(INDEX(Data_Analitik!$D$2:$D$351,MATCH($A71,Data_Analitik!$AL$2:$AL$351,0)),""))</f>
        <v>Kandangan</v>
      </c>
      <c r="E71" s="100">
        <f>IF($A71="","",IFERROR(INDEX(Data_Analitik!$E$2:$E$351,MATCH($A71,Data_Analitik!$AL$2:$AL$351,0)),""))</f>
        <v>1.69</v>
      </c>
      <c r="F71" s="97">
        <f>IF($A71="","",IFERROR(INDEX(Data_Analitik!$P$2:$P$351,MATCH($A71,Data_Analitik!$AL$2:$AL$351,0)),""))</f>
        <v>0.59171597633136097</v>
      </c>
      <c r="G71" s="97">
        <f>IF($A71="","",IFERROR(INDEX(Data_Analitik!$R$2:$R$351,MATCH($A71,Data_Analitik!$AL$2:$AL$351,0)),""))</f>
        <v>0</v>
      </c>
      <c r="H71" s="97">
        <f>IF($A71="","",IFERROR(INDEX(Data_Analitik!$T$2:$T$351,MATCH($A71,Data_Analitik!$AL$2:$AL$351,0)),""))</f>
        <v>5.9171598514861611E-2</v>
      </c>
      <c r="I71" s="97">
        <f>IF($A71="","",IFERROR(INDEX(Data_Analitik!$V$2:$V$351,MATCH($A71,Data_Analitik!$AL$2:$AL$351,0)),""))</f>
        <v>0.34911241051713393</v>
      </c>
      <c r="J71" s="97">
        <f>IF($A71="","",IFERROR(INDEX(Data_Analitik!$X$2:$X$351,MATCH($A71,Data_Analitik!$AL$2:$AL$351,0)),""))</f>
        <v>0.59171597633136097</v>
      </c>
      <c r="K71" s="97">
        <f>IF($A71="","",IFERROR(INDEX(Data_Analitik!$Z$2:$Z$351,MATCH($A71,Data_Analitik!$AL$2:$AL$351,0)),""))</f>
        <v>0.40828400903199552</v>
      </c>
      <c r="L71" s="33" t="str">
        <f>IF($A71="","",IFERROR(INDEX(Data_Analitik!$AB$2:$AB$351,MATCH($A71,Data_Analitik!$AL$2:$AL$351,0)),""))</f>
        <v>Rusak Berat Dominan</v>
      </c>
    </row>
    <row r="72" spans="1:12" ht="21.95" customHeight="1" x14ac:dyDescent="0.25">
      <c r="A72" s="32">
        <f>IF(ROW()-9&lt;=SUM(Data_Analitik!$AK$2:$AK$351),ROW()-9,"")</f>
        <v>63</v>
      </c>
      <c r="B72" s="99" t="str">
        <f>IF($A72="","",IFERROR(INDEX(Data_Analitik!$B$2:$B$351,MATCH($A72,Data_Analitik!$AL$2:$AL$351,0)),""))</f>
        <v>063</v>
      </c>
      <c r="C72" s="101" t="str">
        <f>IF($A72="","",IFERROR(INDEX(Data_Analitik!$C$2:$C$351,MATCH($A72,Data_Analitik!$AL$2:$AL$351,0)),""))</f>
        <v>Jl. Padang Palas</v>
      </c>
      <c r="D72" s="101" t="str">
        <f>IF($A72="","",IFERROR(INDEX(Data_Analitik!$D$2:$D$351,MATCH($A72,Data_Analitik!$AL$2:$AL$351,0)),""))</f>
        <v>Kandangan</v>
      </c>
      <c r="E72" s="100">
        <f>IF($A72="","",IFERROR(INDEX(Data_Analitik!$E$2:$E$351,MATCH($A72,Data_Analitik!$AL$2:$AL$351,0)),""))</f>
        <v>0.68</v>
      </c>
      <c r="F72" s="97">
        <f>IF($A72="","",IFERROR(INDEX(Data_Analitik!$P$2:$P$351,MATCH($A72,Data_Analitik!$AL$2:$AL$351,0)),""))</f>
        <v>0</v>
      </c>
      <c r="G72" s="97">
        <f>IF($A72="","",IFERROR(INDEX(Data_Analitik!$R$2:$R$351,MATCH($A72,Data_Analitik!$AL$2:$AL$351,0)),""))</f>
        <v>0.70588233716347637</v>
      </c>
      <c r="H72" s="97">
        <f>IF($A72="","",IFERROR(INDEX(Data_Analitik!$T$2:$T$351,MATCH($A72,Data_Analitik!$AL$2:$AL$351,0)),""))</f>
        <v>0.29411765144151797</v>
      </c>
      <c r="I72" s="97">
        <f>IF($A72="","",IFERROR(INDEX(Data_Analitik!$V$2:$V$351,MATCH($A72,Data_Analitik!$AL$2:$AL$351,0)),""))</f>
        <v>0</v>
      </c>
      <c r="J72" s="97">
        <f>IF($A72="","",IFERROR(INDEX(Data_Analitik!$X$2:$X$351,MATCH($A72,Data_Analitik!$AL$2:$AL$351,0)),""))</f>
        <v>0.70588233716347637</v>
      </c>
      <c r="K72" s="97">
        <f>IF($A72="","",IFERROR(INDEX(Data_Analitik!$Z$2:$Z$351,MATCH($A72,Data_Analitik!$AL$2:$AL$351,0)),""))</f>
        <v>0.29411765144151797</v>
      </c>
      <c r="L72" s="33" t="str">
        <f>IF($A72="","",IFERROR(INDEX(Data_Analitik!$AB$2:$AB$351,MATCH($A72,Data_Analitik!$AL$2:$AL$351,0)),""))</f>
        <v>Tidak Mantap Sedang</v>
      </c>
    </row>
    <row r="73" spans="1:12" ht="21.95" customHeight="1" x14ac:dyDescent="0.25">
      <c r="A73" s="32">
        <f>IF(ROW()-9&lt;=SUM(Data_Analitik!$AK$2:$AK$351),ROW()-9,"")</f>
        <v>64</v>
      </c>
      <c r="B73" s="99" t="str">
        <f>IF($A73="","",IFERROR(INDEX(Data_Analitik!$B$2:$B$351,MATCH($A73,Data_Analitik!$AL$2:$AL$351,0)),""))</f>
        <v>064</v>
      </c>
      <c r="C73" s="101" t="str">
        <f>IF($A73="","",IFERROR(INDEX(Data_Analitik!$C$2:$C$351,MATCH($A73,Data_Analitik!$AL$2:$AL$351,0)),""))</f>
        <v>Tibung Dalam - Teratai</v>
      </c>
      <c r="D73" s="101" t="str">
        <f>IF($A73="","",IFERROR(INDEX(Data_Analitik!$D$2:$D$351,MATCH($A73,Data_Analitik!$AL$2:$AL$351,0)),""))</f>
        <v>Kandangan - Sungai Raya</v>
      </c>
      <c r="E73" s="100">
        <f>IF($A73="","",IFERROR(INDEX(Data_Analitik!$E$2:$E$351,MATCH($A73,Data_Analitik!$AL$2:$AL$351,0)),""))</f>
        <v>0.52</v>
      </c>
      <c r="F73" s="97">
        <f>IF($A73="","",IFERROR(INDEX(Data_Analitik!$P$2:$P$351,MATCH($A73,Data_Analitik!$AL$2:$AL$351,0)),""))</f>
        <v>0</v>
      </c>
      <c r="G73" s="97">
        <f>IF($A73="","",IFERROR(INDEX(Data_Analitik!$R$2:$R$351,MATCH($A73,Data_Analitik!$AL$2:$AL$351,0)),""))</f>
        <v>0.80769228247495795</v>
      </c>
      <c r="H73" s="97">
        <f>IF($A73="","",IFERROR(INDEX(Data_Analitik!$T$2:$T$351,MATCH($A73,Data_Analitik!$AL$2:$AL$351,0)),""))</f>
        <v>0.19230769517330024</v>
      </c>
      <c r="I73" s="97">
        <f>IF($A73="","",IFERROR(INDEX(Data_Analitik!$V$2:$V$351,MATCH($A73,Data_Analitik!$AL$2:$AL$351,0)),""))</f>
        <v>0</v>
      </c>
      <c r="J73" s="97">
        <f>IF($A73="","",IFERROR(INDEX(Data_Analitik!$X$2:$X$351,MATCH($A73,Data_Analitik!$AL$2:$AL$351,0)),""))</f>
        <v>0.80769228247495795</v>
      </c>
      <c r="K73" s="97">
        <f>IF($A73="","",IFERROR(INDEX(Data_Analitik!$Z$2:$Z$351,MATCH($A73,Data_Analitik!$AL$2:$AL$351,0)),""))</f>
        <v>0.19230769517330024</v>
      </c>
      <c r="L73" s="33" t="str">
        <f>IF($A73="","",IFERROR(INDEX(Data_Analitik!$AB$2:$AB$351,MATCH($A73,Data_Analitik!$AL$2:$AL$351,0)),""))</f>
        <v>Relatif Mantap</v>
      </c>
    </row>
    <row r="74" spans="1:12" ht="21.95" customHeight="1" x14ac:dyDescent="0.25">
      <c r="A74" s="32">
        <f>IF(ROW()-9&lt;=SUM(Data_Analitik!$AK$2:$AK$351),ROW()-9,"")</f>
        <v>65</v>
      </c>
      <c r="B74" s="99" t="str">
        <f>IF($A74="","",IFERROR(INDEX(Data_Analitik!$B$2:$B$351,MATCH($A74,Data_Analitik!$AL$2:$AL$351,0)),""))</f>
        <v>065</v>
      </c>
      <c r="C74" s="101" t="str">
        <f>IF($A74="","",IFERROR(INDEX(Data_Analitik!$C$2:$C$351,MATCH($A74,Data_Analitik!$AL$2:$AL$351,0)),""))</f>
        <v>Jl. Kalaka Indah - Perumnas Tibung</v>
      </c>
      <c r="D74" s="101" t="str">
        <f>IF($A74="","",IFERROR(INDEX(Data_Analitik!$D$2:$D$351,MATCH($A74,Data_Analitik!$AL$2:$AL$351,0)),""))</f>
        <v>Kandangan</v>
      </c>
      <c r="E74" s="100">
        <f>IF($A74="","",IFERROR(INDEX(Data_Analitik!$E$2:$E$351,MATCH($A74,Data_Analitik!$AL$2:$AL$351,0)),""))</f>
        <v>0.41</v>
      </c>
      <c r="F74" s="97">
        <f>IF($A74="","",IFERROR(INDEX(Data_Analitik!$P$2:$P$351,MATCH($A74,Data_Analitik!$AL$2:$AL$351,0)),""))</f>
        <v>0</v>
      </c>
      <c r="G74" s="97">
        <f>IF($A74="","",IFERROR(INDEX(Data_Analitik!$R$2:$R$351,MATCH($A74,Data_Analitik!$AL$2:$AL$351,0)),""))</f>
        <v>0.99999999127736916</v>
      </c>
      <c r="H74" s="97">
        <f>IF($A74="","",IFERROR(INDEX(Data_Analitik!$T$2:$T$351,MATCH($A74,Data_Analitik!$AL$2:$AL$351,0)),""))</f>
        <v>0</v>
      </c>
      <c r="I74" s="97">
        <f>IF($A74="","",IFERROR(INDEX(Data_Analitik!$V$2:$V$351,MATCH($A74,Data_Analitik!$AL$2:$AL$351,0)),""))</f>
        <v>0</v>
      </c>
      <c r="J74" s="97">
        <f>IF($A74="","",IFERROR(INDEX(Data_Analitik!$X$2:$X$351,MATCH($A74,Data_Analitik!$AL$2:$AL$351,0)),""))</f>
        <v>0.99999999127736916</v>
      </c>
      <c r="K74" s="97">
        <f>IF($A74="","",IFERROR(INDEX(Data_Analitik!$Z$2:$Z$351,MATCH($A74,Data_Analitik!$AL$2:$AL$351,0)),""))</f>
        <v>0</v>
      </c>
      <c r="L74" s="33" t="str">
        <f>IF($A74="","",IFERROR(INDEX(Data_Analitik!$AB$2:$AB$351,MATCH($A74,Data_Analitik!$AL$2:$AL$351,0)),""))</f>
        <v>Relatif Mantap</v>
      </c>
    </row>
    <row r="75" spans="1:12" ht="21.95" customHeight="1" x14ac:dyDescent="0.25">
      <c r="A75" s="32">
        <f>IF(ROW()-9&lt;=SUM(Data_Analitik!$AK$2:$AK$351),ROW()-9,"")</f>
        <v>66</v>
      </c>
      <c r="B75" s="99" t="str">
        <f>IF($A75="","",IFERROR(INDEX(Data_Analitik!$B$2:$B$351,MATCH($A75,Data_Analitik!$AL$2:$AL$351,0)),""))</f>
        <v>066</v>
      </c>
      <c r="C75" s="101" t="str">
        <f>IF($A75="","",IFERROR(INDEX(Data_Analitik!$C$2:$C$351,MATCH($A75,Data_Analitik!$AL$2:$AL$351,0)),""))</f>
        <v>Jl. Teratai Menuju Komplek Perumnas Hamalau</v>
      </c>
      <c r="D75" s="101" t="str">
        <f>IF($A75="","",IFERROR(INDEX(Data_Analitik!$D$2:$D$351,MATCH($A75,Data_Analitik!$AL$2:$AL$351,0)),""))</f>
        <v>Kandangan - Sungai Raya</v>
      </c>
      <c r="E75" s="100">
        <f>IF($A75="","",IFERROR(INDEX(Data_Analitik!$E$2:$E$351,MATCH($A75,Data_Analitik!$AL$2:$AL$351,0)),""))</f>
        <v>0.41</v>
      </c>
      <c r="F75" s="97">
        <f>IF($A75="","",IFERROR(INDEX(Data_Analitik!$P$2:$P$351,MATCH($A75,Data_Analitik!$AL$2:$AL$351,0)),""))</f>
        <v>0.24390244265881983</v>
      </c>
      <c r="G75" s="97">
        <f>IF($A75="","",IFERROR(INDEX(Data_Analitik!$R$2:$R$351,MATCH($A75,Data_Analitik!$AL$2:$AL$351,0)),""))</f>
        <v>0.75609756679069706</v>
      </c>
      <c r="H75" s="97">
        <f>IF($A75="","",IFERROR(INDEX(Data_Analitik!$T$2:$T$351,MATCH($A75,Data_Analitik!$AL$2:$AL$351,0)),""))</f>
        <v>0</v>
      </c>
      <c r="I75" s="97">
        <f>IF($A75="","",IFERROR(INDEX(Data_Analitik!$V$2:$V$351,MATCH($A75,Data_Analitik!$AL$2:$AL$351,0)),""))</f>
        <v>0</v>
      </c>
      <c r="J75" s="97">
        <f>IF($A75="","",IFERROR(INDEX(Data_Analitik!$X$2:$X$351,MATCH($A75,Data_Analitik!$AL$2:$AL$351,0)),""))</f>
        <v>1.0000000094495169</v>
      </c>
      <c r="K75" s="97">
        <f>IF($A75="","",IFERROR(INDEX(Data_Analitik!$Z$2:$Z$351,MATCH($A75,Data_Analitik!$AL$2:$AL$351,0)),""))</f>
        <v>0</v>
      </c>
      <c r="L75" s="33" t="str">
        <f>IF($A75="","",IFERROR(INDEX(Data_Analitik!$AB$2:$AB$351,MATCH($A75,Data_Analitik!$AL$2:$AL$351,0)),""))</f>
        <v>Relatif Mantap</v>
      </c>
    </row>
    <row r="76" spans="1:12" ht="21.95" customHeight="1" x14ac:dyDescent="0.25">
      <c r="A76" s="32">
        <f>IF(ROW()-9&lt;=SUM(Data_Analitik!$AK$2:$AK$351),ROW()-9,"")</f>
        <v>67</v>
      </c>
      <c r="B76" s="99" t="str">
        <f>IF($A76="","",IFERROR(INDEX(Data_Analitik!$B$2:$B$351,MATCH($A76,Data_Analitik!$AL$2:$AL$351,0)),""))</f>
        <v>067</v>
      </c>
      <c r="C76" s="101" t="str">
        <f>IF($A76="","",IFERROR(INDEX(Data_Analitik!$C$2:$C$351,MATCH($A76,Data_Analitik!$AL$2:$AL$351,0)),""))</f>
        <v>Teluk Pinang - Baluti</v>
      </c>
      <c r="D76" s="101" t="str">
        <f>IF($A76="","",IFERROR(INDEX(Data_Analitik!$D$2:$D$351,MATCH($A76,Data_Analitik!$AL$2:$AL$351,0)),""))</f>
        <v>Kandangan</v>
      </c>
      <c r="E76" s="100">
        <f>IF($A76="","",IFERROR(INDEX(Data_Analitik!$E$2:$E$351,MATCH($A76,Data_Analitik!$AL$2:$AL$351,0)),""))</f>
        <v>1.64</v>
      </c>
      <c r="F76" s="97">
        <f>IF($A76="","",IFERROR(INDEX(Data_Analitik!$P$2:$P$351,MATCH($A76,Data_Analitik!$AL$2:$AL$351,0)),""))</f>
        <v>0</v>
      </c>
      <c r="G76" s="97">
        <f>IF($A76="","",IFERROR(INDEX(Data_Analitik!$R$2:$R$351,MATCH($A76,Data_Analitik!$AL$2:$AL$351,0)),""))</f>
        <v>0.99999999127736916</v>
      </c>
      <c r="H76" s="97">
        <f>IF($A76="","",IFERROR(INDEX(Data_Analitik!$T$2:$T$351,MATCH($A76,Data_Analitik!$AL$2:$AL$351,0)),""))</f>
        <v>0</v>
      </c>
      <c r="I76" s="97">
        <f>IF($A76="","",IFERROR(INDEX(Data_Analitik!$V$2:$V$351,MATCH($A76,Data_Analitik!$AL$2:$AL$351,0)),""))</f>
        <v>0</v>
      </c>
      <c r="J76" s="97">
        <f>IF($A76="","",IFERROR(INDEX(Data_Analitik!$X$2:$X$351,MATCH($A76,Data_Analitik!$AL$2:$AL$351,0)),""))</f>
        <v>0.99999999127736916</v>
      </c>
      <c r="K76" s="97">
        <f>IF($A76="","",IFERROR(INDEX(Data_Analitik!$Z$2:$Z$351,MATCH($A76,Data_Analitik!$AL$2:$AL$351,0)),""))</f>
        <v>0</v>
      </c>
      <c r="L76" s="33" t="str">
        <f>IF($A76="","",IFERROR(INDEX(Data_Analitik!$AB$2:$AB$351,MATCH($A76,Data_Analitik!$AL$2:$AL$351,0)),""))</f>
        <v>Relatif Mantap</v>
      </c>
    </row>
    <row r="77" spans="1:12" ht="21.95" customHeight="1" x14ac:dyDescent="0.25">
      <c r="A77" s="32">
        <f>IF(ROW()-9&lt;=SUM(Data_Analitik!$AK$2:$AK$351),ROW()-9,"")</f>
        <v>68</v>
      </c>
      <c r="B77" s="99" t="str">
        <f>IF($A77="","",IFERROR(INDEX(Data_Analitik!$B$2:$B$351,MATCH($A77,Data_Analitik!$AL$2:$AL$351,0)),""))</f>
        <v>068</v>
      </c>
      <c r="C77" s="101" t="str">
        <f>IF($A77="","",IFERROR(INDEX(Data_Analitik!$C$2:$C$351,MATCH($A77,Data_Analitik!$AL$2:$AL$351,0)),""))</f>
        <v>Tibung Raya - Hamalau Dalam</v>
      </c>
      <c r="D77" s="101" t="str">
        <f>IF($A77="","",IFERROR(INDEX(Data_Analitik!$D$2:$D$351,MATCH($A77,Data_Analitik!$AL$2:$AL$351,0)),""))</f>
        <v>Kandangan</v>
      </c>
      <c r="E77" s="100">
        <f>IF($A77="","",IFERROR(INDEX(Data_Analitik!$E$2:$E$351,MATCH($A77,Data_Analitik!$AL$2:$AL$351,0)),""))</f>
        <v>0.91</v>
      </c>
      <c r="F77" s="97">
        <f>IF($A77="","",IFERROR(INDEX(Data_Analitik!$P$2:$P$351,MATCH($A77,Data_Analitik!$AL$2:$AL$351,0)),""))</f>
        <v>0.21978022305520026</v>
      </c>
      <c r="G77" s="97">
        <f>IF($A77="","",IFERROR(INDEX(Data_Analitik!$R$2:$R$351,MATCH($A77,Data_Analitik!$AL$2:$AL$351,0)),""))</f>
        <v>0.65934068554050318</v>
      </c>
      <c r="H77" s="97">
        <f>IF($A77="","",IFERROR(INDEX(Data_Analitik!$T$2:$T$351,MATCH($A77,Data_Analitik!$AL$2:$AL$351,0)),""))</f>
        <v>0.12087912022412478</v>
      </c>
      <c r="I77" s="97">
        <f>IF($A77="","",IFERROR(INDEX(Data_Analitik!$V$2:$V$351,MATCH($A77,Data_Analitik!$AL$2:$AL$351,0)),""))</f>
        <v>0</v>
      </c>
      <c r="J77" s="97">
        <f>IF($A77="","",IFERROR(INDEX(Data_Analitik!$X$2:$X$351,MATCH($A77,Data_Analitik!$AL$2:$AL$351,0)),""))</f>
        <v>0.87912090859570347</v>
      </c>
      <c r="K77" s="97">
        <f>IF($A77="","",IFERROR(INDEX(Data_Analitik!$Z$2:$Z$351,MATCH($A77,Data_Analitik!$AL$2:$AL$351,0)),""))</f>
        <v>0.12087912022412478</v>
      </c>
      <c r="L77" s="33" t="str">
        <f>IF($A77="","",IFERROR(INDEX(Data_Analitik!$AB$2:$AB$351,MATCH($A77,Data_Analitik!$AL$2:$AL$351,0)),""))</f>
        <v>Relatif Mantap</v>
      </c>
    </row>
    <row r="78" spans="1:12" ht="21.95" customHeight="1" x14ac:dyDescent="0.25">
      <c r="A78" s="32">
        <f>IF(ROW()-9&lt;=SUM(Data_Analitik!$AK$2:$AK$351),ROW()-9,"")</f>
        <v>69</v>
      </c>
      <c r="B78" s="99" t="str">
        <f>IF($A78="","",IFERROR(INDEX(Data_Analitik!$B$2:$B$351,MATCH($A78,Data_Analitik!$AL$2:$AL$351,0)),""))</f>
        <v>069</v>
      </c>
      <c r="C78" s="101" t="str">
        <f>IF($A78="","",IFERROR(INDEX(Data_Analitik!$C$2:$C$351,MATCH($A78,Data_Analitik!$AL$2:$AL$351,0)),""))</f>
        <v>Jl. Baiturrahim Parincahan</v>
      </c>
      <c r="D78" s="101" t="str">
        <f>IF($A78="","",IFERROR(INDEX(Data_Analitik!$D$2:$D$351,MATCH($A78,Data_Analitik!$AL$2:$AL$351,0)),""))</f>
        <v>Kandangan</v>
      </c>
      <c r="E78" s="100">
        <f>IF($A78="","",IFERROR(INDEX(Data_Analitik!$E$2:$E$351,MATCH($A78,Data_Analitik!$AL$2:$AL$351,0)),""))</f>
        <v>1.42</v>
      </c>
      <c r="F78" s="97">
        <f>IF($A78="","",IFERROR(INDEX(Data_Analitik!$P$2:$P$351,MATCH($A78,Data_Analitik!$AL$2:$AL$351,0)),""))</f>
        <v>0</v>
      </c>
      <c r="G78" s="97">
        <f>IF($A78="","",IFERROR(INDEX(Data_Analitik!$R$2:$R$351,MATCH($A78,Data_Analitik!$AL$2:$AL$351,0)),""))</f>
        <v>0.21126761402882321</v>
      </c>
      <c r="H78" s="97">
        <f>IF($A78="","",IFERROR(INDEX(Data_Analitik!$T$2:$T$351,MATCH($A78,Data_Analitik!$AL$2:$AL$351,0)),""))</f>
        <v>0.21126761402882321</v>
      </c>
      <c r="I78" s="97">
        <f>IF($A78="","",IFERROR(INDEX(Data_Analitik!$V$2:$V$351,MATCH($A78,Data_Analitik!$AL$2:$AL$351,0)),""))</f>
        <v>0.57746480468293315</v>
      </c>
      <c r="J78" s="97">
        <f>IF($A78="","",IFERROR(INDEX(Data_Analitik!$X$2:$X$351,MATCH($A78,Data_Analitik!$AL$2:$AL$351,0)),""))</f>
        <v>0.21126761402882321</v>
      </c>
      <c r="K78" s="97">
        <f>IF($A78="","",IFERROR(INDEX(Data_Analitik!$Z$2:$Z$351,MATCH($A78,Data_Analitik!$AL$2:$AL$351,0)),""))</f>
        <v>0.78873241871175637</v>
      </c>
      <c r="L78" s="33" t="str">
        <f>IF($A78="","",IFERROR(INDEX(Data_Analitik!$AB$2:$AB$351,MATCH($A78,Data_Analitik!$AL$2:$AL$351,0)),""))</f>
        <v>Rusak Berat Dominan</v>
      </c>
    </row>
    <row r="79" spans="1:12" ht="21.95" customHeight="1" x14ac:dyDescent="0.25">
      <c r="A79" s="32">
        <f>IF(ROW()-9&lt;=SUM(Data_Analitik!$AK$2:$AK$351),ROW()-9,"")</f>
        <v>70</v>
      </c>
      <c r="B79" s="99" t="str">
        <f>IF($A79="","",IFERROR(INDEX(Data_Analitik!$B$2:$B$351,MATCH($A79,Data_Analitik!$AL$2:$AL$351,0)),""))</f>
        <v>070</v>
      </c>
      <c r="C79" s="101" t="str">
        <f>IF($A79="","",IFERROR(INDEX(Data_Analitik!$C$2:$C$351,MATCH($A79,Data_Analitik!$AL$2:$AL$351,0)),""))</f>
        <v>Jl. Newangsekarti - Ds. Gambah Luar Muka</v>
      </c>
      <c r="D79" s="101" t="str">
        <f>IF($A79="","",IFERROR(INDEX(Data_Analitik!$D$2:$D$351,MATCH($A79,Data_Analitik!$AL$2:$AL$351,0)),""))</f>
        <v>Kandangan</v>
      </c>
      <c r="E79" s="100">
        <f>IF($A79="","",IFERROR(INDEX(Data_Analitik!$E$2:$E$351,MATCH($A79,Data_Analitik!$AL$2:$AL$351,0)),""))</f>
        <v>0.28999999999999998</v>
      </c>
      <c r="F79" s="97">
        <f>IF($A79="","",IFERROR(INDEX(Data_Analitik!$P$2:$P$351,MATCH($A79,Data_Analitik!$AL$2:$AL$351,0)),""))</f>
        <v>0.99999997122534401</v>
      </c>
      <c r="G79" s="97">
        <f>IF($A79="","",IFERROR(INDEX(Data_Analitik!$R$2:$R$351,MATCH($A79,Data_Analitik!$AL$2:$AL$351,0)),""))</f>
        <v>0</v>
      </c>
      <c r="H79" s="97">
        <f>IF($A79="","",IFERROR(INDEX(Data_Analitik!$T$2:$T$351,MATCH($A79,Data_Analitik!$AL$2:$AL$351,0)),""))</f>
        <v>0</v>
      </c>
      <c r="I79" s="97">
        <f>IF($A79="","",IFERROR(INDEX(Data_Analitik!$V$2:$V$351,MATCH($A79,Data_Analitik!$AL$2:$AL$351,0)),""))</f>
        <v>0</v>
      </c>
      <c r="J79" s="97">
        <f>IF($A79="","",IFERROR(INDEX(Data_Analitik!$X$2:$X$351,MATCH($A79,Data_Analitik!$AL$2:$AL$351,0)),""))</f>
        <v>0.99999997122534401</v>
      </c>
      <c r="K79" s="97">
        <f>IF($A79="","",IFERROR(INDEX(Data_Analitik!$Z$2:$Z$351,MATCH($A79,Data_Analitik!$AL$2:$AL$351,0)),""))</f>
        <v>0</v>
      </c>
      <c r="L79" s="33" t="str">
        <f>IF($A79="","",IFERROR(INDEX(Data_Analitik!$AB$2:$AB$351,MATCH($A79,Data_Analitik!$AL$2:$AL$351,0)),""))</f>
        <v>Relatif Mantap</v>
      </c>
    </row>
    <row r="80" spans="1:12" ht="21.95" customHeight="1" x14ac:dyDescent="0.25">
      <c r="A80" s="32">
        <f>IF(ROW()-9&lt;=SUM(Data_Analitik!$AK$2:$AK$351),ROW()-9,"")</f>
        <v>71</v>
      </c>
      <c r="B80" s="99" t="str">
        <f>IF($A80="","",IFERROR(INDEX(Data_Analitik!$B$2:$B$351,MATCH($A80,Data_Analitik!$AL$2:$AL$351,0)),""))</f>
        <v>071</v>
      </c>
      <c r="C80" s="101" t="str">
        <f>IF($A80="","",IFERROR(INDEX(Data_Analitik!$C$2:$C$351,MATCH($A80,Data_Analitik!$AL$2:$AL$351,0)),""))</f>
        <v>Jl. Tembok Baru (Asam Cangkok)</v>
      </c>
      <c r="D80" s="101" t="str">
        <f>IF($A80="","",IFERROR(INDEX(Data_Analitik!$D$2:$D$351,MATCH($A80,Data_Analitik!$AL$2:$AL$351,0)),""))</f>
        <v>Kandangan</v>
      </c>
      <c r="E80" s="100">
        <f>IF($A80="","",IFERROR(INDEX(Data_Analitik!$E$2:$E$351,MATCH($A80,Data_Analitik!$AL$2:$AL$351,0)),""))</f>
        <v>0.5</v>
      </c>
      <c r="F80" s="97">
        <f>IF($A80="","",IFERROR(INDEX(Data_Analitik!$P$2:$P$351,MATCH($A80,Data_Analitik!$AL$2:$AL$351,0)),""))</f>
        <v>0</v>
      </c>
      <c r="G80" s="97">
        <f>IF($A80="","",IFERROR(INDEX(Data_Analitik!$R$2:$R$351,MATCH($A80,Data_Analitik!$AL$2:$AL$351,0)),""))</f>
        <v>0.80000001192092896</v>
      </c>
      <c r="H80" s="97">
        <f>IF($A80="","",IFERROR(INDEX(Data_Analitik!$T$2:$T$351,MATCH($A80,Data_Analitik!$AL$2:$AL$351,0)),""))</f>
        <v>0.20000000298023224</v>
      </c>
      <c r="I80" s="97">
        <f>IF($A80="","",IFERROR(INDEX(Data_Analitik!$V$2:$V$351,MATCH($A80,Data_Analitik!$AL$2:$AL$351,0)),""))</f>
        <v>0</v>
      </c>
      <c r="J80" s="97">
        <f>IF($A80="","",IFERROR(INDEX(Data_Analitik!$X$2:$X$351,MATCH($A80,Data_Analitik!$AL$2:$AL$351,0)),""))</f>
        <v>0.80000001192092896</v>
      </c>
      <c r="K80" s="97">
        <f>IF($A80="","",IFERROR(INDEX(Data_Analitik!$Z$2:$Z$351,MATCH($A80,Data_Analitik!$AL$2:$AL$351,0)),""))</f>
        <v>0.20000000298023224</v>
      </c>
      <c r="L80" s="33" t="str">
        <f>IF($A80="","",IFERROR(INDEX(Data_Analitik!$AB$2:$AB$351,MATCH($A80,Data_Analitik!$AL$2:$AL$351,0)),""))</f>
        <v>Tidak Mantap Sedang</v>
      </c>
    </row>
    <row r="81" spans="1:12" ht="21.95" customHeight="1" x14ac:dyDescent="0.25">
      <c r="A81" s="32">
        <f>IF(ROW()-9&lt;=SUM(Data_Analitik!$AK$2:$AK$351),ROW()-9,"")</f>
        <v>72</v>
      </c>
      <c r="B81" s="99" t="str">
        <f>IF($A81="","",IFERROR(INDEX(Data_Analitik!$B$2:$B$351,MATCH($A81,Data_Analitik!$AL$2:$AL$351,0)),""))</f>
        <v>072</v>
      </c>
      <c r="C81" s="101" t="str">
        <f>IF($A81="","",IFERROR(INDEX(Data_Analitik!$C$2:$C$351,MATCH($A81,Data_Analitik!$AL$2:$AL$351,0)),""))</f>
        <v>Sungai Paring - Toba</v>
      </c>
      <c r="D81" s="101" t="str">
        <f>IF($A81="","",IFERROR(INDEX(Data_Analitik!$D$2:$D$351,MATCH($A81,Data_Analitik!$AL$2:$AL$351,0)),""))</f>
        <v>Kandangan - Simpur</v>
      </c>
      <c r="E81" s="100">
        <f>IF($A81="","",IFERROR(INDEX(Data_Analitik!$E$2:$E$351,MATCH($A81,Data_Analitik!$AL$2:$AL$351,0)),""))</f>
        <v>0.84</v>
      </c>
      <c r="F81" s="97">
        <f>IF($A81="","",IFERROR(INDEX(Data_Analitik!$P$2:$P$351,MATCH($A81,Data_Analitik!$AL$2:$AL$351,0)),""))</f>
        <v>0</v>
      </c>
      <c r="G81" s="97">
        <f>IF($A81="","",IFERROR(INDEX(Data_Analitik!$R$2:$R$351,MATCH($A81,Data_Analitik!$AL$2:$AL$351,0)),""))</f>
        <v>0.35714287133443923</v>
      </c>
      <c r="H81" s="97">
        <f>IF($A81="","",IFERROR(INDEX(Data_Analitik!$T$2:$T$351,MATCH($A81,Data_Analitik!$AL$2:$AL$351,0)),""))</f>
        <v>0.64285716840199059</v>
      </c>
      <c r="I81" s="97">
        <f>IF($A81="","",IFERROR(INDEX(Data_Analitik!$V$2:$V$351,MATCH($A81,Data_Analitik!$AL$2:$AL$351,0)),""))</f>
        <v>0</v>
      </c>
      <c r="J81" s="97">
        <f>IF($A81="","",IFERROR(INDEX(Data_Analitik!$X$2:$X$351,MATCH($A81,Data_Analitik!$AL$2:$AL$351,0)),""))</f>
        <v>0.35714287133443923</v>
      </c>
      <c r="K81" s="97">
        <f>IF($A81="","",IFERROR(INDEX(Data_Analitik!$Z$2:$Z$351,MATCH($A81,Data_Analitik!$AL$2:$AL$351,0)),""))</f>
        <v>0.64285716840199059</v>
      </c>
      <c r="L81" s="33" t="str">
        <f>IF($A81="","",IFERROR(INDEX(Data_Analitik!$AB$2:$AB$351,MATCH($A81,Data_Analitik!$AL$2:$AL$351,0)),""))</f>
        <v>Tidak Mantap Tinggi</v>
      </c>
    </row>
    <row r="82" spans="1:12" ht="21.95" customHeight="1" x14ac:dyDescent="0.25">
      <c r="A82" s="32">
        <f>IF(ROW()-9&lt;=SUM(Data_Analitik!$AK$2:$AK$351),ROW()-9,"")</f>
        <v>73</v>
      </c>
      <c r="B82" s="99" t="str">
        <f>IF($A82="","",IFERROR(INDEX(Data_Analitik!$B$2:$B$351,MATCH($A82,Data_Analitik!$AL$2:$AL$351,0)),""))</f>
        <v>073</v>
      </c>
      <c r="C82" s="101" t="str">
        <f>IF($A82="","",IFERROR(INDEX(Data_Analitik!$C$2:$C$351,MATCH($A82,Data_Analitik!$AL$2:$AL$351,0)),""))</f>
        <v>Jl. Tembok Baru - Ds. Baluti</v>
      </c>
      <c r="D82" s="101" t="str">
        <f>IF($A82="","",IFERROR(INDEX(Data_Analitik!$D$2:$D$351,MATCH($A82,Data_Analitik!$AL$2:$AL$351,0)),""))</f>
        <v>Kandangan</v>
      </c>
      <c r="E82" s="100">
        <f>IF($A82="","",IFERROR(INDEX(Data_Analitik!$E$2:$E$351,MATCH($A82,Data_Analitik!$AL$2:$AL$351,0)),""))</f>
        <v>0.14000000000000001</v>
      </c>
      <c r="F82" s="97">
        <f>IF($A82="","",IFERROR(INDEX(Data_Analitik!$P$2:$P$351,MATCH($A82,Data_Analitik!$AL$2:$AL$351,0)),""))</f>
        <v>0</v>
      </c>
      <c r="G82" s="97">
        <f>IF($A82="","",IFERROR(INDEX(Data_Analitik!$R$2:$R$351,MATCH($A82,Data_Analitik!$AL$2:$AL$351,0)),""))</f>
        <v>0.28571427932807375</v>
      </c>
      <c r="H82" s="97">
        <f>IF($A82="","",IFERROR(INDEX(Data_Analitik!$T$2:$T$351,MATCH($A82,Data_Analitik!$AL$2:$AL$351,0)),""))</f>
        <v>0.71428572492940079</v>
      </c>
      <c r="I82" s="97">
        <f>IF($A82="","",IFERROR(INDEX(Data_Analitik!$V$2:$V$351,MATCH($A82,Data_Analitik!$AL$2:$AL$351,0)),""))</f>
        <v>0</v>
      </c>
      <c r="J82" s="97">
        <f>IF($A82="","",IFERROR(INDEX(Data_Analitik!$X$2:$X$351,MATCH($A82,Data_Analitik!$AL$2:$AL$351,0)),""))</f>
        <v>0.28571427932807375</v>
      </c>
      <c r="K82" s="97">
        <f>IF($A82="","",IFERROR(INDEX(Data_Analitik!$Z$2:$Z$351,MATCH($A82,Data_Analitik!$AL$2:$AL$351,0)),""))</f>
        <v>0.71428572492940079</v>
      </c>
      <c r="L82" s="33" t="str">
        <f>IF($A82="","",IFERROR(INDEX(Data_Analitik!$AB$2:$AB$351,MATCH($A82,Data_Analitik!$AL$2:$AL$351,0)),""))</f>
        <v>Tidak Mantap Tinggi</v>
      </c>
    </row>
    <row r="83" spans="1:12" ht="21.95" customHeight="1" x14ac:dyDescent="0.25">
      <c r="A83" s="32">
        <f>IF(ROW()-9&lt;=SUM(Data_Analitik!$AK$2:$AK$351),ROW()-9,"")</f>
        <v>74</v>
      </c>
      <c r="B83" s="99" t="str">
        <f>IF($A83="","",IFERROR(INDEX(Data_Analitik!$B$2:$B$351,MATCH($A83,Data_Analitik!$AL$2:$AL$351,0)),""))</f>
        <v>074</v>
      </c>
      <c r="C83" s="101" t="str">
        <f>IF($A83="","",IFERROR(INDEX(Data_Analitik!$C$2:$C$351,MATCH($A83,Data_Analitik!$AL$2:$AL$351,0)),""))</f>
        <v>Jl. H. Jarkasi - Ds. Sungai Paring</v>
      </c>
      <c r="D83" s="101" t="str">
        <f>IF($A83="","",IFERROR(INDEX(Data_Analitik!$D$2:$D$351,MATCH($A83,Data_Analitik!$AL$2:$AL$351,0)),""))</f>
        <v>Kandangan</v>
      </c>
      <c r="E83" s="100">
        <f>IF($A83="","",IFERROR(INDEX(Data_Analitik!$E$2:$E$351,MATCH($A83,Data_Analitik!$AL$2:$AL$351,0)),""))</f>
        <v>0.12</v>
      </c>
      <c r="F83" s="97">
        <f>IF($A83="","",IFERROR(INDEX(Data_Analitik!$P$2:$P$351,MATCH($A83,Data_Analitik!$AL$2:$AL$351,0)),""))</f>
        <v>0</v>
      </c>
      <c r="G83" s="97">
        <f>IF($A83="","",IFERROR(INDEX(Data_Analitik!$R$2:$R$351,MATCH($A83,Data_Analitik!$AL$2:$AL$351,0)),""))</f>
        <v>0.83333334575096774</v>
      </c>
      <c r="H83" s="97">
        <f>IF($A83="","",IFERROR(INDEX(Data_Analitik!$T$2:$T$351,MATCH($A83,Data_Analitik!$AL$2:$AL$351,0)),""))</f>
        <v>0.16666666294137639</v>
      </c>
      <c r="I83" s="97">
        <f>IF($A83="","",IFERROR(INDEX(Data_Analitik!$V$2:$V$351,MATCH($A83,Data_Analitik!$AL$2:$AL$351,0)),""))</f>
        <v>0</v>
      </c>
      <c r="J83" s="97">
        <f>IF($A83="","",IFERROR(INDEX(Data_Analitik!$X$2:$X$351,MATCH($A83,Data_Analitik!$AL$2:$AL$351,0)),""))</f>
        <v>0.83333334575096774</v>
      </c>
      <c r="K83" s="97">
        <f>IF($A83="","",IFERROR(INDEX(Data_Analitik!$Z$2:$Z$351,MATCH($A83,Data_Analitik!$AL$2:$AL$351,0)),""))</f>
        <v>0.16666666294137639</v>
      </c>
      <c r="L83" s="33" t="str">
        <f>IF($A83="","",IFERROR(INDEX(Data_Analitik!$AB$2:$AB$351,MATCH($A83,Data_Analitik!$AL$2:$AL$351,0)),""))</f>
        <v>Relatif Mantap</v>
      </c>
    </row>
    <row r="84" spans="1:12" ht="21.95" customHeight="1" x14ac:dyDescent="0.25">
      <c r="A84" s="32">
        <f>IF(ROW()-9&lt;=SUM(Data_Analitik!$AK$2:$AK$351),ROW()-9,"")</f>
        <v>75</v>
      </c>
      <c r="B84" s="99" t="str">
        <f>IF($A84="","",IFERROR(INDEX(Data_Analitik!$B$2:$B$351,MATCH($A84,Data_Analitik!$AL$2:$AL$351,0)),""))</f>
        <v>075</v>
      </c>
      <c r="C84" s="101" t="str">
        <f>IF($A84="","",IFERROR(INDEX(Data_Analitik!$C$2:$C$351,MATCH($A84,Data_Analitik!$AL$2:$AL$351,0)),""))</f>
        <v>Bariang - Patigan</v>
      </c>
      <c r="D84" s="101" t="str">
        <f>IF($A84="","",IFERROR(INDEX(Data_Analitik!$D$2:$D$351,MATCH($A84,Data_Analitik!$AL$2:$AL$351,0)),""))</f>
        <v>Kandangan</v>
      </c>
      <c r="E84" s="100">
        <f>IF($A84="","",IFERROR(INDEX(Data_Analitik!$E$2:$E$351,MATCH($A84,Data_Analitik!$AL$2:$AL$351,0)),""))</f>
        <v>1.63</v>
      </c>
      <c r="F84" s="97">
        <f>IF($A84="","",IFERROR(INDEX(Data_Analitik!$P$2:$P$351,MATCH($A84,Data_Analitik!$AL$2:$AL$351,0)),""))</f>
        <v>0.36809817413610918</v>
      </c>
      <c r="G84" s="97">
        <f>IF($A84="","",IFERROR(INDEX(Data_Analitik!$R$2:$R$351,MATCH($A84,Data_Analitik!$AL$2:$AL$351,0)),""))</f>
        <v>0.63190182293850961</v>
      </c>
      <c r="H84" s="97">
        <f>IF($A84="","",IFERROR(INDEX(Data_Analitik!$T$2:$T$351,MATCH($A84,Data_Analitik!$AL$2:$AL$351,0)),""))</f>
        <v>0</v>
      </c>
      <c r="I84" s="97">
        <f>IF($A84="","",IFERROR(INDEX(Data_Analitik!$V$2:$V$351,MATCH($A84,Data_Analitik!$AL$2:$AL$351,0)),""))</f>
        <v>0</v>
      </c>
      <c r="J84" s="97">
        <f>IF($A84="","",IFERROR(INDEX(Data_Analitik!$X$2:$X$351,MATCH($A84,Data_Analitik!$AL$2:$AL$351,0)),""))</f>
        <v>0.99999999707461873</v>
      </c>
      <c r="K84" s="97">
        <f>IF($A84="","",IFERROR(INDEX(Data_Analitik!$Z$2:$Z$351,MATCH($A84,Data_Analitik!$AL$2:$AL$351,0)),""))</f>
        <v>0</v>
      </c>
      <c r="L84" s="33" t="str">
        <f>IF($A84="","",IFERROR(INDEX(Data_Analitik!$AB$2:$AB$351,MATCH($A84,Data_Analitik!$AL$2:$AL$351,0)),""))</f>
        <v>Relatif Mantap</v>
      </c>
    </row>
    <row r="85" spans="1:12" ht="21.95" customHeight="1" x14ac:dyDescent="0.25">
      <c r="A85" s="32">
        <f>IF(ROW()-9&lt;=SUM(Data_Analitik!$AK$2:$AK$351),ROW()-9,"")</f>
        <v>76</v>
      </c>
      <c r="B85" s="99" t="str">
        <f>IF($A85="","",IFERROR(INDEX(Data_Analitik!$B$2:$B$351,MATCH($A85,Data_Analitik!$AL$2:$AL$351,0)),""))</f>
        <v>076</v>
      </c>
      <c r="C85" s="101" t="str">
        <f>IF($A85="","",IFERROR(INDEX(Data_Analitik!$C$2:$C$351,MATCH($A85,Data_Analitik!$AL$2:$AL$351,0)),""))</f>
        <v>Gambah Dalam Barat - Mahulung</v>
      </c>
      <c r="D85" s="101" t="str">
        <f>IF($A85="","",IFERROR(INDEX(Data_Analitik!$D$2:$D$351,MATCH($A85,Data_Analitik!$AL$2:$AL$351,0)),""))</f>
        <v>Kandangan - Angkinang</v>
      </c>
      <c r="E85" s="100">
        <f>IF($A85="","",IFERROR(INDEX(Data_Analitik!$E$2:$E$351,MATCH($A85,Data_Analitik!$AL$2:$AL$351,0)),""))</f>
        <v>1.92</v>
      </c>
      <c r="F85" s="97">
        <f>IF($A85="","",IFERROR(INDEX(Data_Analitik!$P$2:$P$351,MATCH($A85,Data_Analitik!$AL$2:$AL$351,0)),""))</f>
        <v>6.2499998603016138E-2</v>
      </c>
      <c r="G85" s="97">
        <f>IF($A85="","",IFERROR(INDEX(Data_Analitik!$R$2:$R$351,MATCH($A85,Data_Analitik!$AL$2:$AL$351,0)),""))</f>
        <v>0.93749997516473138</v>
      </c>
      <c r="H85" s="97">
        <f>IF($A85="","",IFERROR(INDEX(Data_Analitik!$T$2:$T$351,MATCH($A85,Data_Analitik!$AL$2:$AL$351,0)),""))</f>
        <v>0</v>
      </c>
      <c r="I85" s="97">
        <f>IF($A85="","",IFERROR(INDEX(Data_Analitik!$V$2:$V$351,MATCH($A85,Data_Analitik!$AL$2:$AL$351,0)),""))</f>
        <v>0</v>
      </c>
      <c r="J85" s="97">
        <f>IF($A85="","",IFERROR(INDEX(Data_Analitik!$X$2:$X$351,MATCH($A85,Data_Analitik!$AL$2:$AL$351,0)),""))</f>
        <v>0.99999997376774752</v>
      </c>
      <c r="K85" s="97">
        <f>IF($A85="","",IFERROR(INDEX(Data_Analitik!$Z$2:$Z$351,MATCH($A85,Data_Analitik!$AL$2:$AL$351,0)),""))</f>
        <v>0</v>
      </c>
      <c r="L85" s="33" t="str">
        <f>IF($A85="","",IFERROR(INDEX(Data_Analitik!$AB$2:$AB$351,MATCH($A85,Data_Analitik!$AL$2:$AL$351,0)),""))</f>
        <v>Relatif Mantap</v>
      </c>
    </row>
    <row r="86" spans="1:12" ht="21.95" customHeight="1" x14ac:dyDescent="0.25">
      <c r="A86" s="32">
        <f>IF(ROW()-9&lt;=SUM(Data_Analitik!$AK$2:$AK$351),ROW()-9,"")</f>
        <v>77</v>
      </c>
      <c r="B86" s="99" t="str">
        <f>IF($A86="","",IFERROR(INDEX(Data_Analitik!$B$2:$B$351,MATCH($A86,Data_Analitik!$AL$2:$AL$351,0)),""))</f>
        <v>077</v>
      </c>
      <c r="C86" s="101" t="str">
        <f>IF($A86="","",IFERROR(INDEX(Data_Analitik!$C$2:$C$351,MATCH($A86,Data_Analitik!$AL$2:$AL$351,0)),""))</f>
        <v>Jl. Suriangpati - Gambah Dalam Barat</v>
      </c>
      <c r="D86" s="101" t="str">
        <f>IF($A86="","",IFERROR(INDEX(Data_Analitik!$D$2:$D$351,MATCH($A86,Data_Analitik!$AL$2:$AL$351,0)),""))</f>
        <v>Kandangan</v>
      </c>
      <c r="E86" s="100">
        <f>IF($A86="","",IFERROR(INDEX(Data_Analitik!$E$2:$E$351,MATCH($A86,Data_Analitik!$AL$2:$AL$351,0)),""))</f>
        <v>2.82</v>
      </c>
      <c r="F86" s="97">
        <f>IF($A86="","",IFERROR(INDEX(Data_Analitik!$P$2:$P$351,MATCH($A86,Data_Analitik!$AL$2:$AL$351,0)),""))</f>
        <v>3.546099343621139E-2</v>
      </c>
      <c r="G86" s="97">
        <f>IF($A86="","",IFERROR(INDEX(Data_Analitik!$R$2:$R$351,MATCH($A86,Data_Analitik!$AL$2:$AL$351,0)),""))</f>
        <v>3.546099343621139E-2</v>
      </c>
      <c r="H86" s="97">
        <f>IF($A86="","",IFERROR(INDEX(Data_Analitik!$T$2:$T$351,MATCH($A86,Data_Analitik!$AL$2:$AL$351,0)),""))</f>
        <v>0.1773049645390071</v>
      </c>
      <c r="I86" s="97">
        <f>IF($A86="","",IFERROR(INDEX(Data_Analitik!$V$2:$V$351,MATCH($A86,Data_Analitik!$AL$2:$AL$351,0)),""))</f>
        <v>0.7517730434101525</v>
      </c>
      <c r="J86" s="97">
        <f>IF($A86="","",IFERROR(INDEX(Data_Analitik!$X$2:$X$351,MATCH($A86,Data_Analitik!$AL$2:$AL$351,0)),""))</f>
        <v>7.0921986872422779E-2</v>
      </c>
      <c r="K86" s="97">
        <f>IF($A86="","",IFERROR(INDEX(Data_Analitik!$Z$2:$Z$351,MATCH($A86,Data_Analitik!$AL$2:$AL$351,0)),""))</f>
        <v>0.92907800794915951</v>
      </c>
      <c r="L86" s="33" t="str">
        <f>IF($A86="","",IFERROR(INDEX(Data_Analitik!$AB$2:$AB$351,MATCH($A86,Data_Analitik!$AL$2:$AL$351,0)),""))</f>
        <v>Rusak Berat Dominan</v>
      </c>
    </row>
    <row r="87" spans="1:12" ht="21.95" customHeight="1" x14ac:dyDescent="0.25">
      <c r="A87" s="32">
        <f>IF(ROW()-9&lt;=SUM(Data_Analitik!$AK$2:$AK$351),ROW()-9,"")</f>
        <v>78</v>
      </c>
      <c r="B87" s="99" t="str">
        <f>IF($A87="","",IFERROR(INDEX(Data_Analitik!$B$2:$B$351,MATCH($A87,Data_Analitik!$AL$2:$AL$351,0)),""))</f>
        <v>078</v>
      </c>
      <c r="C87" s="101" t="str">
        <f>IF($A87="","",IFERROR(INDEX(Data_Analitik!$C$2:$C$351,MATCH($A87,Data_Analitik!$AL$2:$AL$351,0)),""))</f>
        <v>Jl. Menuju SMP 7 - Ds. Gambah Dalam</v>
      </c>
      <c r="D87" s="101" t="str">
        <f>IF($A87="","",IFERROR(INDEX(Data_Analitik!$D$2:$D$351,MATCH($A87,Data_Analitik!$AL$2:$AL$351,0)),""))</f>
        <v>Kandangan</v>
      </c>
      <c r="E87" s="100">
        <f>IF($A87="","",IFERROR(INDEX(Data_Analitik!$E$2:$E$351,MATCH($A87,Data_Analitik!$AL$2:$AL$351,0)),""))</f>
        <v>1</v>
      </c>
      <c r="F87" s="97">
        <f>IF($A87="","",IFERROR(INDEX(Data_Analitik!$P$2:$P$351,MATCH($A87,Data_Analitik!$AL$2:$AL$351,0)),""))</f>
        <v>0</v>
      </c>
      <c r="G87" s="97">
        <f>IF($A87="","",IFERROR(INDEX(Data_Analitik!$R$2:$R$351,MATCH($A87,Data_Analitik!$AL$2:$AL$351,0)),""))</f>
        <v>0.40000000596046448</v>
      </c>
      <c r="H87" s="97">
        <f>IF($A87="","",IFERROR(INDEX(Data_Analitik!$T$2:$T$351,MATCH($A87,Data_Analitik!$AL$2:$AL$351,0)),""))</f>
        <v>0.60000002384185791</v>
      </c>
      <c r="I87" s="97">
        <f>IF($A87="","",IFERROR(INDEX(Data_Analitik!$V$2:$V$351,MATCH($A87,Data_Analitik!$AL$2:$AL$351,0)),""))</f>
        <v>0</v>
      </c>
      <c r="J87" s="97">
        <f>IF($A87="","",IFERROR(INDEX(Data_Analitik!$X$2:$X$351,MATCH($A87,Data_Analitik!$AL$2:$AL$351,0)),""))</f>
        <v>0.40000000596046448</v>
      </c>
      <c r="K87" s="97">
        <f>IF($A87="","",IFERROR(INDEX(Data_Analitik!$Z$2:$Z$351,MATCH($A87,Data_Analitik!$AL$2:$AL$351,0)),""))</f>
        <v>0.60000002384185791</v>
      </c>
      <c r="L87" s="33" t="str">
        <f>IF($A87="","",IFERROR(INDEX(Data_Analitik!$AB$2:$AB$351,MATCH($A87,Data_Analitik!$AL$2:$AL$351,0)),""))</f>
        <v>Tidak Mantap Tinggi</v>
      </c>
    </row>
    <row r="88" spans="1:12" ht="21.95" customHeight="1" x14ac:dyDescent="0.25">
      <c r="A88" s="32">
        <f>IF(ROW()-9&lt;=SUM(Data_Analitik!$AK$2:$AK$351),ROW()-9,"")</f>
        <v>79</v>
      </c>
      <c r="B88" s="99" t="str">
        <f>IF($A88="","",IFERROR(INDEX(Data_Analitik!$B$2:$B$351,MATCH($A88,Data_Analitik!$AL$2:$AL$351,0)),""))</f>
        <v>079</v>
      </c>
      <c r="C88" s="101" t="str">
        <f>IF($A88="","",IFERROR(INDEX(Data_Analitik!$C$2:$C$351,MATCH($A88,Data_Analitik!$AL$2:$AL$351,0)),""))</f>
        <v>Telaga Banta - Patigan</v>
      </c>
      <c r="D88" s="101" t="str">
        <f>IF($A88="","",IFERROR(INDEX(Data_Analitik!$D$2:$D$351,MATCH($A88,Data_Analitik!$AL$2:$AL$351,0)),""))</f>
        <v>Kandangan</v>
      </c>
      <c r="E88" s="100">
        <f>IF($A88="","",IFERROR(INDEX(Data_Analitik!$E$2:$E$351,MATCH($A88,Data_Analitik!$AL$2:$AL$351,0)),""))</f>
        <v>0.64</v>
      </c>
      <c r="F88" s="97">
        <f>IF($A88="","",IFERROR(INDEX(Data_Analitik!$P$2:$P$351,MATCH($A88,Data_Analitik!$AL$2:$AL$351,0)),""))</f>
        <v>0.99999997764825821</v>
      </c>
      <c r="G88" s="97">
        <f>IF($A88="","",IFERROR(INDEX(Data_Analitik!$R$2:$R$351,MATCH($A88,Data_Analitik!$AL$2:$AL$351,0)),""))</f>
        <v>0</v>
      </c>
      <c r="H88" s="97">
        <f>IF($A88="","",IFERROR(INDEX(Data_Analitik!$T$2:$T$351,MATCH($A88,Data_Analitik!$AL$2:$AL$351,0)),""))</f>
        <v>0</v>
      </c>
      <c r="I88" s="97">
        <f>IF($A88="","",IFERROR(INDEX(Data_Analitik!$V$2:$V$351,MATCH($A88,Data_Analitik!$AL$2:$AL$351,0)),""))</f>
        <v>0</v>
      </c>
      <c r="J88" s="97">
        <f>IF($A88="","",IFERROR(INDEX(Data_Analitik!$X$2:$X$351,MATCH($A88,Data_Analitik!$AL$2:$AL$351,0)),""))</f>
        <v>0.99999997764825821</v>
      </c>
      <c r="K88" s="97">
        <f>IF($A88="","",IFERROR(INDEX(Data_Analitik!$Z$2:$Z$351,MATCH($A88,Data_Analitik!$AL$2:$AL$351,0)),""))</f>
        <v>0</v>
      </c>
      <c r="L88" s="33" t="str">
        <f>IF($A88="","",IFERROR(INDEX(Data_Analitik!$AB$2:$AB$351,MATCH($A88,Data_Analitik!$AL$2:$AL$351,0)),""))</f>
        <v>Relatif Mantap</v>
      </c>
    </row>
    <row r="89" spans="1:12" ht="21.95" customHeight="1" x14ac:dyDescent="0.25">
      <c r="A89" s="32">
        <f>IF(ROW()-9&lt;=SUM(Data_Analitik!$AK$2:$AK$351),ROW()-9,"")</f>
        <v>80</v>
      </c>
      <c r="B89" s="99" t="str">
        <f>IF($A89="","",IFERROR(INDEX(Data_Analitik!$B$2:$B$351,MATCH($A89,Data_Analitik!$AL$2:$AL$351,0)),""))</f>
        <v>080</v>
      </c>
      <c r="C89" s="101" t="str">
        <f>IF($A89="","",IFERROR(INDEX(Data_Analitik!$C$2:$C$351,MATCH($A89,Data_Analitik!$AL$2:$AL$351,0)),""))</f>
        <v>Jl. Nomura</v>
      </c>
      <c r="D89" s="101" t="str">
        <f>IF($A89="","",IFERROR(INDEX(Data_Analitik!$D$2:$D$351,MATCH($A89,Data_Analitik!$AL$2:$AL$351,0)),""))</f>
        <v>Kandangan</v>
      </c>
      <c r="E89" s="100">
        <f>IF($A89="","",IFERROR(INDEX(Data_Analitik!$E$2:$E$351,MATCH($A89,Data_Analitik!$AL$2:$AL$351,0)),""))</f>
        <v>0.41</v>
      </c>
      <c r="F89" s="97">
        <f>IF($A89="","",IFERROR(INDEX(Data_Analitik!$P$2:$P$351,MATCH($A89,Data_Analitik!$AL$2:$AL$351,0)),""))</f>
        <v>0</v>
      </c>
      <c r="G89" s="97">
        <f>IF($A89="","",IFERROR(INDEX(Data_Analitik!$R$2:$R$351,MATCH($A89,Data_Analitik!$AL$2:$AL$351,0)),""))</f>
        <v>0.99999999127736916</v>
      </c>
      <c r="H89" s="97">
        <f>IF($A89="","",IFERROR(INDEX(Data_Analitik!$T$2:$T$351,MATCH($A89,Data_Analitik!$AL$2:$AL$351,0)),""))</f>
        <v>0</v>
      </c>
      <c r="I89" s="97">
        <f>IF($A89="","",IFERROR(INDEX(Data_Analitik!$V$2:$V$351,MATCH($A89,Data_Analitik!$AL$2:$AL$351,0)),""))</f>
        <v>0</v>
      </c>
      <c r="J89" s="97">
        <f>IF($A89="","",IFERROR(INDEX(Data_Analitik!$X$2:$X$351,MATCH($A89,Data_Analitik!$AL$2:$AL$351,0)),""))</f>
        <v>0.99999999127736916</v>
      </c>
      <c r="K89" s="97">
        <f>IF($A89="","",IFERROR(INDEX(Data_Analitik!$Z$2:$Z$351,MATCH($A89,Data_Analitik!$AL$2:$AL$351,0)),""))</f>
        <v>0</v>
      </c>
      <c r="L89" s="33" t="str">
        <f>IF($A89="","",IFERROR(INDEX(Data_Analitik!$AB$2:$AB$351,MATCH($A89,Data_Analitik!$AL$2:$AL$351,0)),""))</f>
        <v>Relatif Mantap</v>
      </c>
    </row>
    <row r="90" spans="1:12" ht="21.95" customHeight="1" x14ac:dyDescent="0.25">
      <c r="A90" s="32">
        <f>IF(ROW()-9&lt;=SUM(Data_Analitik!$AK$2:$AK$351),ROW()-9,"")</f>
        <v>81</v>
      </c>
      <c r="B90" s="99" t="str">
        <f>IF($A90="","",IFERROR(INDEX(Data_Analitik!$B$2:$B$351,MATCH($A90,Data_Analitik!$AL$2:$AL$351,0)),""))</f>
        <v>081</v>
      </c>
      <c r="C90" s="101" t="str">
        <f>IF($A90="","",IFERROR(INDEX(Data_Analitik!$C$2:$C$351,MATCH($A90,Data_Analitik!$AL$2:$AL$351,0)),""))</f>
        <v>Jl. Lorong Bupati</v>
      </c>
      <c r="D90" s="101" t="str">
        <f>IF($A90="","",IFERROR(INDEX(Data_Analitik!$D$2:$D$351,MATCH($A90,Data_Analitik!$AL$2:$AL$351,0)),""))</f>
        <v>Kandangan</v>
      </c>
      <c r="E90" s="100">
        <f>IF($A90="","",IFERROR(INDEX(Data_Analitik!$E$2:$E$351,MATCH($A90,Data_Analitik!$AL$2:$AL$351,0)),""))</f>
        <v>0.39</v>
      </c>
      <c r="F90" s="97">
        <f>IF($A90="","",IFERROR(INDEX(Data_Analitik!$P$2:$P$351,MATCH($A90,Data_Analitik!$AL$2:$AL$351,0)),""))</f>
        <v>0.25641026023106694</v>
      </c>
      <c r="G90" s="97">
        <f>IF($A90="","",IFERROR(INDEX(Data_Analitik!$R$2:$R$351,MATCH($A90,Data_Analitik!$AL$2:$AL$351,0)),""))</f>
        <v>0.74358972219320441</v>
      </c>
      <c r="H90" s="97">
        <f>IF($A90="","",IFERROR(INDEX(Data_Analitik!$T$2:$T$351,MATCH($A90,Data_Analitik!$AL$2:$AL$351,0)),""))</f>
        <v>0</v>
      </c>
      <c r="I90" s="97">
        <f>IF($A90="","",IFERROR(INDEX(Data_Analitik!$V$2:$V$351,MATCH($A90,Data_Analitik!$AL$2:$AL$351,0)),""))</f>
        <v>0</v>
      </c>
      <c r="J90" s="97">
        <f>IF($A90="","",IFERROR(INDEX(Data_Analitik!$X$2:$X$351,MATCH($A90,Data_Analitik!$AL$2:$AL$351,0)),""))</f>
        <v>0.99999998242427135</v>
      </c>
      <c r="K90" s="97">
        <f>IF($A90="","",IFERROR(INDEX(Data_Analitik!$Z$2:$Z$351,MATCH($A90,Data_Analitik!$AL$2:$AL$351,0)),""))</f>
        <v>0</v>
      </c>
      <c r="L90" s="33" t="str">
        <f>IF($A90="","",IFERROR(INDEX(Data_Analitik!$AB$2:$AB$351,MATCH($A90,Data_Analitik!$AL$2:$AL$351,0)),""))</f>
        <v>Relatif Mantap</v>
      </c>
    </row>
    <row r="91" spans="1:12" ht="21.95" customHeight="1" x14ac:dyDescent="0.25">
      <c r="A91" s="32">
        <f>IF(ROW()-9&lt;=SUM(Data_Analitik!$AK$2:$AK$351),ROW()-9,"")</f>
        <v>82</v>
      </c>
      <c r="B91" s="99" t="str">
        <f>IF($A91="","",IFERROR(INDEX(Data_Analitik!$B$2:$B$351,MATCH($A91,Data_Analitik!$AL$2:$AL$351,0)),""))</f>
        <v>082</v>
      </c>
      <c r="C91" s="101" t="str">
        <f>IF($A91="","",IFERROR(INDEX(Data_Analitik!$C$2:$C$351,MATCH($A91,Data_Analitik!$AL$2:$AL$351,0)),""))</f>
        <v>Jl. Biti - Sungai Kupang (Karya Bakti TNI)</v>
      </c>
      <c r="D91" s="101" t="str">
        <f>IF($A91="","",IFERROR(INDEX(Data_Analitik!$D$2:$D$351,MATCH($A91,Data_Analitik!$AL$2:$AL$351,0)),""))</f>
        <v>Kandangan</v>
      </c>
      <c r="E91" s="100">
        <f>IF($A91="","",IFERROR(INDEX(Data_Analitik!$E$2:$E$351,MATCH($A91,Data_Analitik!$AL$2:$AL$351,0)),""))</f>
        <v>1.82</v>
      </c>
      <c r="F91" s="97">
        <f>IF($A91="","",IFERROR(INDEX(Data_Analitik!$P$2:$P$351,MATCH($A91,Data_Analitik!$AL$2:$AL$351,0)),""))</f>
        <v>0.27472527472527469</v>
      </c>
      <c r="G91" s="97">
        <f>IF($A91="","",IFERROR(INDEX(Data_Analitik!$R$2:$R$351,MATCH($A91,Data_Analitik!$AL$2:$AL$351,0)),""))</f>
        <v>0.16483517138512579</v>
      </c>
      <c r="H91" s="97">
        <f>IF($A91="","",IFERROR(INDEX(Data_Analitik!$T$2:$T$351,MATCH($A91,Data_Analitik!$AL$2:$AL$351,0)),""))</f>
        <v>0.34065934327932501</v>
      </c>
      <c r="I91" s="97">
        <f>IF($A91="","",IFERROR(INDEX(Data_Analitik!$V$2:$V$351,MATCH($A91,Data_Analitik!$AL$2:$AL$351,0)),""))</f>
        <v>0.21978022305520026</v>
      </c>
      <c r="J91" s="97">
        <f>IF($A91="","",IFERROR(INDEX(Data_Analitik!$X$2:$X$351,MATCH($A91,Data_Analitik!$AL$2:$AL$351,0)),""))</f>
        <v>0.43956044611040052</v>
      </c>
      <c r="K91" s="97">
        <f>IF($A91="","",IFERROR(INDEX(Data_Analitik!$Z$2:$Z$351,MATCH($A91,Data_Analitik!$AL$2:$AL$351,0)),""))</f>
        <v>0.5604395663345253</v>
      </c>
      <c r="L91" s="33" t="str">
        <f>IF($A91="","",IFERROR(INDEX(Data_Analitik!$AB$2:$AB$351,MATCH($A91,Data_Analitik!$AL$2:$AL$351,0)),""))</f>
        <v>Rusak Berat Dominan</v>
      </c>
    </row>
    <row r="92" spans="1:12" ht="21.95" customHeight="1" x14ac:dyDescent="0.25">
      <c r="A92" s="32">
        <f>IF(ROW()-9&lt;=SUM(Data_Analitik!$AK$2:$AK$351),ROW()-9,"")</f>
        <v>83</v>
      </c>
      <c r="B92" s="99" t="str">
        <f>IF($A92="","",IFERROR(INDEX(Data_Analitik!$B$2:$B$351,MATCH($A92,Data_Analitik!$AL$2:$AL$351,0)),""))</f>
        <v>083</v>
      </c>
      <c r="C92" s="101" t="str">
        <f>IF($A92="","",IFERROR(INDEX(Data_Analitik!$C$2:$C$351,MATCH($A92,Data_Analitik!$AL$2:$AL$351,0)),""))</f>
        <v>Jl. Palajau - Ds. Baluti</v>
      </c>
      <c r="D92" s="101" t="str">
        <f>IF($A92="","",IFERROR(INDEX(Data_Analitik!$D$2:$D$351,MATCH($A92,Data_Analitik!$AL$2:$AL$351,0)),""))</f>
        <v>Kandangan</v>
      </c>
      <c r="E92" s="100">
        <f>IF($A92="","",IFERROR(INDEX(Data_Analitik!$E$2:$E$351,MATCH($A92,Data_Analitik!$AL$2:$AL$351,0)),""))</f>
        <v>1.28</v>
      </c>
      <c r="F92" s="97">
        <f>IF($A92="","",IFERROR(INDEX(Data_Analitik!$P$2:$P$351,MATCH($A92,Data_Analitik!$AL$2:$AL$351,0)),""))</f>
        <v>0.31250000465661287</v>
      </c>
      <c r="G92" s="97">
        <f>IF($A92="","",IFERROR(INDEX(Data_Analitik!$R$2:$R$351,MATCH($A92,Data_Analitik!$AL$2:$AL$351,0)),""))</f>
        <v>0</v>
      </c>
      <c r="H92" s="97">
        <f>IF($A92="","",IFERROR(INDEX(Data_Analitik!$T$2:$T$351,MATCH($A92,Data_Analitik!$AL$2:$AL$351,0)),""))</f>
        <v>0</v>
      </c>
      <c r="I92" s="97">
        <f>IF($A92="","",IFERROR(INDEX(Data_Analitik!$V$2:$V$351,MATCH($A92,Data_Analitik!$AL$2:$AL$351,0)),""))</f>
        <v>0.6874999962747097</v>
      </c>
      <c r="J92" s="97">
        <f>IF($A92="","",IFERROR(INDEX(Data_Analitik!$X$2:$X$351,MATCH($A92,Data_Analitik!$AL$2:$AL$351,0)),""))</f>
        <v>0.31250000465661287</v>
      </c>
      <c r="K92" s="97">
        <f>IF($A92="","",IFERROR(INDEX(Data_Analitik!$Z$2:$Z$351,MATCH($A92,Data_Analitik!$AL$2:$AL$351,0)),""))</f>
        <v>0.6874999962747097</v>
      </c>
      <c r="L92" s="33" t="str">
        <f>IF($A92="","",IFERROR(INDEX(Data_Analitik!$AB$2:$AB$351,MATCH($A92,Data_Analitik!$AL$2:$AL$351,0)),""))</f>
        <v>Rusak Berat Dominan</v>
      </c>
    </row>
    <row r="93" spans="1:12" ht="21.95" customHeight="1" x14ac:dyDescent="0.25">
      <c r="A93" s="32">
        <f>IF(ROW()-9&lt;=SUM(Data_Analitik!$AK$2:$AK$351),ROW()-9,"")</f>
        <v>84</v>
      </c>
      <c r="B93" s="99" t="str">
        <f>IF($A93="","",IFERROR(INDEX(Data_Analitik!$B$2:$B$351,MATCH($A93,Data_Analitik!$AL$2:$AL$351,0)),""))</f>
        <v>084</v>
      </c>
      <c r="C93" s="101" t="str">
        <f>IF($A93="","",IFERROR(INDEX(Data_Analitik!$C$2:$C$351,MATCH($A93,Data_Analitik!$AL$2:$AL$351,0)),""))</f>
        <v>Jl. RS. Hasan Basry II</v>
      </c>
      <c r="D93" s="101" t="str">
        <f>IF($A93="","",IFERROR(INDEX(Data_Analitik!$D$2:$D$351,MATCH($A93,Data_Analitik!$AL$2:$AL$351,0)),""))</f>
        <v>Sungai Raya</v>
      </c>
      <c r="E93" s="100">
        <f>IF($A93="","",IFERROR(INDEX(Data_Analitik!$E$2:$E$351,MATCH($A93,Data_Analitik!$AL$2:$AL$351,0)),""))</f>
        <v>0.1</v>
      </c>
      <c r="F93" s="97">
        <f>IF($A93="","",IFERROR(INDEX(Data_Analitik!$P$2:$P$351,MATCH($A93,Data_Analitik!$AL$2:$AL$351,0)),""))</f>
        <v>0</v>
      </c>
      <c r="G93" s="97">
        <f>IF($A93="","",IFERROR(INDEX(Data_Analitik!$R$2:$R$351,MATCH($A93,Data_Analitik!$AL$2:$AL$351,0)),""))</f>
        <v>1.0000000149011612</v>
      </c>
      <c r="H93" s="97">
        <f>IF($A93="","",IFERROR(INDEX(Data_Analitik!$T$2:$T$351,MATCH($A93,Data_Analitik!$AL$2:$AL$351,0)),""))</f>
        <v>0</v>
      </c>
      <c r="I93" s="97">
        <f>IF($A93="","",IFERROR(INDEX(Data_Analitik!$V$2:$V$351,MATCH($A93,Data_Analitik!$AL$2:$AL$351,0)),""))</f>
        <v>0</v>
      </c>
      <c r="J93" s="97">
        <f>IF($A93="","",IFERROR(INDEX(Data_Analitik!$X$2:$X$351,MATCH($A93,Data_Analitik!$AL$2:$AL$351,0)),""))</f>
        <v>1.0000000149011612</v>
      </c>
      <c r="K93" s="97">
        <f>IF($A93="","",IFERROR(INDEX(Data_Analitik!$Z$2:$Z$351,MATCH($A93,Data_Analitik!$AL$2:$AL$351,0)),""))</f>
        <v>0</v>
      </c>
      <c r="L93" s="33" t="str">
        <f>IF($A93="","",IFERROR(INDEX(Data_Analitik!$AB$2:$AB$351,MATCH($A93,Data_Analitik!$AL$2:$AL$351,0)),""))</f>
        <v>Relatif Mantap</v>
      </c>
    </row>
    <row r="94" spans="1:12" ht="21.95" customHeight="1" x14ac:dyDescent="0.25">
      <c r="A94" s="32">
        <f>IF(ROW()-9&lt;=SUM(Data_Analitik!$AK$2:$AK$351),ROW()-9,"")</f>
        <v>85</v>
      </c>
      <c r="B94" s="99" t="str">
        <f>IF($A94="","",IFERROR(INDEX(Data_Analitik!$B$2:$B$351,MATCH($A94,Data_Analitik!$AL$2:$AL$351,0)),""))</f>
        <v>085</v>
      </c>
      <c r="C94" s="101" t="str">
        <f>IF($A94="","",IFERROR(INDEX(Data_Analitik!$C$2:$C$351,MATCH($A94,Data_Analitik!$AL$2:$AL$351,0)),""))</f>
        <v>Tajun - Sp.3 Muara Paring Agung</v>
      </c>
      <c r="D94" s="101" t="str">
        <f>IF($A94="","",IFERROR(INDEX(Data_Analitik!$D$2:$D$351,MATCH($A94,Data_Analitik!$AL$2:$AL$351,0)),""))</f>
        <v>Sungai Raya</v>
      </c>
      <c r="E94" s="100">
        <f>IF($A94="","",IFERROR(INDEX(Data_Analitik!$E$2:$E$351,MATCH($A94,Data_Analitik!$AL$2:$AL$351,0)),""))</f>
        <v>4.97</v>
      </c>
      <c r="F94" s="97">
        <f>IF($A94="","",IFERROR(INDEX(Data_Analitik!$P$2:$P$351,MATCH($A94,Data_Analitik!$AL$2:$AL$351,0)),""))</f>
        <v>0.89939633605465807</v>
      </c>
      <c r="G94" s="97">
        <f>IF($A94="","",IFERROR(INDEX(Data_Analitik!$R$2:$R$351,MATCH($A94,Data_Analitik!$AL$2:$AL$351,0)),""))</f>
        <v>0.1006036217303823</v>
      </c>
      <c r="H94" s="97">
        <f>IF($A94="","",IFERROR(INDEX(Data_Analitik!$T$2:$T$351,MATCH($A94,Data_Analitik!$AL$2:$AL$351,0)),""))</f>
        <v>0</v>
      </c>
      <c r="I94" s="97">
        <f>IF($A94="","",IFERROR(INDEX(Data_Analitik!$V$2:$V$351,MATCH($A94,Data_Analitik!$AL$2:$AL$351,0)),""))</f>
        <v>0</v>
      </c>
      <c r="J94" s="97">
        <f>IF($A94="","",IFERROR(INDEX(Data_Analitik!$X$2:$X$351,MATCH($A94,Data_Analitik!$AL$2:$AL$351,0)),""))</f>
        <v>0.99999995778504036</v>
      </c>
      <c r="K94" s="97">
        <f>IF($A94="","",IFERROR(INDEX(Data_Analitik!$Z$2:$Z$351,MATCH($A94,Data_Analitik!$AL$2:$AL$351,0)),""))</f>
        <v>0</v>
      </c>
      <c r="L94" s="33" t="str">
        <f>IF($A94="","",IFERROR(INDEX(Data_Analitik!$AB$2:$AB$351,MATCH($A94,Data_Analitik!$AL$2:$AL$351,0)),""))</f>
        <v>Relatif Mantap</v>
      </c>
    </row>
    <row r="95" spans="1:12" ht="21.95" customHeight="1" x14ac:dyDescent="0.25">
      <c r="A95" s="32">
        <f>IF(ROW()-9&lt;=SUM(Data_Analitik!$AK$2:$AK$351),ROW()-9,"")</f>
        <v>86</v>
      </c>
      <c r="B95" s="99" t="str">
        <f>IF($A95="","",IFERROR(INDEX(Data_Analitik!$B$2:$B$351,MATCH($A95,Data_Analitik!$AL$2:$AL$351,0)),""))</f>
        <v>086</v>
      </c>
      <c r="C95" s="101" t="str">
        <f>IF($A95="","",IFERROR(INDEX(Data_Analitik!$C$2:$C$351,MATCH($A95,Data_Analitik!$AL$2:$AL$351,0)),""))</f>
        <v>Hamalau - Anjiran</v>
      </c>
      <c r="D95" s="101" t="str">
        <f>IF($A95="","",IFERROR(INDEX(Data_Analitik!$D$2:$D$351,MATCH($A95,Data_Analitik!$AL$2:$AL$351,0)),""))</f>
        <v>Sungai Raya</v>
      </c>
      <c r="E95" s="100">
        <f>IF($A95="","",IFERROR(INDEX(Data_Analitik!$E$2:$E$351,MATCH($A95,Data_Analitik!$AL$2:$AL$351,0)),""))</f>
        <v>0.9</v>
      </c>
      <c r="F95" s="97">
        <f>IF($A95="","",IFERROR(INDEX(Data_Analitik!$P$2:$P$351,MATCH($A95,Data_Analitik!$AL$2:$AL$351,0)),""))</f>
        <v>0</v>
      </c>
      <c r="G95" s="97">
        <f>IF($A95="","",IFERROR(INDEX(Data_Analitik!$R$2:$R$351,MATCH($A95,Data_Analitik!$AL$2:$AL$351,0)),""))</f>
        <v>0.88888890213436544</v>
      </c>
      <c r="H95" s="97">
        <f>IF($A95="","",IFERROR(INDEX(Data_Analitik!$T$2:$T$351,MATCH($A95,Data_Analitik!$AL$2:$AL$351,0)),""))</f>
        <v>0.11111111276679568</v>
      </c>
      <c r="I95" s="97">
        <f>IF($A95="","",IFERROR(INDEX(Data_Analitik!$V$2:$V$351,MATCH($A95,Data_Analitik!$AL$2:$AL$351,0)),""))</f>
        <v>0</v>
      </c>
      <c r="J95" s="97">
        <f>IF($A95="","",IFERROR(INDEX(Data_Analitik!$X$2:$X$351,MATCH($A95,Data_Analitik!$AL$2:$AL$351,0)),""))</f>
        <v>0.88888890213436544</v>
      </c>
      <c r="K95" s="97">
        <f>IF($A95="","",IFERROR(INDEX(Data_Analitik!$Z$2:$Z$351,MATCH($A95,Data_Analitik!$AL$2:$AL$351,0)),""))</f>
        <v>0.11111111276679568</v>
      </c>
      <c r="L95" s="33" t="str">
        <f>IF($A95="","",IFERROR(INDEX(Data_Analitik!$AB$2:$AB$351,MATCH($A95,Data_Analitik!$AL$2:$AL$351,0)),""))</f>
        <v>Relatif Mantap</v>
      </c>
    </row>
    <row r="96" spans="1:12" ht="21.95" customHeight="1" x14ac:dyDescent="0.25">
      <c r="A96" s="32">
        <f>IF(ROW()-9&lt;=SUM(Data_Analitik!$AK$2:$AK$351),ROW()-9,"")</f>
        <v>87</v>
      </c>
      <c r="B96" s="99" t="str">
        <f>IF($A96="","",IFERROR(INDEX(Data_Analitik!$B$2:$B$351,MATCH($A96,Data_Analitik!$AL$2:$AL$351,0)),""))</f>
        <v>087</v>
      </c>
      <c r="C96" s="101" t="str">
        <f>IF($A96="","",IFERROR(INDEX(Data_Analitik!$C$2:$C$351,MATCH($A96,Data_Analitik!$AL$2:$AL$351,0)),""))</f>
        <v>Tanjungan - Sp. 10 Batang Kulur - Sungai Kali</v>
      </c>
      <c r="D96" s="101" t="str">
        <f>IF($A96="","",IFERROR(INDEX(Data_Analitik!$D$2:$D$351,MATCH($A96,Data_Analitik!$AL$2:$AL$351,0)),""))</f>
        <v>Sungai Raya</v>
      </c>
      <c r="E96" s="100">
        <f>IF($A96="","",IFERROR(INDEX(Data_Analitik!$E$2:$E$351,MATCH($A96,Data_Analitik!$AL$2:$AL$351,0)),""))</f>
        <v>7.3</v>
      </c>
      <c r="F96" s="97">
        <f>IF($A96="","",IFERROR(INDEX(Data_Analitik!$P$2:$P$351,MATCH($A96,Data_Analitik!$AL$2:$AL$351,0)),""))</f>
        <v>0</v>
      </c>
      <c r="G96" s="97">
        <f>IF($A96="","",IFERROR(INDEX(Data_Analitik!$R$2:$R$351,MATCH($A96,Data_Analitik!$AL$2:$AL$351,0)),""))</f>
        <v>0.95890410958904115</v>
      </c>
      <c r="H96" s="97">
        <f>IF($A96="","",IFERROR(INDEX(Data_Analitik!$T$2:$T$351,MATCH($A96,Data_Analitik!$AL$2:$AL$351,0)),""))</f>
        <v>4.109589204396287E-2</v>
      </c>
      <c r="I96" s="97">
        <f>IF($A96="","",IFERROR(INDEX(Data_Analitik!$V$2:$V$351,MATCH($A96,Data_Analitik!$AL$2:$AL$351,0)),""))</f>
        <v>0</v>
      </c>
      <c r="J96" s="97">
        <f>IF($A96="","",IFERROR(INDEX(Data_Analitik!$X$2:$X$351,MATCH($A96,Data_Analitik!$AL$2:$AL$351,0)),""))</f>
        <v>0.95890410958904115</v>
      </c>
      <c r="K96" s="97">
        <f>IF($A96="","",IFERROR(INDEX(Data_Analitik!$Z$2:$Z$351,MATCH($A96,Data_Analitik!$AL$2:$AL$351,0)),""))</f>
        <v>4.109589204396287E-2</v>
      </c>
      <c r="L96" s="33" t="str">
        <f>IF($A96="","",IFERROR(INDEX(Data_Analitik!$AB$2:$AB$351,MATCH($A96,Data_Analitik!$AL$2:$AL$351,0)),""))</f>
        <v>Relatif Mantap</v>
      </c>
    </row>
    <row r="97" spans="1:12" ht="21.95" customHeight="1" x14ac:dyDescent="0.25">
      <c r="A97" s="32">
        <f>IF(ROW()-9&lt;=SUM(Data_Analitik!$AK$2:$AK$351),ROW()-9,"")</f>
        <v>88</v>
      </c>
      <c r="B97" s="99" t="str">
        <f>IF($A97="","",IFERROR(INDEX(Data_Analitik!$B$2:$B$351,MATCH($A97,Data_Analitik!$AL$2:$AL$351,0)),""))</f>
        <v>088</v>
      </c>
      <c r="C97" s="101" t="str">
        <f>IF($A97="","",IFERROR(INDEX(Data_Analitik!$C$2:$C$351,MATCH($A97,Data_Analitik!$AL$2:$AL$351,0)),""))</f>
        <v>Sungai Raya Selatan - Sarang Halang</v>
      </c>
      <c r="D97" s="101" t="str">
        <f>IF($A97="","",IFERROR(INDEX(Data_Analitik!$D$2:$D$351,MATCH($A97,Data_Analitik!$AL$2:$AL$351,0)),""))</f>
        <v>Sungai Raya</v>
      </c>
      <c r="E97" s="100">
        <f>IF($A97="","",IFERROR(INDEX(Data_Analitik!$E$2:$E$351,MATCH($A97,Data_Analitik!$AL$2:$AL$351,0)),""))</f>
        <v>2.62</v>
      </c>
      <c r="F97" s="97">
        <f>IF($A97="","",IFERROR(INDEX(Data_Analitik!$P$2:$P$351,MATCH($A97,Data_Analitik!$AL$2:$AL$351,0)),""))</f>
        <v>0</v>
      </c>
      <c r="G97" s="97">
        <f>IF($A97="","",IFERROR(INDEX(Data_Analitik!$R$2:$R$351,MATCH($A97,Data_Analitik!$AL$2:$AL$351,0)),""))</f>
        <v>0.12213740185016894</v>
      </c>
      <c r="H97" s="97">
        <f>IF($A97="","",IFERROR(INDEX(Data_Analitik!$T$2:$T$351,MATCH($A97,Data_Analitik!$AL$2:$AL$351,0)),""))</f>
        <v>0.26717556796911107</v>
      </c>
      <c r="I97" s="97">
        <f>IF($A97="","",IFERROR(INDEX(Data_Analitik!$V$2:$V$351,MATCH($A97,Data_Analitik!$AL$2:$AL$351,0)),""))</f>
        <v>0.61068703200070906</v>
      </c>
      <c r="J97" s="97">
        <f>IF($A97="","",IFERROR(INDEX(Data_Analitik!$X$2:$X$351,MATCH($A97,Data_Analitik!$AL$2:$AL$351,0)),""))</f>
        <v>0.12213740185016894</v>
      </c>
      <c r="K97" s="97">
        <f>IF($A97="","",IFERROR(INDEX(Data_Analitik!$Z$2:$Z$351,MATCH($A97,Data_Analitik!$AL$2:$AL$351,0)),""))</f>
        <v>0.87786259996982019</v>
      </c>
      <c r="L97" s="33" t="str">
        <f>IF($A97="","",IFERROR(INDEX(Data_Analitik!$AB$2:$AB$351,MATCH($A97,Data_Analitik!$AL$2:$AL$351,0)),""))</f>
        <v>Rusak Berat Dominan</v>
      </c>
    </row>
    <row r="98" spans="1:12" ht="21.95" customHeight="1" x14ac:dyDescent="0.25">
      <c r="A98" s="32">
        <f>IF(ROW()-9&lt;=SUM(Data_Analitik!$AK$2:$AK$351),ROW()-9,"")</f>
        <v>89</v>
      </c>
      <c r="B98" s="99" t="str">
        <f>IF($A98="","",IFERROR(INDEX(Data_Analitik!$B$2:$B$351,MATCH($A98,Data_Analitik!$AL$2:$AL$351,0)),""))</f>
        <v>089</v>
      </c>
      <c r="C98" s="101" t="str">
        <f>IF($A98="","",IFERROR(INDEX(Data_Analitik!$C$2:$C$351,MATCH($A98,Data_Analitik!$AL$2:$AL$351,0)),""))</f>
        <v>Sp. Batang Kulur Kiri - Tatas</v>
      </c>
      <c r="D98" s="101" t="str">
        <f>IF($A98="","",IFERROR(INDEX(Data_Analitik!$D$2:$D$351,MATCH($A98,Data_Analitik!$AL$2:$AL$351,0)),""))</f>
        <v>Sungai Raya</v>
      </c>
      <c r="E98" s="100">
        <f>IF($A98="","",IFERROR(INDEX(Data_Analitik!$E$2:$E$351,MATCH($A98,Data_Analitik!$AL$2:$AL$351,0)),""))</f>
        <v>2.37</v>
      </c>
      <c r="F98" s="97">
        <f>IF($A98="","",IFERROR(INDEX(Data_Analitik!$P$2:$P$351,MATCH($A98,Data_Analitik!$AL$2:$AL$351,0)),""))</f>
        <v>0</v>
      </c>
      <c r="G98" s="97">
        <f>IF($A98="","",IFERROR(INDEX(Data_Analitik!$R$2:$R$351,MATCH($A98,Data_Analitik!$AL$2:$AL$351,0)),""))</f>
        <v>0.24050632609596734</v>
      </c>
      <c r="H98" s="97">
        <f>IF($A98="","",IFERROR(INDEX(Data_Analitik!$T$2:$T$351,MATCH($A98,Data_Analitik!$AL$2:$AL$351,0)),""))</f>
        <v>0.75949365076636455</v>
      </c>
      <c r="I98" s="97">
        <f>IF($A98="","",IFERROR(INDEX(Data_Analitik!$V$2:$V$351,MATCH($A98,Data_Analitik!$AL$2:$AL$351,0)),""))</f>
        <v>0</v>
      </c>
      <c r="J98" s="97">
        <f>IF($A98="","",IFERROR(INDEX(Data_Analitik!$X$2:$X$351,MATCH($A98,Data_Analitik!$AL$2:$AL$351,0)),""))</f>
        <v>0.24050632609596734</v>
      </c>
      <c r="K98" s="97">
        <f>IF($A98="","",IFERROR(INDEX(Data_Analitik!$Z$2:$Z$351,MATCH($A98,Data_Analitik!$AL$2:$AL$351,0)),""))</f>
        <v>0.75949365076636455</v>
      </c>
      <c r="L98" s="33" t="str">
        <f>IF($A98="","",IFERROR(INDEX(Data_Analitik!$AB$2:$AB$351,MATCH($A98,Data_Analitik!$AL$2:$AL$351,0)),""))</f>
        <v>Tidak Mantap Tinggi</v>
      </c>
    </row>
    <row r="99" spans="1:12" ht="21.95" customHeight="1" x14ac:dyDescent="0.25">
      <c r="A99" s="32">
        <f>IF(ROW()-9&lt;=SUM(Data_Analitik!$AK$2:$AK$351),ROW()-9,"")</f>
        <v>90</v>
      </c>
      <c r="B99" s="99" t="str">
        <f>IF($A99="","",IFERROR(INDEX(Data_Analitik!$B$2:$B$351,MATCH($A99,Data_Analitik!$AL$2:$AL$351,0)),""))</f>
        <v>090</v>
      </c>
      <c r="C99" s="101" t="str">
        <f>IF($A99="","",IFERROR(INDEX(Data_Analitik!$C$2:$C$351,MATCH($A99,Data_Analitik!$AL$2:$AL$351,0)),""))</f>
        <v>Taal Batang Kulur - Sp. 3 Muara Prg Agung</v>
      </c>
      <c r="D99" s="101" t="str">
        <f>IF($A99="","",IFERROR(INDEX(Data_Analitik!$D$2:$D$351,MATCH($A99,Data_Analitik!$AL$2:$AL$351,0)),""))</f>
        <v>Sungai Raya</v>
      </c>
      <c r="E99" s="100">
        <f>IF($A99="","",IFERROR(INDEX(Data_Analitik!$E$2:$E$351,MATCH($A99,Data_Analitik!$AL$2:$AL$351,0)),""))</f>
        <v>4.12</v>
      </c>
      <c r="F99" s="97">
        <f>IF($A99="","",IFERROR(INDEX(Data_Analitik!$P$2:$P$351,MATCH($A99,Data_Analitik!$AL$2:$AL$351,0)),""))</f>
        <v>4.8543690043745688E-2</v>
      </c>
      <c r="G99" s="97">
        <f>IF($A99="","",IFERROR(INDEX(Data_Analitik!$R$2:$R$351,MATCH($A99,Data_Analitik!$AL$2:$AL$351,0)),""))</f>
        <v>0.50970871471664281</v>
      </c>
      <c r="H99" s="97">
        <f>IF($A99="","",IFERROR(INDEX(Data_Analitik!$T$2:$T$351,MATCH($A99,Data_Analitik!$AL$2:$AL$351,0)),""))</f>
        <v>0.2475728109044936</v>
      </c>
      <c r="I99" s="97">
        <f>IF($A99="","",IFERROR(INDEX(Data_Analitik!$V$2:$V$351,MATCH($A99,Data_Analitik!$AL$2:$AL$351,0)),""))</f>
        <v>0.19417476017498275</v>
      </c>
      <c r="J99" s="97">
        <f>IF($A99="","",IFERROR(INDEX(Data_Analitik!$X$2:$X$351,MATCH($A99,Data_Analitik!$AL$2:$AL$351,0)),""))</f>
        <v>0.55825240476038851</v>
      </c>
      <c r="K99" s="97">
        <f>IF($A99="","",IFERROR(INDEX(Data_Analitik!$Z$2:$Z$351,MATCH($A99,Data_Analitik!$AL$2:$AL$351,0)),""))</f>
        <v>0.44174757107947638</v>
      </c>
      <c r="L99" s="33" t="str">
        <f>IF($A99="","",IFERROR(INDEX(Data_Analitik!$AB$2:$AB$351,MATCH($A99,Data_Analitik!$AL$2:$AL$351,0)),""))</f>
        <v>Tidak Mantap Sedang</v>
      </c>
    </row>
    <row r="100" spans="1:12" ht="21.95" customHeight="1" x14ac:dyDescent="0.25">
      <c r="A100" s="32">
        <f>IF(ROW()-9&lt;=SUM(Data_Analitik!$AK$2:$AK$351),ROW()-9,"")</f>
        <v>91</v>
      </c>
      <c r="B100" s="99" t="str">
        <f>IF($A100="","",IFERROR(INDEX(Data_Analitik!$B$2:$B$351,MATCH($A100,Data_Analitik!$AL$2:$AL$351,0)),""))</f>
        <v>091</v>
      </c>
      <c r="C100" s="101" t="str">
        <f>IF($A100="","",IFERROR(INDEX(Data_Analitik!$C$2:$C$351,MATCH($A100,Data_Analitik!$AL$2:$AL$351,0)),""))</f>
        <v>Batang Kulur Kanan - Sarangan</v>
      </c>
      <c r="D100" s="101" t="str">
        <f>IF($A100="","",IFERROR(INDEX(Data_Analitik!$D$2:$D$351,MATCH($A100,Data_Analitik!$AL$2:$AL$351,0)),""))</f>
        <v>Sungai Raya</v>
      </c>
      <c r="E100" s="100">
        <f>IF($A100="","",IFERROR(INDEX(Data_Analitik!$E$2:$E$351,MATCH($A100,Data_Analitik!$AL$2:$AL$351,0)),""))</f>
        <v>2.1800000000000002</v>
      </c>
      <c r="F100" s="97">
        <f>IF($A100="","",IFERROR(INDEX(Data_Analitik!$P$2:$P$351,MATCH($A100,Data_Analitik!$AL$2:$AL$351,0)),""))</f>
        <v>0</v>
      </c>
      <c r="G100" s="97">
        <f>IF($A100="","",IFERROR(INDEX(Data_Analitik!$R$2:$R$351,MATCH($A100,Data_Analitik!$AL$2:$AL$351,0)),""))</f>
        <v>0.7706421777742718</v>
      </c>
      <c r="H100" s="97">
        <f>IF($A100="","",IFERROR(INDEX(Data_Analitik!$T$2:$T$351,MATCH($A100,Data_Analitik!$AL$2:$AL$351,0)),""))</f>
        <v>0.2293577981651376</v>
      </c>
      <c r="I100" s="97">
        <f>IF($A100="","",IFERROR(INDEX(Data_Analitik!$V$2:$V$351,MATCH($A100,Data_Analitik!$AL$2:$AL$351,0)),""))</f>
        <v>0</v>
      </c>
      <c r="J100" s="97">
        <f>IF($A100="","",IFERROR(INDEX(Data_Analitik!$X$2:$X$351,MATCH($A100,Data_Analitik!$AL$2:$AL$351,0)),""))</f>
        <v>0.7706421777742718</v>
      </c>
      <c r="K100" s="97">
        <f>IF($A100="","",IFERROR(INDEX(Data_Analitik!$Z$2:$Z$351,MATCH($A100,Data_Analitik!$AL$2:$AL$351,0)),""))</f>
        <v>0.2293577981651376</v>
      </c>
      <c r="L100" s="33" t="str">
        <f>IF($A100="","",IFERROR(INDEX(Data_Analitik!$AB$2:$AB$351,MATCH($A100,Data_Analitik!$AL$2:$AL$351,0)),""))</f>
        <v>Tidak Mantap Sedang</v>
      </c>
    </row>
    <row r="101" spans="1:12" ht="21.95" customHeight="1" x14ac:dyDescent="0.25">
      <c r="A101" s="32">
        <f>IF(ROW()-9&lt;=SUM(Data_Analitik!$AK$2:$AK$351),ROW()-9,"")</f>
        <v>92</v>
      </c>
      <c r="B101" s="99" t="str">
        <f>IF($A101="","",IFERROR(INDEX(Data_Analitik!$B$2:$B$351,MATCH($A101,Data_Analitik!$AL$2:$AL$351,0)),""))</f>
        <v>092</v>
      </c>
      <c r="C101" s="101" t="str">
        <f>IF($A101="","",IFERROR(INDEX(Data_Analitik!$C$2:$C$351,MATCH($A101,Data_Analitik!$AL$2:$AL$351,0)),""))</f>
        <v>Bumi Berkat - Mungkur Galah</v>
      </c>
      <c r="D101" s="101" t="str">
        <f>IF($A101="","",IFERROR(INDEX(Data_Analitik!$D$2:$D$351,MATCH($A101,Data_Analitik!$AL$2:$AL$351,0)),""))</f>
        <v>Sungai Raya</v>
      </c>
      <c r="E101" s="100">
        <f>IF($A101="","",IFERROR(INDEX(Data_Analitik!$E$2:$E$351,MATCH($A101,Data_Analitik!$AL$2:$AL$351,0)),""))</f>
        <v>1.51</v>
      </c>
      <c r="F101" s="97">
        <f>IF($A101="","",IFERROR(INDEX(Data_Analitik!$P$2:$P$351,MATCH($A101,Data_Analitik!$AL$2:$AL$351,0)),""))</f>
        <v>0</v>
      </c>
      <c r="G101" s="97">
        <f>IF($A101="","",IFERROR(INDEX(Data_Analitik!$R$2:$R$351,MATCH($A101,Data_Analitik!$AL$2:$AL$351,0)),""))</f>
        <v>0.79470201833358667</v>
      </c>
      <c r="H101" s="97">
        <f>IF($A101="","",IFERROR(INDEX(Data_Analitik!$T$2:$T$351,MATCH($A101,Data_Analitik!$AL$2:$AL$351,0)),""))</f>
        <v>0.20529801482396409</v>
      </c>
      <c r="I101" s="97">
        <f>IF($A101="","",IFERROR(INDEX(Data_Analitik!$V$2:$V$351,MATCH($A101,Data_Analitik!$AL$2:$AL$351,0)),""))</f>
        <v>0</v>
      </c>
      <c r="J101" s="97">
        <f>IF($A101="","",IFERROR(INDEX(Data_Analitik!$X$2:$X$351,MATCH($A101,Data_Analitik!$AL$2:$AL$351,0)),""))</f>
        <v>0.79470201833358667</v>
      </c>
      <c r="K101" s="97">
        <f>IF($A101="","",IFERROR(INDEX(Data_Analitik!$Z$2:$Z$351,MATCH($A101,Data_Analitik!$AL$2:$AL$351,0)),""))</f>
        <v>0.20529801482396409</v>
      </c>
      <c r="L101" s="33" t="str">
        <f>IF($A101="","",IFERROR(INDEX(Data_Analitik!$AB$2:$AB$351,MATCH($A101,Data_Analitik!$AL$2:$AL$351,0)),""))</f>
        <v>Tidak Mantap Sedang</v>
      </c>
    </row>
    <row r="102" spans="1:12" ht="21.95" customHeight="1" x14ac:dyDescent="0.25">
      <c r="A102" s="32">
        <f>IF(ROW()-9&lt;=SUM(Data_Analitik!$AK$2:$AK$351),ROW()-9,"")</f>
        <v>93</v>
      </c>
      <c r="B102" s="99" t="str">
        <f>IF($A102="","",IFERROR(INDEX(Data_Analitik!$B$2:$B$351,MATCH($A102,Data_Analitik!$AL$2:$AL$351,0)),""))</f>
        <v>093</v>
      </c>
      <c r="C102" s="101" t="str">
        <f>IF($A102="","",IFERROR(INDEX(Data_Analitik!$C$2:$C$351,MATCH($A102,Data_Analitik!$AL$2:$AL$351,0)),""))</f>
        <v>Taal Jarau - Sp. Baru/Tampang</v>
      </c>
      <c r="D102" s="101" t="str">
        <f>IF($A102="","",IFERROR(INDEX(Data_Analitik!$D$2:$D$351,MATCH($A102,Data_Analitik!$AL$2:$AL$351,0)),""))</f>
        <v>Sungai Raya</v>
      </c>
      <c r="E102" s="100">
        <f>IF($A102="","",IFERROR(INDEX(Data_Analitik!$E$2:$E$351,MATCH($A102,Data_Analitik!$AL$2:$AL$351,0)),""))</f>
        <v>5.65</v>
      </c>
      <c r="F102" s="97">
        <f>IF($A102="","",IFERROR(INDEX(Data_Analitik!$P$2:$P$351,MATCH($A102,Data_Analitik!$AL$2:$AL$351,0)),""))</f>
        <v>0.50442476188187046</v>
      </c>
      <c r="G102" s="97">
        <f>IF($A102="","",IFERROR(INDEX(Data_Analitik!$R$2:$R$351,MATCH($A102,Data_Analitik!$AL$2:$AL$351,0)),""))</f>
        <v>0.4955752127993423</v>
      </c>
      <c r="H102" s="97">
        <f>IF($A102="","",IFERROR(INDEX(Data_Analitik!$T$2:$T$351,MATCH($A102,Data_Analitik!$AL$2:$AL$351,0)),""))</f>
        <v>0</v>
      </c>
      <c r="I102" s="97">
        <f>IF($A102="","",IFERROR(INDEX(Data_Analitik!$V$2:$V$351,MATCH($A102,Data_Analitik!$AL$2:$AL$351,0)),""))</f>
        <v>0</v>
      </c>
      <c r="J102" s="97">
        <f>IF($A102="","",IFERROR(INDEX(Data_Analitik!$X$2:$X$351,MATCH($A102,Data_Analitik!$AL$2:$AL$351,0)),""))</f>
        <v>0.99999997468121282</v>
      </c>
      <c r="K102" s="97">
        <f>IF($A102="","",IFERROR(INDEX(Data_Analitik!$Z$2:$Z$351,MATCH($A102,Data_Analitik!$AL$2:$AL$351,0)),""))</f>
        <v>0</v>
      </c>
      <c r="L102" s="33" t="str">
        <f>IF($A102="","",IFERROR(INDEX(Data_Analitik!$AB$2:$AB$351,MATCH($A102,Data_Analitik!$AL$2:$AL$351,0)),""))</f>
        <v>Relatif Mantap</v>
      </c>
    </row>
    <row r="103" spans="1:12" ht="21.95" customHeight="1" x14ac:dyDescent="0.25">
      <c r="A103" s="32">
        <f>IF(ROW()-9&lt;=SUM(Data_Analitik!$AK$2:$AK$351),ROW()-9,"")</f>
        <v>94</v>
      </c>
      <c r="B103" s="99" t="str">
        <f>IF($A103="","",IFERROR(INDEX(Data_Analitik!$B$2:$B$351,MATCH($A103,Data_Analitik!$AL$2:$AL$351,0)),""))</f>
        <v>094</v>
      </c>
      <c r="C103" s="101" t="str">
        <f>IF($A103="","",IFERROR(INDEX(Data_Analitik!$C$2:$C$351,MATCH($A103,Data_Analitik!$AL$2:$AL$351,0)),""))</f>
        <v>Sungai Raya - Jambu Hulu/Paku</v>
      </c>
      <c r="D103" s="101" t="str">
        <f>IF($A103="","",IFERROR(INDEX(Data_Analitik!$D$2:$D$351,MATCH($A103,Data_Analitik!$AL$2:$AL$351,0)),""))</f>
        <v>Sungai Raya - Padang Batung</v>
      </c>
      <c r="E103" s="100">
        <f>IF($A103="","",IFERROR(INDEX(Data_Analitik!$E$2:$E$351,MATCH($A103,Data_Analitik!$AL$2:$AL$351,0)),""))</f>
        <v>5.17</v>
      </c>
      <c r="F103" s="97">
        <f>IF($A103="","",IFERROR(INDEX(Data_Analitik!$P$2:$P$351,MATCH($A103,Data_Analitik!$AL$2:$AL$351,0)),""))</f>
        <v>1.0000000147570494</v>
      </c>
      <c r="G103" s="97">
        <f>IF($A103="","",IFERROR(INDEX(Data_Analitik!$R$2:$R$351,MATCH($A103,Data_Analitik!$AL$2:$AL$351,0)),""))</f>
        <v>0</v>
      </c>
      <c r="H103" s="97">
        <f>IF($A103="","",IFERROR(INDEX(Data_Analitik!$T$2:$T$351,MATCH($A103,Data_Analitik!$AL$2:$AL$351,0)),""))</f>
        <v>0</v>
      </c>
      <c r="I103" s="97">
        <f>IF($A103="","",IFERROR(INDEX(Data_Analitik!$V$2:$V$351,MATCH($A103,Data_Analitik!$AL$2:$AL$351,0)),""))</f>
        <v>0</v>
      </c>
      <c r="J103" s="97">
        <f>IF($A103="","",IFERROR(INDEX(Data_Analitik!$X$2:$X$351,MATCH($A103,Data_Analitik!$AL$2:$AL$351,0)),""))</f>
        <v>1.0000000147570494</v>
      </c>
      <c r="K103" s="97">
        <f>IF($A103="","",IFERROR(INDEX(Data_Analitik!$Z$2:$Z$351,MATCH($A103,Data_Analitik!$AL$2:$AL$351,0)),""))</f>
        <v>0</v>
      </c>
      <c r="L103" s="33" t="str">
        <f>IF($A103="","",IFERROR(INDEX(Data_Analitik!$AB$2:$AB$351,MATCH($A103,Data_Analitik!$AL$2:$AL$351,0)),""))</f>
        <v>Relatif Mantap</v>
      </c>
    </row>
    <row r="104" spans="1:12" ht="21.95" customHeight="1" x14ac:dyDescent="0.25">
      <c r="A104" s="32">
        <f>IF(ROW()-9&lt;=SUM(Data_Analitik!$AK$2:$AK$351),ROW()-9,"")</f>
        <v>95</v>
      </c>
      <c r="B104" s="99" t="str">
        <f>IF($A104="","",IFERROR(INDEX(Data_Analitik!$B$2:$B$351,MATCH($A104,Data_Analitik!$AL$2:$AL$351,0)),""))</f>
        <v>095</v>
      </c>
      <c r="C104" s="101" t="str">
        <f>IF($A104="","",IFERROR(INDEX(Data_Analitik!$C$2:$C$351,MATCH($A104,Data_Analitik!$AL$2:$AL$351,0)),""))</f>
        <v>Sungai Raya Selatan - Malutu - Goa Berangin</v>
      </c>
      <c r="D104" s="101" t="str">
        <f>IF($A104="","",IFERROR(INDEX(Data_Analitik!$D$2:$D$351,MATCH($A104,Data_Analitik!$AL$2:$AL$351,0)),""))</f>
        <v>Sungai Raya - Padang Batung</v>
      </c>
      <c r="E104" s="100">
        <f>IF($A104="","",IFERROR(INDEX(Data_Analitik!$E$2:$E$351,MATCH($A104,Data_Analitik!$AL$2:$AL$351,0)),""))</f>
        <v>6.35</v>
      </c>
      <c r="F104" s="97">
        <f>IF($A104="","",IFERROR(INDEX(Data_Analitik!$P$2:$P$351,MATCH($A104,Data_Analitik!$AL$2:$AL$351,0)),""))</f>
        <v>9.4488192731001244E-2</v>
      </c>
      <c r="G104" s="97">
        <f>IF($A104="","",IFERROR(INDEX(Data_Analitik!$R$2:$R$351,MATCH($A104,Data_Analitik!$AL$2:$AL$351,0)),""))</f>
        <v>0.51968503186083215</v>
      </c>
      <c r="H104" s="97">
        <f>IF($A104="","",IFERROR(INDEX(Data_Analitik!$T$2:$T$351,MATCH($A104,Data_Analitik!$AL$2:$AL$351,0)),""))</f>
        <v>6.2992126922907801E-2</v>
      </c>
      <c r="I104" s="97">
        <f>IF($A104="","",IFERROR(INDEX(Data_Analitik!$V$2:$V$351,MATCH($A104,Data_Analitik!$AL$2:$AL$351,0)),""))</f>
        <v>0.32283463816004476</v>
      </c>
      <c r="J104" s="97">
        <f>IF($A104="","",IFERROR(INDEX(Data_Analitik!$X$2:$X$351,MATCH($A104,Data_Analitik!$AL$2:$AL$351,0)),""))</f>
        <v>0.61417322459183343</v>
      </c>
      <c r="K104" s="97">
        <f>IF($A104="","",IFERROR(INDEX(Data_Analitik!$Z$2:$Z$351,MATCH($A104,Data_Analitik!$AL$2:$AL$351,0)),""))</f>
        <v>0.38582676508295255</v>
      </c>
      <c r="L104" s="33" t="str">
        <f>IF($A104="","",IFERROR(INDEX(Data_Analitik!$AB$2:$AB$351,MATCH($A104,Data_Analitik!$AL$2:$AL$351,0)),""))</f>
        <v>Rusak Berat Dominan</v>
      </c>
    </row>
    <row r="105" spans="1:12" ht="21.95" customHeight="1" x14ac:dyDescent="0.25">
      <c r="A105" s="32">
        <f>IF(ROW()-9&lt;=SUM(Data_Analitik!$AK$2:$AK$351),ROW()-9,"")</f>
        <v>96</v>
      </c>
      <c r="B105" s="99" t="str">
        <f>IF($A105="","",IFERROR(INDEX(Data_Analitik!$B$2:$B$351,MATCH($A105,Data_Analitik!$AL$2:$AL$351,0)),""))</f>
        <v>096</v>
      </c>
      <c r="C105" s="101" t="str">
        <f>IF($A105="","",IFERROR(INDEX(Data_Analitik!$C$2:$C$351,MATCH($A105,Data_Analitik!$AL$2:$AL$351,0)),""))</f>
        <v>Sp. 4 Baru/Tampang - Sp. Bilui Pamujaan</v>
      </c>
      <c r="D105" s="101" t="str">
        <f>IF($A105="","",IFERROR(INDEX(Data_Analitik!$D$2:$D$351,MATCH($A105,Data_Analitik!$AL$2:$AL$351,0)),""))</f>
        <v>Sungai Raya - Simpur</v>
      </c>
      <c r="E105" s="100">
        <f>IF($A105="","",IFERROR(INDEX(Data_Analitik!$E$2:$E$351,MATCH($A105,Data_Analitik!$AL$2:$AL$351,0)),""))</f>
        <v>3.77</v>
      </c>
      <c r="F105" s="97">
        <f>IF($A105="","",IFERROR(INDEX(Data_Analitik!$P$2:$P$351,MATCH($A105,Data_Analitik!$AL$2:$AL$351,0)),""))</f>
        <v>0</v>
      </c>
      <c r="G105" s="97">
        <f>IF($A105="","",IFERROR(INDEX(Data_Analitik!$R$2:$R$351,MATCH($A105,Data_Analitik!$AL$2:$AL$351,0)),""))</f>
        <v>0.6816975950246148</v>
      </c>
      <c r="H105" s="97">
        <f>IF($A105="","",IFERROR(INDEX(Data_Analitik!$T$2:$T$351,MATCH($A105,Data_Analitik!$AL$2:$AL$351,0)),""))</f>
        <v>0.29177719465301272</v>
      </c>
      <c r="I105" s="97">
        <f>IF($A105="","",IFERROR(INDEX(Data_Analitik!$V$2:$V$351,MATCH($A105,Data_Analitik!$AL$2:$AL$351,0)),""))</f>
        <v>2.6525199334248309E-2</v>
      </c>
      <c r="J105" s="97">
        <f>IF($A105="","",IFERROR(INDEX(Data_Analitik!$X$2:$X$351,MATCH($A105,Data_Analitik!$AL$2:$AL$351,0)),""))</f>
        <v>0.6816975950246148</v>
      </c>
      <c r="K105" s="97">
        <f>IF($A105="","",IFERROR(INDEX(Data_Analitik!$Z$2:$Z$351,MATCH($A105,Data_Analitik!$AL$2:$AL$351,0)),""))</f>
        <v>0.31830239398726101</v>
      </c>
      <c r="L105" s="33" t="str">
        <f>IF($A105="","",IFERROR(INDEX(Data_Analitik!$AB$2:$AB$351,MATCH($A105,Data_Analitik!$AL$2:$AL$351,0)),""))</f>
        <v>Tidak Mantap Sedang</v>
      </c>
    </row>
    <row r="106" spans="1:12" ht="21.95" customHeight="1" x14ac:dyDescent="0.25">
      <c r="A106" s="32">
        <f>IF(ROW()-9&lt;=SUM(Data_Analitik!$AK$2:$AK$351),ROW()-9,"")</f>
        <v>97</v>
      </c>
      <c r="B106" s="99" t="str">
        <f>IF($A106="","",IFERROR(INDEX(Data_Analitik!$B$2:$B$351,MATCH($A106,Data_Analitik!$AL$2:$AL$351,0)),""))</f>
        <v>097</v>
      </c>
      <c r="C106" s="101" t="str">
        <f>IF($A106="","",IFERROR(INDEX(Data_Analitik!$C$2:$C$351,MATCH($A106,Data_Analitik!$AL$2:$AL$351,0)),""))</f>
        <v>Asam Cangkuk - Telaga Bidadari</v>
      </c>
      <c r="D106" s="101" t="str">
        <f>IF($A106="","",IFERROR(INDEX(Data_Analitik!$D$2:$D$351,MATCH($A106,Data_Analitik!$AL$2:$AL$351,0)),""))</f>
        <v>Sungai Raya</v>
      </c>
      <c r="E106" s="100">
        <f>IF($A106="","",IFERROR(INDEX(Data_Analitik!$E$2:$E$351,MATCH($A106,Data_Analitik!$AL$2:$AL$351,0)),""))</f>
        <v>0.83</v>
      </c>
      <c r="F106" s="97">
        <f>IF($A106="","",IFERROR(INDEX(Data_Analitik!$P$2:$P$351,MATCH($A106,Data_Analitik!$AL$2:$AL$351,0)),""))</f>
        <v>0.240963859012328</v>
      </c>
      <c r="G106" s="97">
        <f>IF($A106="","",IFERROR(INDEX(Data_Analitik!$R$2:$R$351,MATCH($A106,Data_Analitik!$AL$2:$AL$351,0)),""))</f>
        <v>3.6144577505358731E-2</v>
      </c>
      <c r="H106" s="97">
        <f>IF($A106="","",IFERROR(INDEX(Data_Analitik!$T$2:$T$351,MATCH($A106,Data_Analitik!$AL$2:$AL$351,0)),""))</f>
        <v>0</v>
      </c>
      <c r="I106" s="97">
        <f>IF($A106="","",IFERROR(INDEX(Data_Analitik!$V$2:$V$351,MATCH($A106,Data_Analitik!$AL$2:$AL$351,0)),""))</f>
        <v>0.72289159499019029</v>
      </c>
      <c r="J106" s="97">
        <f>IF($A106="","",IFERROR(INDEX(Data_Analitik!$X$2:$X$351,MATCH($A106,Data_Analitik!$AL$2:$AL$351,0)),""))</f>
        <v>0.27710843651768674</v>
      </c>
      <c r="K106" s="97">
        <f>IF($A106="","",IFERROR(INDEX(Data_Analitik!$Z$2:$Z$351,MATCH($A106,Data_Analitik!$AL$2:$AL$351,0)),""))</f>
        <v>0.72289159499019029</v>
      </c>
      <c r="L106" s="33" t="str">
        <f>IF($A106="","",IFERROR(INDEX(Data_Analitik!$AB$2:$AB$351,MATCH($A106,Data_Analitik!$AL$2:$AL$351,0)),""))</f>
        <v>Rusak Berat Dominan</v>
      </c>
    </row>
    <row r="107" spans="1:12" ht="21.95" customHeight="1" x14ac:dyDescent="0.25">
      <c r="A107" s="32">
        <f>IF(ROW()-9&lt;=SUM(Data_Analitik!$AK$2:$AK$351),ROW()-9,"")</f>
        <v>98</v>
      </c>
      <c r="B107" s="99" t="str">
        <f>IF($A107="","",IFERROR(INDEX(Data_Analitik!$B$2:$B$351,MATCH($A107,Data_Analitik!$AL$2:$AL$351,0)),""))</f>
        <v>098</v>
      </c>
      <c r="C107" s="101" t="str">
        <f>IF($A107="","",IFERROR(INDEX(Data_Analitik!$C$2:$C$351,MATCH($A107,Data_Analitik!$AL$2:$AL$351,0)),""))</f>
        <v>Hamalau - Pahampangan</v>
      </c>
      <c r="D107" s="101" t="str">
        <f>IF($A107="","",IFERROR(INDEX(Data_Analitik!$D$2:$D$351,MATCH($A107,Data_Analitik!$AL$2:$AL$351,0)),""))</f>
        <v>Sungai Raya</v>
      </c>
      <c r="E107" s="100">
        <f>IF($A107="","",IFERROR(INDEX(Data_Analitik!$E$2:$E$351,MATCH($A107,Data_Analitik!$AL$2:$AL$351,0)),""))</f>
        <v>0.78</v>
      </c>
      <c r="F107" s="97">
        <f>IF($A107="","",IFERROR(INDEX(Data_Analitik!$P$2:$P$351,MATCH($A107,Data_Analitik!$AL$2:$AL$351,0)),""))</f>
        <v>0.99999996332021857</v>
      </c>
      <c r="G107" s="97">
        <f>IF($A107="","",IFERROR(INDEX(Data_Analitik!$R$2:$R$351,MATCH($A107,Data_Analitik!$AL$2:$AL$351,0)),""))</f>
        <v>0</v>
      </c>
      <c r="H107" s="97">
        <f>IF($A107="","",IFERROR(INDEX(Data_Analitik!$T$2:$T$351,MATCH($A107,Data_Analitik!$AL$2:$AL$351,0)),""))</f>
        <v>0</v>
      </c>
      <c r="I107" s="97">
        <f>IF($A107="","",IFERROR(INDEX(Data_Analitik!$V$2:$V$351,MATCH($A107,Data_Analitik!$AL$2:$AL$351,0)),""))</f>
        <v>0</v>
      </c>
      <c r="J107" s="97">
        <f>IF($A107="","",IFERROR(INDEX(Data_Analitik!$X$2:$X$351,MATCH($A107,Data_Analitik!$AL$2:$AL$351,0)),""))</f>
        <v>0.99999996332021857</v>
      </c>
      <c r="K107" s="97">
        <f>IF($A107="","",IFERROR(INDEX(Data_Analitik!$Z$2:$Z$351,MATCH($A107,Data_Analitik!$AL$2:$AL$351,0)),""))</f>
        <v>0</v>
      </c>
      <c r="L107" s="33" t="str">
        <f>IF($A107="","",IFERROR(INDEX(Data_Analitik!$AB$2:$AB$351,MATCH($A107,Data_Analitik!$AL$2:$AL$351,0)),""))</f>
        <v>Relatif Mantap</v>
      </c>
    </row>
    <row r="108" spans="1:12" ht="21.95" customHeight="1" x14ac:dyDescent="0.25">
      <c r="A108" s="32">
        <f>IF(ROW()-9&lt;=SUM(Data_Analitik!$AK$2:$AK$351),ROW()-9,"")</f>
        <v>99</v>
      </c>
      <c r="B108" s="99" t="str">
        <f>IF($A108="","",IFERROR(INDEX(Data_Analitik!$B$2:$B$351,MATCH($A108,Data_Analitik!$AL$2:$AL$351,0)),""))</f>
        <v>099</v>
      </c>
      <c r="C108" s="101" t="str">
        <f>IF($A108="","",IFERROR(INDEX(Data_Analitik!$C$2:$C$351,MATCH($A108,Data_Analitik!$AL$2:$AL$351,0)),""))</f>
        <v>Ida Manggala - Padang Makmur</v>
      </c>
      <c r="D108" s="101" t="str">
        <f>IF($A108="","",IFERROR(INDEX(Data_Analitik!$D$2:$D$351,MATCH($A108,Data_Analitik!$AL$2:$AL$351,0)),""))</f>
        <v>Sungai Raya</v>
      </c>
      <c r="E108" s="100">
        <f>IF($A108="","",IFERROR(INDEX(Data_Analitik!$E$2:$E$351,MATCH($A108,Data_Analitik!$AL$2:$AL$351,0)),""))</f>
        <v>3.69</v>
      </c>
      <c r="F108" s="97">
        <f>IF($A108="","",IFERROR(INDEX(Data_Analitik!$P$2:$P$351,MATCH($A108,Data_Analitik!$AL$2:$AL$351,0)),""))</f>
        <v>0</v>
      </c>
      <c r="G108" s="97">
        <f>IF($A108="","",IFERROR(INDEX(Data_Analitik!$R$2:$R$351,MATCH($A108,Data_Analitik!$AL$2:$AL$351,0)),""))</f>
        <v>0.24390243256318214</v>
      </c>
      <c r="H108" s="97">
        <f>IF($A108="","",IFERROR(INDEX(Data_Analitik!$T$2:$T$351,MATCH($A108,Data_Analitik!$AL$2:$AL$351,0)),""))</f>
        <v>0.4065040650406504</v>
      </c>
      <c r="I108" s="97">
        <f>IF($A108="","",IFERROR(INDEX(Data_Analitik!$V$2:$V$351,MATCH($A108,Data_Analitik!$AL$2:$AL$351,0)),""))</f>
        <v>0.34959350175004666</v>
      </c>
      <c r="J108" s="97">
        <f>IF($A108="","",IFERROR(INDEX(Data_Analitik!$X$2:$X$351,MATCH($A108,Data_Analitik!$AL$2:$AL$351,0)),""))</f>
        <v>0.24390243256318214</v>
      </c>
      <c r="K108" s="97">
        <f>IF($A108="","",IFERROR(INDEX(Data_Analitik!$Z$2:$Z$351,MATCH($A108,Data_Analitik!$AL$2:$AL$351,0)),""))</f>
        <v>0.75609756679069706</v>
      </c>
      <c r="L108" s="33" t="str">
        <f>IF($A108="","",IFERROR(INDEX(Data_Analitik!$AB$2:$AB$351,MATCH($A108,Data_Analitik!$AL$2:$AL$351,0)),""))</f>
        <v>Rusak Berat Dominan</v>
      </c>
    </row>
    <row r="109" spans="1:12" ht="21.95" customHeight="1" x14ac:dyDescent="0.25">
      <c r="A109" s="32">
        <f>IF(ROW()-9&lt;=SUM(Data_Analitik!$AK$2:$AK$351),ROW()-9,"")</f>
        <v>100</v>
      </c>
      <c r="B109" s="99" t="str">
        <f>IF($A109="","",IFERROR(INDEX(Data_Analitik!$B$2:$B$351,MATCH($A109,Data_Analitik!$AL$2:$AL$351,0)),""))</f>
        <v>100</v>
      </c>
      <c r="C109" s="101" t="str">
        <f>IF($A109="","",IFERROR(INDEX(Data_Analitik!$C$2:$C$351,MATCH($A109,Data_Analitik!$AL$2:$AL$351,0)),""))</f>
        <v>Simpang Hamalau - Teluk Pinang</v>
      </c>
      <c r="D109" s="101" t="str">
        <f>IF($A109="","",IFERROR(INDEX(Data_Analitik!$D$2:$D$351,MATCH($A109,Data_Analitik!$AL$2:$AL$351,0)),""))</f>
        <v>Sungai Raya</v>
      </c>
      <c r="E109" s="100">
        <f>IF($A109="","",IFERROR(INDEX(Data_Analitik!$E$2:$E$351,MATCH($A109,Data_Analitik!$AL$2:$AL$351,0)),""))</f>
        <v>0.68</v>
      </c>
      <c r="F109" s="97">
        <f>IF($A109="","",IFERROR(INDEX(Data_Analitik!$P$2:$P$351,MATCH($A109,Data_Analitik!$AL$2:$AL$351,0)),""))</f>
        <v>0.11764705619391272</v>
      </c>
      <c r="G109" s="97">
        <f>IF($A109="","",IFERROR(INDEX(Data_Analitik!$R$2:$R$351,MATCH($A109,Data_Analitik!$AL$2:$AL$351,0)),""))</f>
        <v>0.58823530288303594</v>
      </c>
      <c r="H109" s="97">
        <f>IF($A109="","",IFERROR(INDEX(Data_Analitik!$T$2:$T$351,MATCH($A109,Data_Analitik!$AL$2:$AL$351,0)),""))</f>
        <v>0.14705882572075898</v>
      </c>
      <c r="I109" s="97">
        <f>IF($A109="","",IFERROR(INDEX(Data_Analitik!$V$2:$V$351,MATCH($A109,Data_Analitik!$AL$2:$AL$351,0)),""))</f>
        <v>0.14705882572075898</v>
      </c>
      <c r="J109" s="97">
        <f>IF($A109="","",IFERROR(INDEX(Data_Analitik!$X$2:$X$351,MATCH($A109,Data_Analitik!$AL$2:$AL$351,0)),""))</f>
        <v>0.70588235907694863</v>
      </c>
      <c r="K109" s="97">
        <f>IF($A109="","",IFERROR(INDEX(Data_Analitik!$Z$2:$Z$351,MATCH($A109,Data_Analitik!$AL$2:$AL$351,0)),""))</f>
        <v>0.29411765144151797</v>
      </c>
      <c r="L109" s="33" t="str">
        <f>IF($A109="","",IFERROR(INDEX(Data_Analitik!$AB$2:$AB$351,MATCH($A109,Data_Analitik!$AL$2:$AL$351,0)),""))</f>
        <v>Tidak Mantap Sedang</v>
      </c>
    </row>
    <row r="110" spans="1:12" ht="21.95" customHeight="1" x14ac:dyDescent="0.25">
      <c r="A110" s="32">
        <f>IF(ROW()-9&lt;=SUM(Data_Analitik!$AK$2:$AK$351),ROW()-9,"")</f>
        <v>101</v>
      </c>
      <c r="B110" s="99" t="str">
        <f>IF($A110="","",IFERROR(INDEX(Data_Analitik!$B$2:$B$351,MATCH($A110,Data_Analitik!$AL$2:$AL$351,0)),""))</f>
        <v>101</v>
      </c>
      <c r="C110" s="101" t="str">
        <f>IF($A110="","",IFERROR(INDEX(Data_Analitik!$C$2:$C$351,MATCH($A110,Data_Analitik!$AL$2:$AL$351,0)),""))</f>
        <v>Teluk Pinang - Pahampangan Utara</v>
      </c>
      <c r="D110" s="101" t="str">
        <f>IF($A110="","",IFERROR(INDEX(Data_Analitik!$D$2:$D$351,MATCH($A110,Data_Analitik!$AL$2:$AL$351,0)),""))</f>
        <v>Sungai Raya</v>
      </c>
      <c r="E110" s="100">
        <f>IF($A110="","",IFERROR(INDEX(Data_Analitik!$E$2:$E$351,MATCH($A110,Data_Analitik!$AL$2:$AL$351,0)),""))</f>
        <v>2.2200000000000002</v>
      </c>
      <c r="F110" s="97">
        <f>IF($A110="","",IFERROR(INDEX(Data_Analitik!$P$2:$P$351,MATCH($A110,Data_Analitik!$AL$2:$AL$351,0)),""))</f>
        <v>0.72072073146029625</v>
      </c>
      <c r="G110" s="97">
        <f>IF($A110="","",IFERROR(INDEX(Data_Analitik!$R$2:$R$351,MATCH($A110,Data_Analitik!$AL$2:$AL$351,0)),""))</f>
        <v>0.27927928142719438</v>
      </c>
      <c r="H110" s="97">
        <f>IF($A110="","",IFERROR(INDEX(Data_Analitik!$T$2:$T$351,MATCH($A110,Data_Analitik!$AL$2:$AL$351,0)),""))</f>
        <v>0</v>
      </c>
      <c r="I110" s="97">
        <f>IF($A110="","",IFERROR(INDEX(Data_Analitik!$V$2:$V$351,MATCH($A110,Data_Analitik!$AL$2:$AL$351,0)),""))</f>
        <v>0</v>
      </c>
      <c r="J110" s="97">
        <f>IF($A110="","",IFERROR(INDEX(Data_Analitik!$X$2:$X$351,MATCH($A110,Data_Analitik!$AL$2:$AL$351,0)),""))</f>
        <v>1.0000000128874906</v>
      </c>
      <c r="K110" s="97">
        <f>IF($A110="","",IFERROR(INDEX(Data_Analitik!$Z$2:$Z$351,MATCH($A110,Data_Analitik!$AL$2:$AL$351,0)),""))</f>
        <v>0</v>
      </c>
      <c r="L110" s="33" t="str">
        <f>IF($A110="","",IFERROR(INDEX(Data_Analitik!$AB$2:$AB$351,MATCH($A110,Data_Analitik!$AL$2:$AL$351,0)),""))</f>
        <v>Relatif Mantap</v>
      </c>
    </row>
    <row r="111" spans="1:12" ht="21.95" customHeight="1" x14ac:dyDescent="0.25">
      <c r="A111" s="32">
        <f>IF(ROW()-9&lt;=SUM(Data_Analitik!$AK$2:$AK$351),ROW()-9,"")</f>
        <v>102</v>
      </c>
      <c r="B111" s="99" t="str">
        <f>IF($A111="","",IFERROR(INDEX(Data_Analitik!$B$2:$B$351,MATCH($A111,Data_Analitik!$AL$2:$AL$351,0)),""))</f>
        <v>102</v>
      </c>
      <c r="C111" s="101" t="str">
        <f>IF($A111="","",IFERROR(INDEX(Data_Analitik!$C$2:$C$351,MATCH($A111,Data_Analitik!$AL$2:$AL$351,0)),""))</f>
        <v>Hamalau - Telaga Bidadari - Wasah Hilir</v>
      </c>
      <c r="D111" s="101" t="str">
        <f>IF($A111="","",IFERROR(INDEX(Data_Analitik!$D$2:$D$351,MATCH($A111,Data_Analitik!$AL$2:$AL$351,0)),""))</f>
        <v>Sungai Raya</v>
      </c>
      <c r="E111" s="100">
        <f>IF($A111="","",IFERROR(INDEX(Data_Analitik!$E$2:$E$351,MATCH($A111,Data_Analitik!$AL$2:$AL$351,0)),""))</f>
        <v>4.9400000000000004</v>
      </c>
      <c r="F111" s="97">
        <f>IF($A111="","",IFERROR(INDEX(Data_Analitik!$P$2:$P$351,MATCH($A111,Data_Analitik!$AL$2:$AL$351,0)),""))</f>
        <v>2.8340081092317091E-2</v>
      </c>
      <c r="G111" s="97">
        <f>IF($A111="","",IFERROR(INDEX(Data_Analitik!$R$2:$R$351,MATCH($A111,Data_Analitik!$AL$2:$AL$351,0)),""))</f>
        <v>0.38461537978909754</v>
      </c>
      <c r="H111" s="97">
        <f>IF($A111="","",IFERROR(INDEX(Data_Analitik!$T$2:$T$351,MATCH($A111,Data_Analitik!$AL$2:$AL$351,0)),""))</f>
        <v>0.52631577016853603</v>
      </c>
      <c r="I111" s="97">
        <f>IF($A111="","",IFERROR(INDEX(Data_Analitik!$V$2:$V$351,MATCH($A111,Data_Analitik!$AL$2:$AL$351,0)),""))</f>
        <v>6.0728747352414764E-2</v>
      </c>
      <c r="J111" s="97">
        <f>IF($A111="","",IFERROR(INDEX(Data_Analitik!$X$2:$X$351,MATCH($A111,Data_Analitik!$AL$2:$AL$351,0)),""))</f>
        <v>0.41295546088141466</v>
      </c>
      <c r="K111" s="97">
        <f>IF($A111="","",IFERROR(INDEX(Data_Analitik!$Z$2:$Z$351,MATCH($A111,Data_Analitik!$AL$2:$AL$351,0)),""))</f>
        <v>0.58704451752095088</v>
      </c>
      <c r="L111" s="33" t="str">
        <f>IF($A111="","",IFERROR(INDEX(Data_Analitik!$AB$2:$AB$351,MATCH($A111,Data_Analitik!$AL$2:$AL$351,0)),""))</f>
        <v>Tidak Mantap Tinggi</v>
      </c>
    </row>
    <row r="112" spans="1:12" ht="21.95" customHeight="1" x14ac:dyDescent="0.25">
      <c r="A112" s="32">
        <f>IF(ROW()-9&lt;=SUM(Data_Analitik!$AK$2:$AK$351),ROW()-9,"")</f>
        <v>103</v>
      </c>
      <c r="B112" s="99" t="str">
        <f>IF($A112="","",IFERROR(INDEX(Data_Analitik!$B$2:$B$351,MATCH($A112,Data_Analitik!$AL$2:$AL$351,0)),""))</f>
        <v>103</v>
      </c>
      <c r="C112" s="101" t="str">
        <f>IF($A112="","",IFERROR(INDEX(Data_Analitik!$C$2:$C$351,MATCH($A112,Data_Analitik!$AL$2:$AL$351,0)),""))</f>
        <v>Karasikan - Sarang Halang</v>
      </c>
      <c r="D112" s="101" t="str">
        <f>IF($A112="","",IFERROR(INDEX(Data_Analitik!$D$2:$D$351,MATCH($A112,Data_Analitik!$AL$2:$AL$351,0)),""))</f>
        <v>Sungai Raya</v>
      </c>
      <c r="E112" s="100">
        <f>IF($A112="","",IFERROR(INDEX(Data_Analitik!$E$2:$E$351,MATCH($A112,Data_Analitik!$AL$2:$AL$351,0)),""))</f>
        <v>1.9</v>
      </c>
      <c r="F112" s="97">
        <f>IF($A112="","",IFERROR(INDEX(Data_Analitik!$P$2:$P$351,MATCH($A112,Data_Analitik!$AL$2:$AL$351,0)),""))</f>
        <v>0</v>
      </c>
      <c r="G112" s="97">
        <f>IF($A112="","",IFERROR(INDEX(Data_Analitik!$R$2:$R$351,MATCH($A112,Data_Analitik!$AL$2:$AL$351,0)),""))</f>
        <v>0.47368419797796957</v>
      </c>
      <c r="H112" s="97">
        <f>IF($A112="","",IFERROR(INDEX(Data_Analitik!$T$2:$T$351,MATCH($A112,Data_Analitik!$AL$2:$AL$351,0)),""))</f>
        <v>0.15789474311627841</v>
      </c>
      <c r="I112" s="97">
        <f>IF($A112="","",IFERROR(INDEX(Data_Analitik!$V$2:$V$351,MATCH($A112,Data_Analitik!$AL$2:$AL$351,0)),""))</f>
        <v>0.36842104635740586</v>
      </c>
      <c r="J112" s="97">
        <f>IF($A112="","",IFERROR(INDEX(Data_Analitik!$X$2:$X$351,MATCH($A112,Data_Analitik!$AL$2:$AL$351,0)),""))</f>
        <v>0.47368419797796957</v>
      </c>
      <c r="K112" s="97">
        <f>IF($A112="","",IFERROR(INDEX(Data_Analitik!$Z$2:$Z$351,MATCH($A112,Data_Analitik!$AL$2:$AL$351,0)),""))</f>
        <v>0.52631578947368418</v>
      </c>
      <c r="L112" s="33" t="str">
        <f>IF($A112="","",IFERROR(INDEX(Data_Analitik!$AB$2:$AB$351,MATCH($A112,Data_Analitik!$AL$2:$AL$351,0)),""))</f>
        <v>Rusak Berat Dominan</v>
      </c>
    </row>
    <row r="113" spans="1:12" ht="21.95" customHeight="1" x14ac:dyDescent="0.25">
      <c r="A113" s="32">
        <f>IF(ROW()-9&lt;=SUM(Data_Analitik!$AK$2:$AK$351),ROW()-9,"")</f>
        <v>104</v>
      </c>
      <c r="B113" s="99" t="str">
        <f>IF($A113="","",IFERROR(INDEX(Data_Analitik!$B$2:$B$351,MATCH($A113,Data_Analitik!$AL$2:$AL$351,0)),""))</f>
        <v>104</v>
      </c>
      <c r="C113" s="101" t="str">
        <f>IF($A113="","",IFERROR(INDEX(Data_Analitik!$C$2:$C$351,MATCH($A113,Data_Analitik!$AL$2:$AL$351,0)),""))</f>
        <v>Tanjungan - Sp. 3 Sakijang</v>
      </c>
      <c r="D113" s="101" t="str">
        <f>IF($A113="","",IFERROR(INDEX(Data_Analitik!$D$2:$D$351,MATCH($A113,Data_Analitik!$AL$2:$AL$351,0)),""))</f>
        <v>Sungai Raya</v>
      </c>
      <c r="E113" s="100">
        <f>IF($A113="","",IFERROR(INDEX(Data_Analitik!$E$2:$E$351,MATCH($A113,Data_Analitik!$AL$2:$AL$351,0)),""))</f>
        <v>1.59</v>
      </c>
      <c r="F113" s="97">
        <f>IF($A113="","",IFERROR(INDEX(Data_Analitik!$P$2:$P$351,MATCH($A113,Data_Analitik!$AL$2:$AL$351,0)),""))</f>
        <v>0</v>
      </c>
      <c r="G113" s="97">
        <f>IF($A113="","",IFERROR(INDEX(Data_Analitik!$R$2:$R$351,MATCH($A113,Data_Analitik!$AL$2:$AL$351,0)),""))</f>
        <v>6.2893082698186234E-2</v>
      </c>
      <c r="H113" s="97">
        <f>IF($A113="","",IFERROR(INDEX(Data_Analitik!$T$2:$T$351,MATCH($A113,Data_Analitik!$AL$2:$AL$351,0)),""))</f>
        <v>0.31446540880503143</v>
      </c>
      <c r="I113" s="97">
        <f>IF($A113="","",IFERROR(INDEX(Data_Analitik!$V$2:$V$351,MATCH($A113,Data_Analitik!$AL$2:$AL$351,0)),""))</f>
        <v>0.62264151543191393</v>
      </c>
      <c r="J113" s="97">
        <f>IF($A113="","",IFERROR(INDEX(Data_Analitik!$X$2:$X$351,MATCH($A113,Data_Analitik!$AL$2:$AL$351,0)),""))</f>
        <v>6.2893082698186234E-2</v>
      </c>
      <c r="K113" s="97">
        <f>IF($A113="","",IFERROR(INDEX(Data_Analitik!$Z$2:$Z$351,MATCH($A113,Data_Analitik!$AL$2:$AL$351,0)),""))</f>
        <v>0.9371069242369453</v>
      </c>
      <c r="L113" s="33" t="str">
        <f>IF($A113="","",IFERROR(INDEX(Data_Analitik!$AB$2:$AB$351,MATCH($A113,Data_Analitik!$AL$2:$AL$351,0)),""))</f>
        <v>Rusak Berat Dominan</v>
      </c>
    </row>
    <row r="114" spans="1:12" ht="21.95" customHeight="1" x14ac:dyDescent="0.25">
      <c r="A114" s="32">
        <f>IF(ROW()-9&lt;=SUM(Data_Analitik!$AK$2:$AK$351),ROW()-9,"")</f>
        <v>105</v>
      </c>
      <c r="B114" s="99" t="str">
        <f>IF($A114="","",IFERROR(INDEX(Data_Analitik!$B$2:$B$351,MATCH($A114,Data_Analitik!$AL$2:$AL$351,0)),""))</f>
        <v>105</v>
      </c>
      <c r="C114" s="101" t="str">
        <f>IF($A114="","",IFERROR(INDEX(Data_Analitik!$C$2:$C$351,MATCH($A114,Data_Analitik!$AL$2:$AL$351,0)),""))</f>
        <v>Sarang Halang Padang - Sp. Batang Kulur</v>
      </c>
      <c r="D114" s="101" t="str">
        <f>IF($A114="","",IFERROR(INDEX(Data_Analitik!$D$2:$D$351,MATCH($A114,Data_Analitik!$AL$2:$AL$351,0)),""))</f>
        <v>Sungai Raya</v>
      </c>
      <c r="E114" s="100">
        <f>IF($A114="","",IFERROR(INDEX(Data_Analitik!$E$2:$E$351,MATCH($A114,Data_Analitik!$AL$2:$AL$351,0)),""))</f>
        <v>2.11</v>
      </c>
      <c r="F114" s="97">
        <f>IF($A114="","",IFERROR(INDEX(Data_Analitik!$P$2:$P$351,MATCH($A114,Data_Analitik!$AL$2:$AL$351,0)),""))</f>
        <v>0.23696682464454977</v>
      </c>
      <c r="G114" s="97">
        <f>IF($A114="","",IFERROR(INDEX(Data_Analitik!$R$2:$R$351,MATCH($A114,Data_Analitik!$AL$2:$AL$351,0)),""))</f>
        <v>0.52606635749057573</v>
      </c>
      <c r="H114" s="97">
        <f>IF($A114="","",IFERROR(INDEX(Data_Analitik!$T$2:$T$351,MATCH($A114,Data_Analitik!$AL$2:$AL$351,0)),""))</f>
        <v>9.478673127025225E-2</v>
      </c>
      <c r="I114" s="97">
        <f>IF($A114="","",IFERROR(INDEX(Data_Analitik!$V$2:$V$351,MATCH($A114,Data_Analitik!$AL$2:$AL$351,0)),""))</f>
        <v>0.14218010043645923</v>
      </c>
      <c r="J114" s="97">
        <f>IF($A114="","",IFERROR(INDEX(Data_Analitik!$X$2:$X$351,MATCH($A114,Data_Analitik!$AL$2:$AL$351,0)),""))</f>
        <v>0.7630331821351255</v>
      </c>
      <c r="K114" s="97">
        <f>IF($A114="","",IFERROR(INDEX(Data_Analitik!$Z$2:$Z$351,MATCH($A114,Data_Analitik!$AL$2:$AL$351,0)),""))</f>
        <v>0.23696683170671148</v>
      </c>
      <c r="L114" s="33" t="str">
        <f>IF($A114="","",IFERROR(INDEX(Data_Analitik!$AB$2:$AB$351,MATCH($A114,Data_Analitik!$AL$2:$AL$351,0)),""))</f>
        <v>Tidak Mantap Sedang</v>
      </c>
    </row>
    <row r="115" spans="1:12" ht="21.95" customHeight="1" x14ac:dyDescent="0.25">
      <c r="A115" s="32">
        <f>IF(ROW()-9&lt;=SUM(Data_Analitik!$AK$2:$AK$351),ROW()-9,"")</f>
        <v>106</v>
      </c>
      <c r="B115" s="99" t="str">
        <f>IF($A115="","",IFERROR(INDEX(Data_Analitik!$B$2:$B$351,MATCH($A115,Data_Analitik!$AL$2:$AL$351,0)),""))</f>
        <v>106</v>
      </c>
      <c r="C115" s="101" t="str">
        <f>IF($A115="","",IFERROR(INDEX(Data_Analitik!$C$2:$C$351,MATCH($A115,Data_Analitik!$AL$2:$AL$351,0)),""))</f>
        <v>Hamalau - Ganda</v>
      </c>
      <c r="D115" s="101" t="str">
        <f>IF($A115="","",IFERROR(INDEX(Data_Analitik!$D$2:$D$351,MATCH($A115,Data_Analitik!$AL$2:$AL$351,0)),""))</f>
        <v>Sungai Raya - Kandangan</v>
      </c>
      <c r="E115" s="100">
        <f>IF($A115="","",IFERROR(INDEX(Data_Analitik!$E$2:$E$351,MATCH($A115,Data_Analitik!$AL$2:$AL$351,0)),""))</f>
        <v>1.17</v>
      </c>
      <c r="F115" s="97">
        <f>IF($A115="","",IFERROR(INDEX(Data_Analitik!$P$2:$P$351,MATCH($A115,Data_Analitik!$AL$2:$AL$351,0)),""))</f>
        <v>0</v>
      </c>
      <c r="G115" s="97">
        <f>IF($A115="","",IFERROR(INDEX(Data_Analitik!$R$2:$R$351,MATCH($A115,Data_Analitik!$AL$2:$AL$351,0)),""))</f>
        <v>0.42735042735042739</v>
      </c>
      <c r="H115" s="97">
        <f>IF($A115="","",IFERROR(INDEX(Data_Analitik!$T$2:$T$351,MATCH($A115,Data_Analitik!$AL$2:$AL$351,0)),""))</f>
        <v>0.57264958691393208</v>
      </c>
      <c r="I115" s="97">
        <f>IF($A115="","",IFERROR(INDEX(Data_Analitik!$V$2:$V$351,MATCH($A115,Data_Analitik!$AL$2:$AL$351,0)),""))</f>
        <v>0</v>
      </c>
      <c r="J115" s="97">
        <f>IF($A115="","",IFERROR(INDEX(Data_Analitik!$X$2:$X$351,MATCH($A115,Data_Analitik!$AL$2:$AL$351,0)),""))</f>
        <v>0.42735042735042739</v>
      </c>
      <c r="K115" s="97">
        <f>IF($A115="","",IFERROR(INDEX(Data_Analitik!$Z$2:$Z$351,MATCH($A115,Data_Analitik!$AL$2:$AL$351,0)),""))</f>
        <v>0.57264958691393208</v>
      </c>
      <c r="L115" s="33" t="str">
        <f>IF($A115="","",IFERROR(INDEX(Data_Analitik!$AB$2:$AB$351,MATCH($A115,Data_Analitik!$AL$2:$AL$351,0)),""))</f>
        <v>Tidak Mantap Tinggi</v>
      </c>
    </row>
    <row r="116" spans="1:12" ht="21.95" customHeight="1" x14ac:dyDescent="0.25">
      <c r="A116" s="32">
        <f>IF(ROW()-9&lt;=SUM(Data_Analitik!$AK$2:$AK$351),ROW()-9,"")</f>
        <v>107</v>
      </c>
      <c r="B116" s="99" t="str">
        <f>IF($A116="","",IFERROR(INDEX(Data_Analitik!$B$2:$B$351,MATCH($A116,Data_Analitik!$AL$2:$AL$351,0)),""))</f>
        <v>107</v>
      </c>
      <c r="C116" s="101" t="str">
        <f>IF($A116="","",IFERROR(INDEX(Data_Analitik!$C$2:$C$351,MATCH($A116,Data_Analitik!$AL$2:$AL$351,0)),""))</f>
        <v>Tamiyang - Ds. Tamiyang (Eks TMMD)</v>
      </c>
      <c r="D116" s="101" t="str">
        <f>IF($A116="","",IFERROR(INDEX(Data_Analitik!$D$2:$D$351,MATCH($A116,Data_Analitik!$AL$2:$AL$351,0)),""))</f>
        <v>Sungai Raya</v>
      </c>
      <c r="E116" s="100">
        <f>IF($A116="","",IFERROR(INDEX(Data_Analitik!$E$2:$E$351,MATCH($A116,Data_Analitik!$AL$2:$AL$351,0)),""))</f>
        <v>2.04</v>
      </c>
      <c r="F116" s="97">
        <f>IF($A116="","",IFERROR(INDEX(Data_Analitik!$P$2:$P$351,MATCH($A116,Data_Analitik!$AL$2:$AL$351,0)),""))</f>
        <v>0</v>
      </c>
      <c r="G116" s="97">
        <f>IF($A116="","",IFERROR(INDEX(Data_Analitik!$R$2:$R$351,MATCH($A116,Data_Analitik!$AL$2:$AL$351,0)),""))</f>
        <v>0</v>
      </c>
      <c r="H116" s="97">
        <f>IF($A116="","",IFERROR(INDEX(Data_Analitik!$T$2:$T$351,MATCH($A116,Data_Analitik!$AL$2:$AL$351,0)),""))</f>
        <v>0</v>
      </c>
      <c r="I116" s="97">
        <f>IF($A116="","",IFERROR(INDEX(Data_Analitik!$V$2:$V$351,MATCH($A116,Data_Analitik!$AL$2:$AL$351,0)),""))</f>
        <v>0.9999999813005036</v>
      </c>
      <c r="J116" s="97">
        <f>IF($A116="","",IFERROR(INDEX(Data_Analitik!$X$2:$X$351,MATCH($A116,Data_Analitik!$AL$2:$AL$351,0)),""))</f>
        <v>0</v>
      </c>
      <c r="K116" s="97">
        <f>IF($A116="","",IFERROR(INDEX(Data_Analitik!$Z$2:$Z$351,MATCH($A116,Data_Analitik!$AL$2:$AL$351,0)),""))</f>
        <v>0.9999999813005036</v>
      </c>
      <c r="L116" s="33" t="str">
        <f>IF($A116="","",IFERROR(INDEX(Data_Analitik!$AB$2:$AB$351,MATCH($A116,Data_Analitik!$AL$2:$AL$351,0)),""))</f>
        <v>Rusak Berat Dominan</v>
      </c>
    </row>
    <row r="117" spans="1:12" ht="21.95" customHeight="1" x14ac:dyDescent="0.25">
      <c r="A117" s="32">
        <f>IF(ROW()-9&lt;=SUM(Data_Analitik!$AK$2:$AK$351),ROW()-9,"")</f>
        <v>108</v>
      </c>
      <c r="B117" s="99" t="str">
        <f>IF($A117="","",IFERROR(INDEX(Data_Analitik!$B$2:$B$351,MATCH($A117,Data_Analitik!$AL$2:$AL$351,0)),""))</f>
        <v>108</v>
      </c>
      <c r="C117" s="101" t="str">
        <f>IF($A117="","",IFERROR(INDEX(Data_Analitik!$C$2:$C$351,MATCH($A117,Data_Analitik!$AL$2:$AL$351,0)),""))</f>
        <v>Tanah Bangkang Menuju Balai Benih Ikan</v>
      </c>
      <c r="D117" s="101" t="str">
        <f>IF($A117="","",IFERROR(INDEX(Data_Analitik!$D$2:$D$351,MATCH($A117,Data_Analitik!$AL$2:$AL$351,0)),""))</f>
        <v>Sungai Raya</v>
      </c>
      <c r="E117" s="100">
        <f>IF($A117="","",IFERROR(INDEX(Data_Analitik!$E$2:$E$351,MATCH($A117,Data_Analitik!$AL$2:$AL$351,0)),""))</f>
        <v>0.66</v>
      </c>
      <c r="F117" s="97">
        <f>IF($A117="","",IFERROR(INDEX(Data_Analitik!$P$2:$P$351,MATCH($A117,Data_Analitik!$AL$2:$AL$351,0)),""))</f>
        <v>0</v>
      </c>
      <c r="G117" s="97">
        <f>IF($A117="","",IFERROR(INDEX(Data_Analitik!$R$2:$R$351,MATCH($A117,Data_Analitik!$AL$2:$AL$351,0)),""))</f>
        <v>0.3030303075458064</v>
      </c>
      <c r="H117" s="97">
        <f>IF($A117="","",IFERROR(INDEX(Data_Analitik!$T$2:$T$351,MATCH($A117,Data_Analitik!$AL$2:$AL$351,0)),""))</f>
        <v>0.1515151537729032</v>
      </c>
      <c r="I117" s="97">
        <f>IF($A117="","",IFERROR(INDEX(Data_Analitik!$V$2:$V$351,MATCH($A117,Data_Analitik!$AL$2:$AL$351,0)),""))</f>
        <v>0.54545456712896168</v>
      </c>
      <c r="J117" s="97">
        <f>IF($A117="","",IFERROR(INDEX(Data_Analitik!$X$2:$X$351,MATCH($A117,Data_Analitik!$AL$2:$AL$351,0)),""))</f>
        <v>0.3030303075458064</v>
      </c>
      <c r="K117" s="97">
        <f>IF($A117="","",IFERROR(INDEX(Data_Analitik!$Z$2:$Z$351,MATCH($A117,Data_Analitik!$AL$2:$AL$351,0)),""))</f>
        <v>0.69696972090186493</v>
      </c>
      <c r="L117" s="33" t="str">
        <f>IF($A117="","",IFERROR(INDEX(Data_Analitik!$AB$2:$AB$351,MATCH($A117,Data_Analitik!$AL$2:$AL$351,0)),""))</f>
        <v>Rusak Berat Dominan</v>
      </c>
    </row>
    <row r="118" spans="1:12" ht="21.95" customHeight="1" x14ac:dyDescent="0.25">
      <c r="A118" s="32">
        <f>IF(ROW()-9&lt;=SUM(Data_Analitik!$AK$2:$AK$351),ROW()-9,"")</f>
        <v>109</v>
      </c>
      <c r="B118" s="99" t="str">
        <f>IF($A118="","",IFERROR(INDEX(Data_Analitik!$B$2:$B$351,MATCH($A118,Data_Analitik!$AL$2:$AL$351,0)),""))</f>
        <v>109</v>
      </c>
      <c r="C118" s="101" t="str">
        <f>IF($A118="","",IFERROR(INDEX(Data_Analitik!$C$2:$C$351,MATCH($A118,Data_Analitik!$AL$2:$AL$351,0)),""))</f>
        <v>Karang Intan - Tanah Bangkang</v>
      </c>
      <c r="D118" s="101" t="str">
        <f>IF($A118="","",IFERROR(INDEX(Data_Analitik!$D$2:$D$351,MATCH($A118,Data_Analitik!$AL$2:$AL$351,0)),""))</f>
        <v>Sungai Raya</v>
      </c>
      <c r="E118" s="100">
        <f>IF($A118="","",IFERROR(INDEX(Data_Analitik!$E$2:$E$351,MATCH($A118,Data_Analitik!$AL$2:$AL$351,0)),""))</f>
        <v>1.1100000000000001</v>
      </c>
      <c r="F118" s="97">
        <f>IF($A118="","",IFERROR(INDEX(Data_Analitik!$P$2:$P$351,MATCH($A118,Data_Analitik!$AL$2:$AL$351,0)),""))</f>
        <v>0</v>
      </c>
      <c r="G118" s="97">
        <f>IF($A118="","",IFERROR(INDEX(Data_Analitik!$R$2:$R$351,MATCH($A118,Data_Analitik!$AL$2:$AL$351,0)),""))</f>
        <v>1.0000000128874906</v>
      </c>
      <c r="H118" s="97">
        <f>IF($A118="","",IFERROR(INDEX(Data_Analitik!$T$2:$T$351,MATCH($A118,Data_Analitik!$AL$2:$AL$351,0)),""))</f>
        <v>0</v>
      </c>
      <c r="I118" s="97">
        <f>IF($A118="","",IFERROR(INDEX(Data_Analitik!$V$2:$V$351,MATCH($A118,Data_Analitik!$AL$2:$AL$351,0)),""))</f>
        <v>0</v>
      </c>
      <c r="J118" s="97">
        <f>IF($A118="","",IFERROR(INDEX(Data_Analitik!$X$2:$X$351,MATCH($A118,Data_Analitik!$AL$2:$AL$351,0)),""))</f>
        <v>1.0000000128874906</v>
      </c>
      <c r="K118" s="97">
        <f>IF($A118="","",IFERROR(INDEX(Data_Analitik!$Z$2:$Z$351,MATCH($A118,Data_Analitik!$AL$2:$AL$351,0)),""))</f>
        <v>0</v>
      </c>
      <c r="L118" s="33" t="str">
        <f>IF($A118="","",IFERROR(INDEX(Data_Analitik!$AB$2:$AB$351,MATCH($A118,Data_Analitik!$AL$2:$AL$351,0)),""))</f>
        <v>Relatif Mantap</v>
      </c>
    </row>
    <row r="119" spans="1:12" ht="21.95" customHeight="1" x14ac:dyDescent="0.25">
      <c r="A119" s="32">
        <f>IF(ROW()-9&lt;=SUM(Data_Analitik!$AK$2:$AK$351),ROW()-9,"")</f>
        <v>110</v>
      </c>
      <c r="B119" s="99" t="str">
        <f>IF($A119="","",IFERROR(INDEX(Data_Analitik!$B$2:$B$351,MATCH($A119,Data_Analitik!$AL$2:$AL$351,0)),""))</f>
        <v>110</v>
      </c>
      <c r="C119" s="101" t="str">
        <f>IF($A119="","",IFERROR(INDEX(Data_Analitik!$C$2:$C$351,MATCH($A119,Data_Analitik!$AL$2:$AL$351,0)),""))</f>
        <v>Jl. Haritas (PT. Pertani)</v>
      </c>
      <c r="D119" s="101" t="str">
        <f>IF($A119="","",IFERROR(INDEX(Data_Analitik!$D$2:$D$351,MATCH($A119,Data_Analitik!$AL$2:$AL$351,0)),""))</f>
        <v>Sungai Raya</v>
      </c>
      <c r="E119" s="100">
        <f>IF($A119="","",IFERROR(INDEX(Data_Analitik!$E$2:$E$351,MATCH($A119,Data_Analitik!$AL$2:$AL$351,0)),""))</f>
        <v>0.64</v>
      </c>
      <c r="F119" s="97">
        <f>IF($A119="","",IFERROR(INDEX(Data_Analitik!$P$2:$P$351,MATCH($A119,Data_Analitik!$AL$2:$AL$351,0)),""))</f>
        <v>0.31250000465661287</v>
      </c>
      <c r="G119" s="97">
        <f>IF($A119="","",IFERROR(INDEX(Data_Analitik!$R$2:$R$351,MATCH($A119,Data_Analitik!$AL$2:$AL$351,0)),""))</f>
        <v>0.6874999962747097</v>
      </c>
      <c r="H119" s="97">
        <f>IF($A119="","",IFERROR(INDEX(Data_Analitik!$T$2:$T$351,MATCH($A119,Data_Analitik!$AL$2:$AL$351,0)),""))</f>
        <v>0</v>
      </c>
      <c r="I119" s="97">
        <f>IF($A119="","",IFERROR(INDEX(Data_Analitik!$V$2:$V$351,MATCH($A119,Data_Analitik!$AL$2:$AL$351,0)),""))</f>
        <v>0</v>
      </c>
      <c r="J119" s="97">
        <f>IF($A119="","",IFERROR(INDEX(Data_Analitik!$X$2:$X$351,MATCH($A119,Data_Analitik!$AL$2:$AL$351,0)),""))</f>
        <v>1.0000000009313226</v>
      </c>
      <c r="K119" s="97">
        <f>IF($A119="","",IFERROR(INDEX(Data_Analitik!$Z$2:$Z$351,MATCH($A119,Data_Analitik!$AL$2:$AL$351,0)),""))</f>
        <v>0</v>
      </c>
      <c r="L119" s="33" t="str">
        <f>IF($A119="","",IFERROR(INDEX(Data_Analitik!$AB$2:$AB$351,MATCH($A119,Data_Analitik!$AL$2:$AL$351,0)),""))</f>
        <v>Relatif Mantap</v>
      </c>
    </row>
    <row r="120" spans="1:12" ht="21.95" customHeight="1" x14ac:dyDescent="0.25">
      <c r="A120" s="32">
        <f>IF(ROW()-9&lt;=SUM(Data_Analitik!$AK$2:$AK$351),ROW()-9,"")</f>
        <v>111</v>
      </c>
      <c r="B120" s="99" t="str">
        <f>IF($A120="","",IFERROR(INDEX(Data_Analitik!$B$2:$B$351,MATCH($A120,Data_Analitik!$AL$2:$AL$351,0)),""))</f>
        <v>111</v>
      </c>
      <c r="C120" s="101" t="str">
        <f>IF($A120="","",IFERROR(INDEX(Data_Analitik!$C$2:$C$351,MATCH($A120,Data_Analitik!$AL$2:$AL$351,0)),""))</f>
        <v>Paharuangan - Sei. Raya Selatan</v>
      </c>
      <c r="D120" s="101" t="str">
        <f>IF($A120="","",IFERROR(INDEX(Data_Analitik!$D$2:$D$351,MATCH($A120,Data_Analitik!$AL$2:$AL$351,0)),""))</f>
        <v>Sungai Raya</v>
      </c>
      <c r="E120" s="100">
        <f>IF($A120="","",IFERROR(INDEX(Data_Analitik!$E$2:$E$351,MATCH($A120,Data_Analitik!$AL$2:$AL$351,0)),""))</f>
        <v>1.96</v>
      </c>
      <c r="F120" s="97">
        <f>IF($A120="","",IFERROR(INDEX(Data_Analitik!$P$2:$P$351,MATCH($A120,Data_Analitik!$AL$2:$AL$351,0)),""))</f>
        <v>0.30612246114380504</v>
      </c>
      <c r="G120" s="97">
        <f>IF($A120="","",IFERROR(INDEX(Data_Analitik!$R$2:$R$351,MATCH($A120,Data_Analitik!$AL$2:$AL$351,0)),""))</f>
        <v>0.40816327138822905</v>
      </c>
      <c r="H120" s="97">
        <f>IF($A120="","",IFERROR(INDEX(Data_Analitik!$T$2:$T$351,MATCH($A120,Data_Analitik!$AL$2:$AL$351,0)),""))</f>
        <v>0.23469388180849504</v>
      </c>
      <c r="I120" s="97">
        <f>IF($A120="","",IFERROR(INDEX(Data_Analitik!$V$2:$V$351,MATCH($A120,Data_Analitik!$AL$2:$AL$351,0)),""))</f>
        <v>5.1020408923528632E-2</v>
      </c>
      <c r="J120" s="97">
        <f>IF($A120="","",IFERROR(INDEX(Data_Analitik!$X$2:$X$351,MATCH($A120,Data_Analitik!$AL$2:$AL$351,0)),""))</f>
        <v>0.71428573253203409</v>
      </c>
      <c r="K120" s="97">
        <f>IF($A120="","",IFERROR(INDEX(Data_Analitik!$Z$2:$Z$351,MATCH($A120,Data_Analitik!$AL$2:$AL$351,0)),""))</f>
        <v>0.28571429073202365</v>
      </c>
      <c r="L120" s="33" t="str">
        <f>IF($A120="","",IFERROR(INDEX(Data_Analitik!$AB$2:$AB$351,MATCH($A120,Data_Analitik!$AL$2:$AL$351,0)),""))</f>
        <v>Tidak Mantap Sedang</v>
      </c>
    </row>
    <row r="121" spans="1:12" ht="21.95" customHeight="1" x14ac:dyDescent="0.25">
      <c r="A121" s="32">
        <f>IF(ROW()-9&lt;=SUM(Data_Analitik!$AK$2:$AK$351),ROW()-9,"")</f>
        <v>112</v>
      </c>
      <c r="B121" s="99" t="str">
        <f>IF($A121="","",IFERROR(INDEX(Data_Analitik!$B$2:$B$351,MATCH($A121,Data_Analitik!$AL$2:$AL$351,0)),""))</f>
        <v>112</v>
      </c>
      <c r="C121" s="101" t="str">
        <f>IF($A121="","",IFERROR(INDEX(Data_Analitik!$C$2:$C$351,MATCH($A121,Data_Analitik!$AL$2:$AL$351,0)),""))</f>
        <v>Jl. Bangga TMMD</v>
      </c>
      <c r="D121" s="101" t="str">
        <f>IF($A121="","",IFERROR(INDEX(Data_Analitik!$D$2:$D$351,MATCH($A121,Data_Analitik!$AL$2:$AL$351,0)),""))</f>
        <v>Sungai Raya</v>
      </c>
      <c r="E121" s="100">
        <f>IF($A121="","",IFERROR(INDEX(Data_Analitik!$E$2:$E$351,MATCH($A121,Data_Analitik!$AL$2:$AL$351,0)),""))</f>
        <v>0.79</v>
      </c>
      <c r="F121" s="97">
        <f>IF($A121="","",IFERROR(INDEX(Data_Analitik!$P$2:$P$351,MATCH($A121,Data_Analitik!$AL$2:$AL$351,0)),""))</f>
        <v>0</v>
      </c>
      <c r="G121" s="97">
        <f>IF($A121="","",IFERROR(INDEX(Data_Analitik!$R$2:$R$351,MATCH($A121,Data_Analitik!$AL$2:$AL$351,0)),""))</f>
        <v>0</v>
      </c>
      <c r="H121" s="97">
        <f>IF($A121="","",IFERROR(INDEX(Data_Analitik!$T$2:$T$351,MATCH($A121,Data_Analitik!$AL$2:$AL$351,0)),""))</f>
        <v>1.0000000271616103</v>
      </c>
      <c r="I121" s="97">
        <f>IF($A121="","",IFERROR(INDEX(Data_Analitik!$V$2:$V$351,MATCH($A121,Data_Analitik!$AL$2:$AL$351,0)),""))</f>
        <v>0</v>
      </c>
      <c r="J121" s="97">
        <f>IF($A121="","",IFERROR(INDEX(Data_Analitik!$X$2:$X$351,MATCH($A121,Data_Analitik!$AL$2:$AL$351,0)),""))</f>
        <v>0</v>
      </c>
      <c r="K121" s="97">
        <f>IF($A121="","",IFERROR(INDEX(Data_Analitik!$Z$2:$Z$351,MATCH($A121,Data_Analitik!$AL$2:$AL$351,0)),""))</f>
        <v>1.0000000271616103</v>
      </c>
      <c r="L121" s="33" t="str">
        <f>IF($A121="","",IFERROR(INDEX(Data_Analitik!$AB$2:$AB$351,MATCH($A121,Data_Analitik!$AL$2:$AL$351,0)),""))</f>
        <v>Tidak Mantap Tinggi</v>
      </c>
    </row>
    <row r="122" spans="1:12" ht="21.95" customHeight="1" x14ac:dyDescent="0.25">
      <c r="A122" s="32">
        <f>IF(ROW()-9&lt;=SUM(Data_Analitik!$AK$2:$AK$351),ROW()-9,"")</f>
        <v>113</v>
      </c>
      <c r="B122" s="99" t="str">
        <f>IF($A122="","",IFERROR(INDEX(Data_Analitik!$B$2:$B$351,MATCH($A122,Data_Analitik!$AL$2:$AL$351,0)),""))</f>
        <v>113</v>
      </c>
      <c r="C122" s="101" t="str">
        <f>IF($A122="","",IFERROR(INDEX(Data_Analitik!$C$2:$C$351,MATCH($A122,Data_Analitik!$AL$2:$AL$351,0)),""))</f>
        <v>Batang Kulur Kiri - Durian Landung</v>
      </c>
      <c r="D122" s="101" t="str">
        <f>IF($A122="","",IFERROR(INDEX(Data_Analitik!$D$2:$D$351,MATCH($A122,Data_Analitik!$AL$2:$AL$351,0)),""))</f>
        <v>Sungai Raya</v>
      </c>
      <c r="E122" s="100">
        <f>IF($A122="","",IFERROR(INDEX(Data_Analitik!$E$2:$E$351,MATCH($A122,Data_Analitik!$AL$2:$AL$351,0)),""))</f>
        <v>0.55000000000000004</v>
      </c>
      <c r="F122" s="97">
        <f>IF($A122="","",IFERROR(INDEX(Data_Analitik!$P$2:$P$351,MATCH($A122,Data_Analitik!$AL$2:$AL$351,0)),""))</f>
        <v>0.81818179650740186</v>
      </c>
      <c r="G122" s="97">
        <f>IF($A122="","",IFERROR(INDEX(Data_Analitik!$R$2:$R$351,MATCH($A122,Data_Analitik!$AL$2:$AL$351,0)),""))</f>
        <v>0.18181818452748383</v>
      </c>
      <c r="H122" s="97">
        <f>IF($A122="","",IFERROR(INDEX(Data_Analitik!$T$2:$T$351,MATCH($A122,Data_Analitik!$AL$2:$AL$351,0)),""))</f>
        <v>0</v>
      </c>
      <c r="I122" s="97">
        <f>IF($A122="","",IFERROR(INDEX(Data_Analitik!$V$2:$V$351,MATCH($A122,Data_Analitik!$AL$2:$AL$351,0)),""))</f>
        <v>0</v>
      </c>
      <c r="J122" s="97">
        <f>IF($A122="","",IFERROR(INDEX(Data_Analitik!$X$2:$X$351,MATCH($A122,Data_Analitik!$AL$2:$AL$351,0)),""))</f>
        <v>0.99999998103488563</v>
      </c>
      <c r="K122" s="97">
        <f>IF($A122="","",IFERROR(INDEX(Data_Analitik!$Z$2:$Z$351,MATCH($A122,Data_Analitik!$AL$2:$AL$351,0)),""))</f>
        <v>0</v>
      </c>
      <c r="L122" s="33" t="str">
        <f>IF($A122="","",IFERROR(INDEX(Data_Analitik!$AB$2:$AB$351,MATCH($A122,Data_Analitik!$AL$2:$AL$351,0)),""))</f>
        <v>Relatif Mantap</v>
      </c>
    </row>
    <row r="123" spans="1:12" ht="21.95" customHeight="1" x14ac:dyDescent="0.25">
      <c r="A123" s="32">
        <f>IF(ROW()-9&lt;=SUM(Data_Analitik!$AK$2:$AK$351),ROW()-9,"")</f>
        <v>114</v>
      </c>
      <c r="B123" s="99" t="str">
        <f>IF($A123="","",IFERROR(INDEX(Data_Analitik!$B$2:$B$351,MATCH($A123,Data_Analitik!$AL$2:$AL$351,0)),""))</f>
        <v>114</v>
      </c>
      <c r="C123" s="101" t="str">
        <f>IF($A123="","",IFERROR(INDEX(Data_Analitik!$C$2:$C$351,MATCH($A123,Data_Analitik!$AL$2:$AL$351,0)),""))</f>
        <v>Jl. Taminung</v>
      </c>
      <c r="D123" s="101" t="str">
        <f>IF($A123="","",IFERROR(INDEX(Data_Analitik!$D$2:$D$351,MATCH($A123,Data_Analitik!$AL$2:$AL$351,0)),""))</f>
        <v>Sungai Raya</v>
      </c>
      <c r="E123" s="100">
        <f>IF($A123="","",IFERROR(INDEX(Data_Analitik!$E$2:$E$351,MATCH($A123,Data_Analitik!$AL$2:$AL$351,0)),""))</f>
        <v>2.02</v>
      </c>
      <c r="F123" s="97">
        <f>IF($A123="","",IFERROR(INDEX(Data_Analitik!$P$2:$P$351,MATCH($A123,Data_Analitik!$AL$2:$AL$351,0)),""))</f>
        <v>0</v>
      </c>
      <c r="G123" s="97">
        <f>IF($A123="","",IFERROR(INDEX(Data_Analitik!$R$2:$R$351,MATCH($A123,Data_Analitik!$AL$2:$AL$351,0)),""))</f>
        <v>0.99009900990099009</v>
      </c>
      <c r="H123" s="97">
        <f>IF($A123="","",IFERROR(INDEX(Data_Analitik!$T$2:$T$351,MATCH($A123,Data_Analitik!$AL$2:$AL$351,0)),""))</f>
        <v>0</v>
      </c>
      <c r="I123" s="97">
        <f>IF($A123="","",IFERROR(INDEX(Data_Analitik!$V$2:$V$351,MATCH($A123,Data_Analitik!$AL$2:$AL$351,0)),""))</f>
        <v>9.900989877705527E-3</v>
      </c>
      <c r="J123" s="97">
        <f>IF($A123="","",IFERROR(INDEX(Data_Analitik!$X$2:$X$351,MATCH($A123,Data_Analitik!$AL$2:$AL$351,0)),""))</f>
        <v>0.99009900990099009</v>
      </c>
      <c r="K123" s="97">
        <f>IF($A123="","",IFERROR(INDEX(Data_Analitik!$Z$2:$Z$351,MATCH($A123,Data_Analitik!$AL$2:$AL$351,0)),""))</f>
        <v>9.900989877705527E-3</v>
      </c>
      <c r="L123" s="33" t="str">
        <f>IF($A123="","",IFERROR(INDEX(Data_Analitik!$AB$2:$AB$351,MATCH($A123,Data_Analitik!$AL$2:$AL$351,0)),""))</f>
        <v>Relatif Mantap</v>
      </c>
    </row>
    <row r="124" spans="1:12" ht="21.95" customHeight="1" x14ac:dyDescent="0.25">
      <c r="A124" s="32">
        <f>IF(ROW()-9&lt;=SUM(Data_Analitik!$AK$2:$AK$351),ROW()-9,"")</f>
        <v>115</v>
      </c>
      <c r="B124" s="99" t="str">
        <f>IF($A124="","",IFERROR(INDEX(Data_Analitik!$B$2:$B$351,MATCH($A124,Data_Analitik!$AL$2:$AL$351,0)),""))</f>
        <v>115</v>
      </c>
      <c r="C124" s="101" t="str">
        <f>IF($A124="","",IFERROR(INDEX(Data_Analitik!$C$2:$C$351,MATCH($A124,Data_Analitik!$AL$2:$AL$351,0)),""))</f>
        <v>Matang Gadung - Halalang</v>
      </c>
      <c r="D124" s="101" t="str">
        <f>IF($A124="","",IFERROR(INDEX(Data_Analitik!$D$2:$D$351,MATCH($A124,Data_Analitik!$AL$2:$AL$351,0)),""))</f>
        <v>Sungai Raya</v>
      </c>
      <c r="E124" s="100">
        <f>IF($A124="","",IFERROR(INDEX(Data_Analitik!$E$2:$E$351,MATCH($A124,Data_Analitik!$AL$2:$AL$351,0)),""))</f>
        <v>0.42</v>
      </c>
      <c r="F124" s="97">
        <f>IF($A124="","",IFERROR(INDEX(Data_Analitik!$P$2:$P$351,MATCH($A124,Data_Analitik!$AL$2:$AL$351,0)),""))</f>
        <v>0.99999996877851949</v>
      </c>
      <c r="G124" s="97">
        <f>IF($A124="","",IFERROR(INDEX(Data_Analitik!$R$2:$R$351,MATCH($A124,Data_Analitik!$AL$2:$AL$351,0)),""))</f>
        <v>0</v>
      </c>
      <c r="H124" s="97">
        <f>IF($A124="","",IFERROR(INDEX(Data_Analitik!$T$2:$T$351,MATCH($A124,Data_Analitik!$AL$2:$AL$351,0)),""))</f>
        <v>0</v>
      </c>
      <c r="I124" s="97">
        <f>IF($A124="","",IFERROR(INDEX(Data_Analitik!$V$2:$V$351,MATCH($A124,Data_Analitik!$AL$2:$AL$351,0)),""))</f>
        <v>0</v>
      </c>
      <c r="J124" s="97">
        <f>IF($A124="","",IFERROR(INDEX(Data_Analitik!$X$2:$X$351,MATCH($A124,Data_Analitik!$AL$2:$AL$351,0)),""))</f>
        <v>0.99999996877851949</v>
      </c>
      <c r="K124" s="97">
        <f>IF($A124="","",IFERROR(INDEX(Data_Analitik!$Z$2:$Z$351,MATCH($A124,Data_Analitik!$AL$2:$AL$351,0)),""))</f>
        <v>0</v>
      </c>
      <c r="L124" s="33" t="str">
        <f>IF($A124="","",IFERROR(INDEX(Data_Analitik!$AB$2:$AB$351,MATCH($A124,Data_Analitik!$AL$2:$AL$351,0)),""))</f>
        <v>Relatif Mantap</v>
      </c>
    </row>
    <row r="125" spans="1:12" ht="21.95" customHeight="1" x14ac:dyDescent="0.25">
      <c r="A125" s="32">
        <f>IF(ROW()-9&lt;=SUM(Data_Analitik!$AK$2:$AK$351),ROW()-9,"")</f>
        <v>116</v>
      </c>
      <c r="B125" s="99" t="str">
        <f>IF($A125="","",IFERROR(INDEX(Data_Analitik!$B$2:$B$351,MATCH($A125,Data_Analitik!$AL$2:$AL$351,0)),""))</f>
        <v>116</v>
      </c>
      <c r="C125" s="101" t="str">
        <f>IF($A125="","",IFERROR(INDEX(Data_Analitik!$C$2:$C$351,MATCH($A125,Data_Analitik!$AL$2:$AL$351,0)),""))</f>
        <v>Sungai Raya Utara - Teluk Pinang 
				_x000D_</v>
      </c>
      <c r="D125" s="101" t="str">
        <f>IF($A125="","",IFERROR(INDEX(Data_Analitik!$D$2:$D$351,MATCH($A125,Data_Analitik!$AL$2:$AL$351,0)),""))</f>
        <v>Sungai Raya</v>
      </c>
      <c r="E125" s="100">
        <f>IF($A125="","",IFERROR(INDEX(Data_Analitik!$E$2:$E$351,MATCH($A125,Data_Analitik!$AL$2:$AL$351,0)),""))</f>
        <v>1.7</v>
      </c>
      <c r="F125" s="97">
        <f>IF($A125="","",IFERROR(INDEX(Data_Analitik!$P$2:$P$351,MATCH($A125,Data_Analitik!$AL$2:$AL$351,0)),""))</f>
        <v>0</v>
      </c>
      <c r="G125" s="97">
        <f>IF($A125="","",IFERROR(INDEX(Data_Analitik!$R$2:$R$351,MATCH($A125,Data_Analitik!$AL$2:$AL$351,0)),""))</f>
        <v>0.88235294117647056</v>
      </c>
      <c r="H125" s="97">
        <f>IF($A125="","",IFERROR(INDEX(Data_Analitik!$T$2:$T$351,MATCH($A125,Data_Analitik!$AL$2:$AL$351,0)),""))</f>
        <v>0.1176470605766072</v>
      </c>
      <c r="I125" s="97">
        <f>IF($A125="","",IFERROR(INDEX(Data_Analitik!$V$2:$V$351,MATCH($A125,Data_Analitik!$AL$2:$AL$351,0)),""))</f>
        <v>0</v>
      </c>
      <c r="J125" s="97">
        <f>IF($A125="","",IFERROR(INDEX(Data_Analitik!$X$2:$X$351,MATCH($A125,Data_Analitik!$AL$2:$AL$351,0)),""))</f>
        <v>0.88235294117647056</v>
      </c>
      <c r="K125" s="97">
        <f>IF($A125="","",IFERROR(INDEX(Data_Analitik!$Z$2:$Z$351,MATCH($A125,Data_Analitik!$AL$2:$AL$351,0)),""))</f>
        <v>0.1176470605766072</v>
      </c>
      <c r="L125" s="33" t="str">
        <f>IF($A125="","",IFERROR(INDEX(Data_Analitik!$AB$2:$AB$351,MATCH($A125,Data_Analitik!$AL$2:$AL$351,0)),""))</f>
        <v>Relatif Mantap</v>
      </c>
    </row>
    <row r="126" spans="1:12" ht="21.95" customHeight="1" x14ac:dyDescent="0.25">
      <c r="A126" s="32">
        <f>IF(ROW()-9&lt;=SUM(Data_Analitik!$AK$2:$AK$351),ROW()-9,"")</f>
        <v>117</v>
      </c>
      <c r="B126" s="99" t="str">
        <f>IF($A126="","",IFERROR(INDEX(Data_Analitik!$B$2:$B$351,MATCH($A126,Data_Analitik!$AL$2:$AL$351,0)),""))</f>
        <v>117</v>
      </c>
      <c r="C126" s="101" t="str">
        <f>IF($A126="","",IFERROR(INDEX(Data_Analitik!$C$2:$C$351,MATCH($A126,Data_Analitik!$AL$2:$AL$351,0)),""))</f>
        <v>Jl. Mangunang - Ds. Sungai Raya Utara</v>
      </c>
      <c r="D126" s="101" t="str">
        <f>IF($A126="","",IFERROR(INDEX(Data_Analitik!$D$2:$D$351,MATCH($A126,Data_Analitik!$AL$2:$AL$351,0)),""))</f>
        <v>Sungai Raya</v>
      </c>
      <c r="E126" s="100">
        <f>IF($A126="","",IFERROR(INDEX(Data_Analitik!$E$2:$E$351,MATCH($A126,Data_Analitik!$AL$2:$AL$351,0)),""))</f>
        <v>0.7</v>
      </c>
      <c r="F126" s="97">
        <f>IF($A126="","",IFERROR(INDEX(Data_Analitik!$P$2:$P$351,MATCH($A126,Data_Analitik!$AL$2:$AL$351,0)),""))</f>
        <v>0</v>
      </c>
      <c r="G126" s="97">
        <f>IF($A126="","",IFERROR(INDEX(Data_Analitik!$R$2:$R$351,MATCH($A126,Data_Analitik!$AL$2:$AL$351,0)),""))</f>
        <v>0.99999998297010151</v>
      </c>
      <c r="H126" s="97">
        <f>IF($A126="","",IFERROR(INDEX(Data_Analitik!$T$2:$T$351,MATCH($A126,Data_Analitik!$AL$2:$AL$351,0)),""))</f>
        <v>0</v>
      </c>
      <c r="I126" s="97">
        <f>IF($A126="","",IFERROR(INDEX(Data_Analitik!$V$2:$V$351,MATCH($A126,Data_Analitik!$AL$2:$AL$351,0)),""))</f>
        <v>0</v>
      </c>
      <c r="J126" s="97">
        <f>IF($A126="","",IFERROR(INDEX(Data_Analitik!$X$2:$X$351,MATCH($A126,Data_Analitik!$AL$2:$AL$351,0)),""))</f>
        <v>0.99999998297010151</v>
      </c>
      <c r="K126" s="97">
        <f>IF($A126="","",IFERROR(INDEX(Data_Analitik!$Z$2:$Z$351,MATCH($A126,Data_Analitik!$AL$2:$AL$351,0)),""))</f>
        <v>0</v>
      </c>
      <c r="L126" s="33" t="str">
        <f>IF($A126="","",IFERROR(INDEX(Data_Analitik!$AB$2:$AB$351,MATCH($A126,Data_Analitik!$AL$2:$AL$351,0)),""))</f>
        <v>Relatif Mantap</v>
      </c>
    </row>
    <row r="127" spans="1:12" ht="21.95" customHeight="1" x14ac:dyDescent="0.25">
      <c r="A127" s="32">
        <f>IF(ROW()-9&lt;=SUM(Data_Analitik!$AK$2:$AK$351),ROW()-9,"")</f>
        <v>118</v>
      </c>
      <c r="B127" s="99" t="str">
        <f>IF($A127="","",IFERROR(INDEX(Data_Analitik!$B$2:$B$351,MATCH($A127,Data_Analitik!$AL$2:$AL$351,0)),""))</f>
        <v>118</v>
      </c>
      <c r="C127" s="101" t="str">
        <f>IF($A127="","",IFERROR(INDEX(Data_Analitik!$C$2:$C$351,MATCH($A127,Data_Analitik!$AL$2:$AL$351,0)),""))</f>
        <v>Hamalau - Asam Cangkok</v>
      </c>
      <c r="D127" s="101" t="str">
        <f>IF($A127="","",IFERROR(INDEX(Data_Analitik!$D$2:$D$351,MATCH($A127,Data_Analitik!$AL$2:$AL$351,0)),""))</f>
        <v>Sungai Raya - Kandangan</v>
      </c>
      <c r="E127" s="100">
        <f>IF($A127="","",IFERROR(INDEX(Data_Analitik!$E$2:$E$351,MATCH($A127,Data_Analitik!$AL$2:$AL$351,0)),""))</f>
        <v>1.43</v>
      </c>
      <c r="F127" s="97">
        <f>IF($A127="","",IFERROR(INDEX(Data_Analitik!$P$2:$P$351,MATCH($A127,Data_Analitik!$AL$2:$AL$351,0)),""))</f>
        <v>0.65034965535143874</v>
      </c>
      <c r="G127" s="97">
        <f>IF($A127="","",IFERROR(INDEX(Data_Analitik!$R$2:$R$351,MATCH($A127,Data_Analitik!$AL$2:$AL$351,0)),""))</f>
        <v>0.34965034965034969</v>
      </c>
      <c r="H127" s="97">
        <f>IF($A127="","",IFERROR(INDEX(Data_Analitik!$T$2:$T$351,MATCH($A127,Data_Analitik!$AL$2:$AL$351,0)),""))</f>
        <v>0</v>
      </c>
      <c r="I127" s="97">
        <f>IF($A127="","",IFERROR(INDEX(Data_Analitik!$V$2:$V$351,MATCH($A127,Data_Analitik!$AL$2:$AL$351,0)),""))</f>
        <v>0</v>
      </c>
      <c r="J127" s="97">
        <f>IF($A127="","",IFERROR(INDEX(Data_Analitik!$X$2:$X$351,MATCH($A127,Data_Analitik!$AL$2:$AL$351,0)),""))</f>
        <v>1.0000000050017883</v>
      </c>
      <c r="K127" s="97">
        <f>IF($A127="","",IFERROR(INDEX(Data_Analitik!$Z$2:$Z$351,MATCH($A127,Data_Analitik!$AL$2:$AL$351,0)),""))</f>
        <v>0</v>
      </c>
      <c r="L127" s="33" t="str">
        <f>IF($A127="","",IFERROR(INDEX(Data_Analitik!$AB$2:$AB$351,MATCH($A127,Data_Analitik!$AL$2:$AL$351,0)),""))</f>
        <v>Relatif Mantap</v>
      </c>
    </row>
    <row r="128" spans="1:12" ht="21.95" customHeight="1" x14ac:dyDescent="0.25">
      <c r="A128" s="32">
        <f>IF(ROW()-9&lt;=SUM(Data_Analitik!$AK$2:$AK$351),ROW()-9,"")</f>
        <v>119</v>
      </c>
      <c r="B128" s="99" t="str">
        <f>IF($A128="","",IFERROR(INDEX(Data_Analitik!$B$2:$B$351,MATCH($A128,Data_Analitik!$AL$2:$AL$351,0)),""))</f>
        <v>119</v>
      </c>
      <c r="C128" s="101" t="str">
        <f>IF($A128="","",IFERROR(INDEX(Data_Analitik!$C$2:$C$351,MATCH($A128,Data_Analitik!$AL$2:$AL$351,0)),""))</f>
        <v>Hariti - Sungai Raya Selatan</v>
      </c>
      <c r="D128" s="101" t="str">
        <f>IF($A128="","",IFERROR(INDEX(Data_Analitik!$D$2:$D$351,MATCH($A128,Data_Analitik!$AL$2:$AL$351,0)),""))</f>
        <v>Sungai Raya</v>
      </c>
      <c r="E128" s="100">
        <f>IF($A128="","",IFERROR(INDEX(Data_Analitik!$E$2:$E$351,MATCH($A128,Data_Analitik!$AL$2:$AL$351,0)),""))</f>
        <v>2.66</v>
      </c>
      <c r="F128" s="97">
        <f>IF($A128="","",IFERROR(INDEX(Data_Analitik!$P$2:$P$351,MATCH($A128,Data_Analitik!$AL$2:$AL$351,0)),""))</f>
        <v>0</v>
      </c>
      <c r="G128" s="97">
        <f>IF($A128="","",IFERROR(INDEX(Data_Analitik!$R$2:$R$351,MATCH($A128,Data_Analitik!$AL$2:$AL$351,0)),""))</f>
        <v>0.15037594209040017</v>
      </c>
      <c r="H128" s="97">
        <f>IF($A128="","",IFERROR(INDEX(Data_Analitik!$T$2:$T$351,MATCH($A128,Data_Analitik!$AL$2:$AL$351,0)),""))</f>
        <v>0.11278195936877028</v>
      </c>
      <c r="I128" s="97">
        <f>IF($A128="","",IFERROR(INDEX(Data_Analitik!$V$2:$V$351,MATCH($A128,Data_Analitik!$AL$2:$AL$351,0)),""))</f>
        <v>0.73684211120121457</v>
      </c>
      <c r="J128" s="97">
        <f>IF($A128="","",IFERROR(INDEX(Data_Analitik!$X$2:$X$351,MATCH($A128,Data_Analitik!$AL$2:$AL$351,0)),""))</f>
        <v>0.15037594209040017</v>
      </c>
      <c r="K128" s="97">
        <f>IF($A128="","",IFERROR(INDEX(Data_Analitik!$Z$2:$Z$351,MATCH($A128,Data_Analitik!$AL$2:$AL$351,0)),""))</f>
        <v>0.8496240705699849</v>
      </c>
      <c r="L128" s="33" t="str">
        <f>IF($A128="","",IFERROR(INDEX(Data_Analitik!$AB$2:$AB$351,MATCH($A128,Data_Analitik!$AL$2:$AL$351,0)),""))</f>
        <v>Rusak Berat Dominan</v>
      </c>
    </row>
    <row r="129" spans="1:12" ht="21.95" customHeight="1" x14ac:dyDescent="0.25">
      <c r="A129" s="32">
        <f>IF(ROW()-9&lt;=SUM(Data_Analitik!$AK$2:$AK$351),ROW()-9,"")</f>
        <v>120</v>
      </c>
      <c r="B129" s="99" t="str">
        <f>IF($A129="","",IFERROR(INDEX(Data_Analitik!$B$2:$B$351,MATCH($A129,Data_Analitik!$AL$2:$AL$351,0)),""))</f>
        <v>120</v>
      </c>
      <c r="C129" s="101" t="str">
        <f>IF($A129="","",IFERROR(INDEX(Data_Analitik!$C$2:$C$351,MATCH($A129,Data_Analitik!$AL$2:$AL$351,0)),""))</f>
        <v>Mangaris - Limau Manis</v>
      </c>
      <c r="D129" s="101" t="str">
        <f>IF($A129="","",IFERROR(INDEX(Data_Analitik!$D$2:$D$351,MATCH($A129,Data_Analitik!$AL$2:$AL$351,0)),""))</f>
        <v>Sungai Raya</v>
      </c>
      <c r="E129" s="100">
        <f>IF($A129="","",IFERROR(INDEX(Data_Analitik!$E$2:$E$351,MATCH($A129,Data_Analitik!$AL$2:$AL$351,0)),""))</f>
        <v>4.0999999999999996</v>
      </c>
      <c r="F129" s="97">
        <f>IF($A129="","",IFERROR(INDEX(Data_Analitik!$P$2:$P$351,MATCH($A129,Data_Analitik!$AL$2:$AL$351,0)),""))</f>
        <v>0</v>
      </c>
      <c r="G129" s="97">
        <f>IF($A129="","",IFERROR(INDEX(Data_Analitik!$R$2:$R$351,MATCH($A129,Data_Analitik!$AL$2:$AL$351,0)),""))</f>
        <v>0</v>
      </c>
      <c r="H129" s="97">
        <f>IF($A129="","",IFERROR(INDEX(Data_Analitik!$T$2:$T$351,MATCH($A129,Data_Analitik!$AL$2:$AL$351,0)),""))</f>
        <v>0</v>
      </c>
      <c r="I129" s="97">
        <f>IF($A129="","",IFERROR(INDEX(Data_Analitik!$V$2:$V$351,MATCH($A129,Data_Analitik!$AL$2:$AL$351,0)),""))</f>
        <v>0.99999997673965091</v>
      </c>
      <c r="J129" s="97">
        <f>IF($A129="","",IFERROR(INDEX(Data_Analitik!$X$2:$X$351,MATCH($A129,Data_Analitik!$AL$2:$AL$351,0)),""))</f>
        <v>0</v>
      </c>
      <c r="K129" s="97">
        <f>IF($A129="","",IFERROR(INDEX(Data_Analitik!$Z$2:$Z$351,MATCH($A129,Data_Analitik!$AL$2:$AL$351,0)),""))</f>
        <v>0.99999997673965091</v>
      </c>
      <c r="L129" s="33" t="str">
        <f>IF($A129="","",IFERROR(INDEX(Data_Analitik!$AB$2:$AB$351,MATCH($A129,Data_Analitik!$AL$2:$AL$351,0)),""))</f>
        <v>Rusak Berat Dominan</v>
      </c>
    </row>
    <row r="130" spans="1:12" ht="21.95" customHeight="1" x14ac:dyDescent="0.25">
      <c r="A130" s="32">
        <f>IF(ROW()-9&lt;=SUM(Data_Analitik!$AK$2:$AK$351),ROW()-9,"")</f>
        <v>121</v>
      </c>
      <c r="B130" s="99" t="str">
        <f>IF($A130="","",IFERROR(INDEX(Data_Analitik!$B$2:$B$351,MATCH($A130,Data_Analitik!$AL$2:$AL$351,0)),""))</f>
        <v>121</v>
      </c>
      <c r="C130" s="101" t="str">
        <f>IF($A130="","",IFERROR(INDEX(Data_Analitik!$C$2:$C$351,MATCH($A130,Data_Analitik!$AL$2:$AL$351,0)),""))</f>
        <v>Jl. Munggu Raya - Ds. Hariti</v>
      </c>
      <c r="D130" s="101" t="str">
        <f>IF($A130="","",IFERROR(INDEX(Data_Analitik!$D$2:$D$351,MATCH($A130,Data_Analitik!$AL$2:$AL$351,0)),""))</f>
        <v>Sungai Raya</v>
      </c>
      <c r="E130" s="100">
        <f>IF($A130="","",IFERROR(INDEX(Data_Analitik!$E$2:$E$351,MATCH($A130,Data_Analitik!$AL$2:$AL$351,0)),""))</f>
        <v>0.46</v>
      </c>
      <c r="F130" s="97">
        <f>IF($A130="","",IFERROR(INDEX(Data_Analitik!$P$2:$P$351,MATCH($A130,Data_Analitik!$AL$2:$AL$351,0)),""))</f>
        <v>0.21739130758720895</v>
      </c>
      <c r="G130" s="97">
        <f>IF($A130="","",IFERROR(INDEX(Data_Analitik!$R$2:$R$351,MATCH($A130,Data_Analitik!$AL$2:$AL$351,0)),""))</f>
        <v>0.78260872675024939</v>
      </c>
      <c r="H130" s="97">
        <f>IF($A130="","",IFERROR(INDEX(Data_Analitik!$T$2:$T$351,MATCH($A130,Data_Analitik!$AL$2:$AL$351,0)),""))</f>
        <v>0</v>
      </c>
      <c r="I130" s="97">
        <f>IF($A130="","",IFERROR(INDEX(Data_Analitik!$V$2:$V$351,MATCH($A130,Data_Analitik!$AL$2:$AL$351,0)),""))</f>
        <v>0</v>
      </c>
      <c r="J130" s="97">
        <f>IF($A130="","",IFERROR(INDEX(Data_Analitik!$X$2:$X$351,MATCH($A130,Data_Analitik!$AL$2:$AL$351,0)),""))</f>
        <v>1.0000000343374584</v>
      </c>
      <c r="K130" s="97">
        <f>IF($A130="","",IFERROR(INDEX(Data_Analitik!$Z$2:$Z$351,MATCH($A130,Data_Analitik!$AL$2:$AL$351,0)),""))</f>
        <v>0</v>
      </c>
      <c r="L130" s="33" t="str">
        <f>IF($A130="","",IFERROR(INDEX(Data_Analitik!$AB$2:$AB$351,MATCH($A130,Data_Analitik!$AL$2:$AL$351,0)),""))</f>
        <v>Relatif Mantap</v>
      </c>
    </row>
    <row r="131" spans="1:12" ht="21.95" customHeight="1" x14ac:dyDescent="0.25">
      <c r="A131" s="32">
        <f>IF(ROW()-9&lt;=SUM(Data_Analitik!$AK$2:$AK$351),ROW()-9,"")</f>
        <v>122</v>
      </c>
      <c r="B131" s="99" t="str">
        <f>IF($A131="","",IFERROR(INDEX(Data_Analitik!$B$2:$B$351,MATCH($A131,Data_Analitik!$AL$2:$AL$351,0)),""))</f>
        <v>122</v>
      </c>
      <c r="C131" s="101" t="str">
        <f>IF($A131="","",IFERROR(INDEX(Data_Analitik!$C$2:$C$351,MATCH($A131,Data_Analitik!$AL$2:$AL$351,0)),""))</f>
        <v>Paharuangan - Asam Dua</v>
      </c>
      <c r="D131" s="101" t="str">
        <f>IF($A131="","",IFERROR(INDEX(Data_Analitik!$D$2:$D$351,MATCH($A131,Data_Analitik!$AL$2:$AL$351,0)),""))</f>
        <v>Sungai Raya</v>
      </c>
      <c r="E131" s="100">
        <f>IF($A131="","",IFERROR(INDEX(Data_Analitik!$E$2:$E$351,MATCH($A131,Data_Analitik!$AL$2:$AL$351,0)),""))</f>
        <v>0.91</v>
      </c>
      <c r="F131" s="97">
        <f>IF($A131="","",IFERROR(INDEX(Data_Analitik!$P$2:$P$351,MATCH($A131,Data_Analitik!$AL$2:$AL$351,0)),""))</f>
        <v>0</v>
      </c>
      <c r="G131" s="97">
        <f>IF($A131="","",IFERROR(INDEX(Data_Analitik!$R$2:$R$351,MATCH($A131,Data_Analitik!$AL$2:$AL$351,0)),""))</f>
        <v>0.21978022305520026</v>
      </c>
      <c r="H131" s="97">
        <f>IF($A131="","",IFERROR(INDEX(Data_Analitik!$T$2:$T$351,MATCH($A131,Data_Analitik!$AL$2:$AL$351,0)),""))</f>
        <v>0</v>
      </c>
      <c r="I131" s="97">
        <f>IF($A131="","",IFERROR(INDEX(Data_Analitik!$V$2:$V$351,MATCH($A131,Data_Analitik!$AL$2:$AL$351,0)),""))</f>
        <v>0.78021975663992071</v>
      </c>
      <c r="J131" s="97">
        <f>IF($A131="","",IFERROR(INDEX(Data_Analitik!$X$2:$X$351,MATCH($A131,Data_Analitik!$AL$2:$AL$351,0)),""))</f>
        <v>0.21978022305520026</v>
      </c>
      <c r="K131" s="97">
        <f>IF($A131="","",IFERROR(INDEX(Data_Analitik!$Z$2:$Z$351,MATCH($A131,Data_Analitik!$AL$2:$AL$351,0)),""))</f>
        <v>0.78021975663992071</v>
      </c>
      <c r="L131" s="33" t="str">
        <f>IF($A131="","",IFERROR(INDEX(Data_Analitik!$AB$2:$AB$351,MATCH($A131,Data_Analitik!$AL$2:$AL$351,0)),""))</f>
        <v>Rusak Berat Dominan</v>
      </c>
    </row>
    <row r="132" spans="1:12" ht="21.95" customHeight="1" x14ac:dyDescent="0.25">
      <c r="A132" s="32">
        <f>IF(ROW()-9&lt;=SUM(Data_Analitik!$AK$2:$AK$351),ROW()-9,"")</f>
        <v>123</v>
      </c>
      <c r="B132" s="99" t="str">
        <f>IF($A132="","",IFERROR(INDEX(Data_Analitik!$B$2:$B$351,MATCH($A132,Data_Analitik!$AL$2:$AL$351,0)),""))</f>
        <v>123</v>
      </c>
      <c r="C132" s="101" t="str">
        <f>IF($A132="","",IFERROR(INDEX(Data_Analitik!$C$2:$C$351,MATCH($A132,Data_Analitik!$AL$2:$AL$351,0)),""))</f>
        <v>Asam Seranggan - Asam Tamiyang</v>
      </c>
      <c r="D132" s="101" t="str">
        <f>IF($A132="","",IFERROR(INDEX(Data_Analitik!$D$2:$D$351,MATCH($A132,Data_Analitik!$AL$2:$AL$351,0)),""))</f>
        <v>Sungai Raya</v>
      </c>
      <c r="E132" s="100">
        <f>IF($A132="","",IFERROR(INDEX(Data_Analitik!$E$2:$E$351,MATCH($A132,Data_Analitik!$AL$2:$AL$351,0)),""))</f>
        <v>1.02</v>
      </c>
      <c r="F132" s="97">
        <f>IF($A132="","",IFERROR(INDEX(Data_Analitik!$P$2:$P$351,MATCH($A132,Data_Analitik!$AL$2:$AL$351,0)),""))</f>
        <v>0.9999999813005036</v>
      </c>
      <c r="G132" s="97">
        <f>IF($A132="","",IFERROR(INDEX(Data_Analitik!$R$2:$R$351,MATCH($A132,Data_Analitik!$AL$2:$AL$351,0)),""))</f>
        <v>0</v>
      </c>
      <c r="H132" s="97">
        <f>IF($A132="","",IFERROR(INDEX(Data_Analitik!$T$2:$T$351,MATCH($A132,Data_Analitik!$AL$2:$AL$351,0)),""))</f>
        <v>0</v>
      </c>
      <c r="I132" s="97">
        <f>IF($A132="","",IFERROR(INDEX(Data_Analitik!$V$2:$V$351,MATCH($A132,Data_Analitik!$AL$2:$AL$351,0)),""))</f>
        <v>0</v>
      </c>
      <c r="J132" s="97">
        <f>IF($A132="","",IFERROR(INDEX(Data_Analitik!$X$2:$X$351,MATCH($A132,Data_Analitik!$AL$2:$AL$351,0)),""))</f>
        <v>0.9999999813005036</v>
      </c>
      <c r="K132" s="97">
        <f>IF($A132="","",IFERROR(INDEX(Data_Analitik!$Z$2:$Z$351,MATCH($A132,Data_Analitik!$AL$2:$AL$351,0)),""))</f>
        <v>0</v>
      </c>
      <c r="L132" s="33" t="str">
        <f>IF($A132="","",IFERROR(INDEX(Data_Analitik!$AB$2:$AB$351,MATCH($A132,Data_Analitik!$AL$2:$AL$351,0)),""))</f>
        <v>Relatif Mantap</v>
      </c>
    </row>
    <row r="133" spans="1:12" ht="21.95" customHeight="1" x14ac:dyDescent="0.25">
      <c r="A133" s="32">
        <f>IF(ROW()-9&lt;=SUM(Data_Analitik!$AK$2:$AK$351),ROW()-9,"")</f>
        <v>124</v>
      </c>
      <c r="B133" s="99" t="str">
        <f>IF($A133="","",IFERROR(INDEX(Data_Analitik!$B$2:$B$351,MATCH($A133,Data_Analitik!$AL$2:$AL$351,0)),""))</f>
        <v>124</v>
      </c>
      <c r="C133" s="101" t="str">
        <f>IF($A133="","",IFERROR(INDEX(Data_Analitik!$C$2:$C$351,MATCH($A133,Data_Analitik!$AL$2:$AL$351,0)),""))</f>
        <v>Jl. Papancan - Ds. Tanah Bangkang</v>
      </c>
      <c r="D133" s="101" t="str">
        <f>IF($A133="","",IFERROR(INDEX(Data_Analitik!$D$2:$D$351,MATCH($A133,Data_Analitik!$AL$2:$AL$351,0)),""))</f>
        <v>Sungai Raya</v>
      </c>
      <c r="E133" s="100">
        <f>IF($A133="","",IFERROR(INDEX(Data_Analitik!$E$2:$E$351,MATCH($A133,Data_Analitik!$AL$2:$AL$351,0)),""))</f>
        <v>1.46</v>
      </c>
      <c r="F133" s="97">
        <f>IF($A133="","",IFERROR(INDEX(Data_Analitik!$P$2:$P$351,MATCH($A133,Data_Analitik!$AL$2:$AL$351,0)),""))</f>
        <v>1.0000000261280635</v>
      </c>
      <c r="G133" s="97">
        <f>IF($A133="","",IFERROR(INDEX(Data_Analitik!$R$2:$R$351,MATCH($A133,Data_Analitik!$AL$2:$AL$351,0)),""))</f>
        <v>0</v>
      </c>
      <c r="H133" s="97">
        <f>IF($A133="","",IFERROR(INDEX(Data_Analitik!$T$2:$T$351,MATCH($A133,Data_Analitik!$AL$2:$AL$351,0)),""))</f>
        <v>0</v>
      </c>
      <c r="I133" s="97">
        <f>IF($A133="","",IFERROR(INDEX(Data_Analitik!$V$2:$V$351,MATCH($A133,Data_Analitik!$AL$2:$AL$351,0)),""))</f>
        <v>0</v>
      </c>
      <c r="J133" s="97">
        <f>IF($A133="","",IFERROR(INDEX(Data_Analitik!$X$2:$X$351,MATCH($A133,Data_Analitik!$AL$2:$AL$351,0)),""))</f>
        <v>1.0000000261280635</v>
      </c>
      <c r="K133" s="97">
        <f>IF($A133="","",IFERROR(INDEX(Data_Analitik!$Z$2:$Z$351,MATCH($A133,Data_Analitik!$AL$2:$AL$351,0)),""))</f>
        <v>0</v>
      </c>
      <c r="L133" s="33" t="str">
        <f>IF($A133="","",IFERROR(INDEX(Data_Analitik!$AB$2:$AB$351,MATCH($A133,Data_Analitik!$AL$2:$AL$351,0)),""))</f>
        <v>Relatif Mantap</v>
      </c>
    </row>
    <row r="134" spans="1:12" ht="21.95" customHeight="1" x14ac:dyDescent="0.25">
      <c r="A134" s="32">
        <f>IF(ROW()-9&lt;=SUM(Data_Analitik!$AK$2:$AK$351),ROW()-9,"")</f>
        <v>125</v>
      </c>
      <c r="B134" s="99" t="str">
        <f>IF($A134="","",IFERROR(INDEX(Data_Analitik!$B$2:$B$351,MATCH($A134,Data_Analitik!$AL$2:$AL$351,0)),""))</f>
        <v>125</v>
      </c>
      <c r="C134" s="101" t="str">
        <f>IF($A134="","",IFERROR(INDEX(Data_Analitik!$C$2:$C$351,MATCH($A134,Data_Analitik!$AL$2:$AL$351,0)),""))</f>
        <v>Jl. Baru - Asam Desa Baru</v>
      </c>
      <c r="D134" s="101" t="str">
        <f>IF($A134="","",IFERROR(INDEX(Data_Analitik!$D$2:$D$351,MATCH($A134,Data_Analitik!$AL$2:$AL$351,0)),""))</f>
        <v>Sungai Raya</v>
      </c>
      <c r="E134" s="100">
        <f>IF($A134="","",IFERROR(INDEX(Data_Analitik!$E$2:$E$351,MATCH($A134,Data_Analitik!$AL$2:$AL$351,0)),""))</f>
        <v>1.32</v>
      </c>
      <c r="F134" s="97">
        <f>IF($A134="","",IFERROR(INDEX(Data_Analitik!$P$2:$P$351,MATCH($A134,Data_Analitik!$AL$2:$AL$351,0)),""))</f>
        <v>0.1515151537729032</v>
      </c>
      <c r="G134" s="97">
        <f>IF($A134="","",IFERROR(INDEX(Data_Analitik!$R$2:$R$351,MATCH($A134,Data_Analitik!$AL$2:$AL$351,0)),""))</f>
        <v>0.69696970961310645</v>
      </c>
      <c r="H134" s="97">
        <f>IF($A134="","",IFERROR(INDEX(Data_Analitik!$T$2:$T$351,MATCH($A134,Data_Analitik!$AL$2:$AL$351,0)),""))</f>
        <v>0.1515151537729032</v>
      </c>
      <c r="I134" s="97">
        <f>IF($A134="","",IFERROR(INDEX(Data_Analitik!$V$2:$V$351,MATCH($A134,Data_Analitik!$AL$2:$AL$351,0)),""))</f>
        <v>0</v>
      </c>
      <c r="J134" s="97">
        <f>IF($A134="","",IFERROR(INDEX(Data_Analitik!$X$2:$X$351,MATCH($A134,Data_Analitik!$AL$2:$AL$351,0)),""))</f>
        <v>0.84848486338600959</v>
      </c>
      <c r="K134" s="97">
        <f>IF($A134="","",IFERROR(INDEX(Data_Analitik!$Z$2:$Z$351,MATCH($A134,Data_Analitik!$AL$2:$AL$351,0)),""))</f>
        <v>0.1515151537729032</v>
      </c>
      <c r="L134" s="33" t="str">
        <f>IF($A134="","",IFERROR(INDEX(Data_Analitik!$AB$2:$AB$351,MATCH($A134,Data_Analitik!$AL$2:$AL$351,0)),""))</f>
        <v>Relatif Mantap</v>
      </c>
    </row>
    <row r="135" spans="1:12" ht="21.95" customHeight="1" x14ac:dyDescent="0.25">
      <c r="A135" s="32">
        <f>IF(ROW()-9&lt;=SUM(Data_Analitik!$AK$2:$AK$351),ROW()-9,"")</f>
        <v>126</v>
      </c>
      <c r="B135" s="99" t="str">
        <f>IF($A135="","",IFERROR(INDEX(Data_Analitik!$B$2:$B$351,MATCH($A135,Data_Analitik!$AL$2:$AL$351,0)),""))</f>
        <v>126</v>
      </c>
      <c r="C135" s="101" t="str">
        <f>IF($A135="","",IFERROR(INDEX(Data_Analitik!$C$2:$C$351,MATCH($A135,Data_Analitik!$AL$2:$AL$351,0)),""))</f>
        <v>Jl. Sungai Namang - Ds. Tanah Bangkang</v>
      </c>
      <c r="D135" s="101" t="str">
        <f>IF($A135="","",IFERROR(INDEX(Data_Analitik!$D$2:$D$351,MATCH($A135,Data_Analitik!$AL$2:$AL$351,0)),""))</f>
        <v>Sungai Raya</v>
      </c>
      <c r="E135" s="100">
        <f>IF($A135="","",IFERROR(INDEX(Data_Analitik!$E$2:$E$351,MATCH($A135,Data_Analitik!$AL$2:$AL$351,0)),""))</f>
        <v>0.73</v>
      </c>
      <c r="F135" s="97">
        <f>IF($A135="","",IFERROR(INDEX(Data_Analitik!$P$2:$P$351,MATCH($A135,Data_Analitik!$AL$2:$AL$351,0)),""))</f>
        <v>0</v>
      </c>
      <c r="G135" s="97">
        <f>IF($A135="","",IFERROR(INDEX(Data_Analitik!$R$2:$R$351,MATCH($A135,Data_Analitik!$AL$2:$AL$351,0)),""))</f>
        <v>0</v>
      </c>
      <c r="H135" s="97">
        <f>IF($A135="","",IFERROR(INDEX(Data_Analitik!$T$2:$T$351,MATCH($A135,Data_Analitik!$AL$2:$AL$351,0)),""))</f>
        <v>0</v>
      </c>
      <c r="I135" s="97">
        <f>IF($A135="","",IFERROR(INDEX(Data_Analitik!$V$2:$V$351,MATCH($A135,Data_Analitik!$AL$2:$AL$351,0)),""))</f>
        <v>1.0000000261280635</v>
      </c>
      <c r="J135" s="97">
        <f>IF($A135="","",IFERROR(INDEX(Data_Analitik!$X$2:$X$351,MATCH($A135,Data_Analitik!$AL$2:$AL$351,0)),""))</f>
        <v>0</v>
      </c>
      <c r="K135" s="97">
        <f>IF($A135="","",IFERROR(INDEX(Data_Analitik!$Z$2:$Z$351,MATCH($A135,Data_Analitik!$AL$2:$AL$351,0)),""))</f>
        <v>1.0000000261280635</v>
      </c>
      <c r="L135" s="33" t="str">
        <f>IF($A135="","",IFERROR(INDEX(Data_Analitik!$AB$2:$AB$351,MATCH($A135,Data_Analitik!$AL$2:$AL$351,0)),""))</f>
        <v>Rusak Berat Dominan</v>
      </c>
    </row>
    <row r="136" spans="1:12" ht="21.95" customHeight="1" x14ac:dyDescent="0.25">
      <c r="A136" s="32">
        <f>IF(ROW()-9&lt;=SUM(Data_Analitik!$AK$2:$AK$351),ROW()-9,"")</f>
        <v>127</v>
      </c>
      <c r="B136" s="99" t="str">
        <f>IF($A136="","",IFERROR(INDEX(Data_Analitik!$B$2:$B$351,MATCH($A136,Data_Analitik!$AL$2:$AL$351,0)),""))</f>
        <v>127</v>
      </c>
      <c r="C136" s="101" t="str">
        <f>IF($A136="","",IFERROR(INDEX(Data_Analitik!$C$2:$C$351,MATCH($A136,Data_Analitik!$AL$2:$AL$351,0)),""))</f>
        <v>Jarau - Parandakan</v>
      </c>
      <c r="D136" s="101" t="str">
        <f>IF($A136="","",IFERROR(INDEX(Data_Analitik!$D$2:$D$351,MATCH($A136,Data_Analitik!$AL$2:$AL$351,0)),""))</f>
        <v>Sungai Raya</v>
      </c>
      <c r="E136" s="100">
        <f>IF($A136="","",IFERROR(INDEX(Data_Analitik!$E$2:$E$351,MATCH($A136,Data_Analitik!$AL$2:$AL$351,0)),""))</f>
        <v>0.7</v>
      </c>
      <c r="F136" s="97">
        <f>IF($A136="","",IFERROR(INDEX(Data_Analitik!$P$2:$P$351,MATCH($A136,Data_Analitik!$AL$2:$AL$351,0)),""))</f>
        <v>0</v>
      </c>
      <c r="G136" s="97">
        <f>IF($A136="","",IFERROR(INDEX(Data_Analitik!$R$2:$R$351,MATCH($A136,Data_Analitik!$AL$2:$AL$351,0)),""))</f>
        <v>0</v>
      </c>
      <c r="H136" s="97">
        <f>IF($A136="","",IFERROR(INDEX(Data_Analitik!$T$2:$T$351,MATCH($A136,Data_Analitik!$AL$2:$AL$351,0)),""))</f>
        <v>0.28571428997176035</v>
      </c>
      <c r="I136" s="97">
        <f>IF($A136="","",IFERROR(INDEX(Data_Analitik!$V$2:$V$351,MATCH($A136,Data_Analitik!$AL$2:$AL$351,0)),""))</f>
        <v>0.7142857142857143</v>
      </c>
      <c r="J136" s="97">
        <f>IF($A136="","",IFERROR(INDEX(Data_Analitik!$X$2:$X$351,MATCH($A136,Data_Analitik!$AL$2:$AL$351,0)),""))</f>
        <v>0</v>
      </c>
      <c r="K136" s="97">
        <f>IF($A136="","",IFERROR(INDEX(Data_Analitik!$Z$2:$Z$351,MATCH($A136,Data_Analitik!$AL$2:$AL$351,0)),""))</f>
        <v>1.0000000042574746</v>
      </c>
      <c r="L136" s="33" t="str">
        <f>IF($A136="","",IFERROR(INDEX(Data_Analitik!$AB$2:$AB$351,MATCH($A136,Data_Analitik!$AL$2:$AL$351,0)),""))</f>
        <v>Rusak Berat Dominan</v>
      </c>
    </row>
    <row r="137" spans="1:12" ht="21.95" customHeight="1" x14ac:dyDescent="0.25">
      <c r="A137" s="32">
        <f>IF(ROW()-9&lt;=SUM(Data_Analitik!$AK$2:$AK$351),ROW()-9,"")</f>
        <v>128</v>
      </c>
      <c r="B137" s="99" t="str">
        <f>IF($A137="","",IFERROR(INDEX(Data_Analitik!$B$2:$B$351,MATCH($A137,Data_Analitik!$AL$2:$AL$351,0)),""))</f>
        <v>128</v>
      </c>
      <c r="C137" s="101" t="str">
        <f>IF($A137="","",IFERROR(INDEX(Data_Analitik!$C$2:$C$351,MATCH($A137,Data_Analitik!$AL$2:$AL$351,0)),""))</f>
        <v>Mungkur Galah - Lokpaikat</v>
      </c>
      <c r="D137" s="101" t="str">
        <f>IF($A137="","",IFERROR(INDEX(Data_Analitik!$D$2:$D$351,MATCH($A137,Data_Analitik!$AL$2:$AL$351,0)),""))</f>
        <v>Sungai Raya</v>
      </c>
      <c r="E137" s="100">
        <f>IF($A137="","",IFERROR(INDEX(Data_Analitik!$E$2:$E$351,MATCH($A137,Data_Analitik!$AL$2:$AL$351,0)),""))</f>
        <v>0.71</v>
      </c>
      <c r="F137" s="97">
        <f>IF($A137="","",IFERROR(INDEX(Data_Analitik!$P$2:$P$351,MATCH($A137,Data_Analitik!$AL$2:$AL$351,0)),""))</f>
        <v>0</v>
      </c>
      <c r="G137" s="97">
        <f>IF($A137="","",IFERROR(INDEX(Data_Analitik!$R$2:$R$351,MATCH($A137,Data_Analitik!$AL$2:$AL$351,0)),""))</f>
        <v>0.28169014504258061</v>
      </c>
      <c r="H137" s="97">
        <f>IF($A137="","",IFERROR(INDEX(Data_Analitik!$T$2:$T$351,MATCH($A137,Data_Analitik!$AL$2:$AL$351,0)),""))</f>
        <v>0.71830984572289702</v>
      </c>
      <c r="I137" s="97">
        <f>IF($A137="","",IFERROR(INDEX(Data_Analitik!$V$2:$V$351,MATCH($A137,Data_Analitik!$AL$2:$AL$351,0)),""))</f>
        <v>0</v>
      </c>
      <c r="J137" s="97">
        <f>IF($A137="","",IFERROR(INDEX(Data_Analitik!$X$2:$X$351,MATCH($A137,Data_Analitik!$AL$2:$AL$351,0)),""))</f>
        <v>0.28169014504258061</v>
      </c>
      <c r="K137" s="97">
        <f>IF($A137="","",IFERROR(INDEX(Data_Analitik!$Z$2:$Z$351,MATCH($A137,Data_Analitik!$AL$2:$AL$351,0)),""))</f>
        <v>0.71830984572289702</v>
      </c>
      <c r="L137" s="33" t="str">
        <f>IF($A137="","",IFERROR(INDEX(Data_Analitik!$AB$2:$AB$351,MATCH($A137,Data_Analitik!$AL$2:$AL$351,0)),""))</f>
        <v>Tidak Mantap Tinggi</v>
      </c>
    </row>
    <row r="138" spans="1:12" ht="21.95" customHeight="1" x14ac:dyDescent="0.25">
      <c r="A138" s="32">
        <f>IF(ROW()-9&lt;=SUM(Data_Analitik!$AK$2:$AK$351),ROW()-9,"")</f>
        <v>129</v>
      </c>
      <c r="B138" s="99" t="str">
        <f>IF($A138="","",IFERROR(INDEX(Data_Analitik!$B$2:$B$351,MATCH($A138,Data_Analitik!$AL$2:$AL$351,0)),""))</f>
        <v>129</v>
      </c>
      <c r="C138" s="101" t="str">
        <f>IF($A138="","",IFERROR(INDEX(Data_Analitik!$C$2:$C$351,MATCH($A138,Data_Analitik!$AL$2:$AL$351,0)),""))</f>
        <v>Batang Kulur Kanan - Bumi Berkat (Jl. Kisung)</v>
      </c>
      <c r="D138" s="101" t="str">
        <f>IF($A138="","",IFERROR(INDEX(Data_Analitik!$D$2:$D$351,MATCH($A138,Data_Analitik!$AL$2:$AL$351,0)),""))</f>
        <v>Sungai Raya</v>
      </c>
      <c r="E138" s="100">
        <f>IF($A138="","",IFERROR(INDEX(Data_Analitik!$E$2:$E$351,MATCH($A138,Data_Analitik!$AL$2:$AL$351,0)),""))</f>
        <v>1.61</v>
      </c>
      <c r="F138" s="97">
        <f>IF($A138="","",IFERROR(INDEX(Data_Analitik!$P$2:$P$351,MATCH($A138,Data_Analitik!$AL$2:$AL$351,0)),""))</f>
        <v>0</v>
      </c>
      <c r="G138" s="97">
        <f>IF($A138="","",IFERROR(INDEX(Data_Analitik!$R$2:$R$351,MATCH($A138,Data_Analitik!$AL$2:$AL$351,0)),""))</f>
        <v>0</v>
      </c>
      <c r="H138" s="97">
        <f>IF($A138="","",IFERROR(INDEX(Data_Analitik!$T$2:$T$351,MATCH($A138,Data_Analitik!$AL$2:$AL$351,0)),""))</f>
        <v>0</v>
      </c>
      <c r="I138" s="97">
        <f>IF($A138="","",IFERROR(INDEX(Data_Analitik!$V$2:$V$351,MATCH($A138,Data_Analitik!$AL$2:$AL$351,0)),""))</f>
        <v>1.0000000088851644</v>
      </c>
      <c r="J138" s="97">
        <f>IF($A138="","",IFERROR(INDEX(Data_Analitik!$X$2:$X$351,MATCH($A138,Data_Analitik!$AL$2:$AL$351,0)),""))</f>
        <v>0</v>
      </c>
      <c r="K138" s="97">
        <f>IF($A138="","",IFERROR(INDEX(Data_Analitik!$Z$2:$Z$351,MATCH($A138,Data_Analitik!$AL$2:$AL$351,0)),""))</f>
        <v>1.0000000088851644</v>
      </c>
      <c r="L138" s="33" t="str">
        <f>IF($A138="","",IFERROR(INDEX(Data_Analitik!$AB$2:$AB$351,MATCH($A138,Data_Analitik!$AL$2:$AL$351,0)),""))</f>
        <v>Rusak Berat Dominan</v>
      </c>
    </row>
    <row r="139" spans="1:12" ht="21.95" customHeight="1" x14ac:dyDescent="0.25">
      <c r="A139" s="32">
        <f>IF(ROW()-9&lt;=SUM(Data_Analitik!$AK$2:$AK$351),ROW()-9,"")</f>
        <v>130</v>
      </c>
      <c r="B139" s="99" t="str">
        <f>IF($A139="","",IFERROR(INDEX(Data_Analitik!$B$2:$B$351,MATCH($A139,Data_Analitik!$AL$2:$AL$351,0)),""))</f>
        <v>130</v>
      </c>
      <c r="C139" s="101" t="str">
        <f>IF($A139="","",IFERROR(INDEX(Data_Analitik!$C$2:$C$351,MATCH($A139,Data_Analitik!$AL$2:$AL$351,0)),""))</f>
        <v>Batang Kulur Kanan - Batang Kulur Kiri</v>
      </c>
      <c r="D139" s="101" t="str">
        <f>IF($A139="","",IFERROR(INDEX(Data_Analitik!$D$2:$D$351,MATCH($A139,Data_Analitik!$AL$2:$AL$351,0)),""))</f>
        <v>Sungai Raya</v>
      </c>
      <c r="E139" s="100">
        <f>IF($A139="","",IFERROR(INDEX(Data_Analitik!$E$2:$E$351,MATCH($A139,Data_Analitik!$AL$2:$AL$351,0)),""))</f>
        <v>0.82</v>
      </c>
      <c r="F139" s="97">
        <f>IF($A139="","",IFERROR(INDEX(Data_Analitik!$P$2:$P$351,MATCH($A139,Data_Analitik!$AL$2:$AL$351,0)),""))</f>
        <v>0</v>
      </c>
      <c r="G139" s="97">
        <f>IF($A139="","",IFERROR(INDEX(Data_Analitik!$R$2:$R$351,MATCH($A139,Data_Analitik!$AL$2:$AL$351,0)),""))</f>
        <v>0</v>
      </c>
      <c r="H139" s="97">
        <f>IF($A139="","",IFERROR(INDEX(Data_Analitik!$T$2:$T$351,MATCH($A139,Data_Analitik!$AL$2:$AL$351,0)),""))</f>
        <v>0</v>
      </c>
      <c r="I139" s="97">
        <f>IF($A139="","",IFERROR(INDEX(Data_Analitik!$V$2:$V$351,MATCH($A139,Data_Analitik!$AL$2:$AL$351,0)),""))</f>
        <v>0.99999999127736916</v>
      </c>
      <c r="J139" s="97">
        <f>IF($A139="","",IFERROR(INDEX(Data_Analitik!$X$2:$X$351,MATCH($A139,Data_Analitik!$AL$2:$AL$351,0)),""))</f>
        <v>0</v>
      </c>
      <c r="K139" s="97">
        <f>IF($A139="","",IFERROR(INDEX(Data_Analitik!$Z$2:$Z$351,MATCH($A139,Data_Analitik!$AL$2:$AL$351,0)),""))</f>
        <v>0.99999999127736916</v>
      </c>
      <c r="L139" s="33" t="str">
        <f>IF($A139="","",IFERROR(INDEX(Data_Analitik!$AB$2:$AB$351,MATCH($A139,Data_Analitik!$AL$2:$AL$351,0)),""))</f>
        <v>Rusak Berat Dominan</v>
      </c>
    </row>
    <row r="140" spans="1:12" ht="21.95" customHeight="1" x14ac:dyDescent="0.25">
      <c r="A140" s="32">
        <f>IF(ROW()-9&lt;=SUM(Data_Analitik!$AK$2:$AK$351),ROW()-9,"")</f>
        <v>131</v>
      </c>
      <c r="B140" s="99" t="str">
        <f>IF($A140="","",IFERROR(INDEX(Data_Analitik!$B$2:$B$351,MATCH($A140,Data_Analitik!$AL$2:$AL$351,0)),""))</f>
        <v>131</v>
      </c>
      <c r="C140" s="101" t="str">
        <f>IF($A140="","",IFERROR(INDEX(Data_Analitik!$C$2:$C$351,MATCH($A140,Data_Analitik!$AL$2:$AL$351,0)),""))</f>
        <v>Jl. Manggis - Ds. Baru</v>
      </c>
      <c r="D140" s="101" t="str">
        <f>IF($A140="","",IFERROR(INDEX(Data_Analitik!$D$2:$D$351,MATCH($A140,Data_Analitik!$AL$2:$AL$351,0)),""))</f>
        <v>Sungai Raya</v>
      </c>
      <c r="E140" s="100">
        <f>IF($A140="","",IFERROR(INDEX(Data_Analitik!$E$2:$E$351,MATCH($A140,Data_Analitik!$AL$2:$AL$351,0)),""))</f>
        <v>1.28</v>
      </c>
      <c r="F140" s="97">
        <f>IF($A140="","",IFERROR(INDEX(Data_Analitik!$P$2:$P$351,MATCH($A140,Data_Analitik!$AL$2:$AL$351,0)),""))</f>
        <v>0</v>
      </c>
      <c r="G140" s="97">
        <f>IF($A140="","",IFERROR(INDEX(Data_Analitik!$R$2:$R$351,MATCH($A140,Data_Analitik!$AL$2:$AL$351,0)),""))</f>
        <v>0</v>
      </c>
      <c r="H140" s="97">
        <f>IF($A140="","",IFERROR(INDEX(Data_Analitik!$T$2:$T$351,MATCH($A140,Data_Analitik!$AL$2:$AL$351,0)),""))</f>
        <v>0</v>
      </c>
      <c r="I140" s="97">
        <f>IF($A140="","",IFERROR(INDEX(Data_Analitik!$V$2:$V$351,MATCH($A140,Data_Analitik!$AL$2:$AL$351,0)),""))</f>
        <v>0.99999997764825821</v>
      </c>
      <c r="J140" s="97">
        <f>IF($A140="","",IFERROR(INDEX(Data_Analitik!$X$2:$X$351,MATCH($A140,Data_Analitik!$AL$2:$AL$351,0)),""))</f>
        <v>0</v>
      </c>
      <c r="K140" s="97">
        <f>IF($A140="","",IFERROR(INDEX(Data_Analitik!$Z$2:$Z$351,MATCH($A140,Data_Analitik!$AL$2:$AL$351,0)),""))</f>
        <v>0.99999997764825821</v>
      </c>
      <c r="L140" s="33" t="str">
        <f>IF($A140="","",IFERROR(INDEX(Data_Analitik!$AB$2:$AB$351,MATCH($A140,Data_Analitik!$AL$2:$AL$351,0)),""))</f>
        <v>Rusak Berat Dominan</v>
      </c>
    </row>
    <row r="141" spans="1:12" ht="21.95" customHeight="1" x14ac:dyDescent="0.25">
      <c r="A141" s="32">
        <f>IF(ROW()-9&lt;=SUM(Data_Analitik!$AK$2:$AK$351),ROW()-9,"")</f>
        <v>132</v>
      </c>
      <c r="B141" s="99" t="str">
        <f>IF($A141="","",IFERROR(INDEX(Data_Analitik!$B$2:$B$351,MATCH($A141,Data_Analitik!$AL$2:$AL$351,0)),""))</f>
        <v>132</v>
      </c>
      <c r="C141" s="101" t="str">
        <f>IF($A141="","",IFERROR(INDEX(Data_Analitik!$C$2:$C$351,MATCH($A141,Data_Analitik!$AL$2:$AL$351,0)),""))</f>
        <v>Jl. TPA - Ds. Sungai Raya Selatan</v>
      </c>
      <c r="D141" s="101" t="str">
        <f>IF($A141="","",IFERROR(INDEX(Data_Analitik!$D$2:$D$351,MATCH($A141,Data_Analitik!$AL$2:$AL$351,0)),""))</f>
        <v>Sungai Raya</v>
      </c>
      <c r="E141" s="100">
        <f>IF($A141="","",IFERROR(INDEX(Data_Analitik!$E$2:$E$351,MATCH($A141,Data_Analitik!$AL$2:$AL$351,0)),""))</f>
        <v>0.85</v>
      </c>
      <c r="F141" s="97">
        <f>IF($A141="","",IFERROR(INDEX(Data_Analitik!$P$2:$P$351,MATCH($A141,Data_Analitik!$AL$2:$AL$351,0)),""))</f>
        <v>0.76470585430369664</v>
      </c>
      <c r="G141" s="97">
        <f>IF($A141="","",IFERROR(INDEX(Data_Analitik!$R$2:$R$351,MATCH($A141,Data_Analitik!$AL$2:$AL$351,0)),""))</f>
        <v>0.23529412115321441</v>
      </c>
      <c r="H141" s="97">
        <f>IF($A141="","",IFERROR(INDEX(Data_Analitik!$T$2:$T$351,MATCH($A141,Data_Analitik!$AL$2:$AL$351,0)),""))</f>
        <v>0</v>
      </c>
      <c r="I141" s="97">
        <f>IF($A141="","",IFERROR(INDEX(Data_Analitik!$V$2:$V$351,MATCH($A141,Data_Analitik!$AL$2:$AL$351,0)),""))</f>
        <v>0</v>
      </c>
      <c r="J141" s="97">
        <f>IF($A141="","",IFERROR(INDEX(Data_Analitik!$X$2:$X$351,MATCH($A141,Data_Analitik!$AL$2:$AL$351,0)),""))</f>
        <v>0.99999997545691099</v>
      </c>
      <c r="K141" s="97">
        <f>IF($A141="","",IFERROR(INDEX(Data_Analitik!$Z$2:$Z$351,MATCH($A141,Data_Analitik!$AL$2:$AL$351,0)),""))</f>
        <v>0</v>
      </c>
      <c r="L141" s="33" t="str">
        <f>IF($A141="","",IFERROR(INDEX(Data_Analitik!$AB$2:$AB$351,MATCH($A141,Data_Analitik!$AL$2:$AL$351,0)),""))</f>
        <v>Relatif Mantap</v>
      </c>
    </row>
    <row r="142" spans="1:12" ht="21.95" customHeight="1" x14ac:dyDescent="0.25">
      <c r="A142" s="32">
        <f>IF(ROW()-9&lt;=SUM(Data_Analitik!$AK$2:$AK$351),ROW()-9,"")</f>
        <v>133</v>
      </c>
      <c r="B142" s="99" t="str">
        <f>IF($A142="","",IFERROR(INDEX(Data_Analitik!$B$2:$B$351,MATCH($A142,Data_Analitik!$AL$2:$AL$351,0)),""))</f>
        <v>133</v>
      </c>
      <c r="C142" s="101" t="str">
        <f>IF($A142="","",IFERROR(INDEX(Data_Analitik!$C$2:$C$351,MATCH($A142,Data_Analitik!$AL$2:$AL$351,0)),""))</f>
        <v>Jl. Pembangunan - Ds. Sungai Raya Utara</v>
      </c>
      <c r="D142" s="101" t="str">
        <f>IF($A142="","",IFERROR(INDEX(Data_Analitik!$D$2:$D$351,MATCH($A142,Data_Analitik!$AL$2:$AL$351,0)),""))</f>
        <v>Sungai Raya</v>
      </c>
      <c r="E142" s="100">
        <f>IF($A142="","",IFERROR(INDEX(Data_Analitik!$E$2:$E$351,MATCH($A142,Data_Analitik!$AL$2:$AL$351,0)),""))</f>
        <v>0.95</v>
      </c>
      <c r="F142" s="97">
        <f>IF($A142="","",IFERROR(INDEX(Data_Analitik!$P$2:$P$351,MATCH($A142,Data_Analitik!$AL$2:$AL$351,0)),""))</f>
        <v>0</v>
      </c>
      <c r="G142" s="97">
        <f>IF($A142="","",IFERROR(INDEX(Data_Analitik!$R$2:$R$351,MATCH($A142,Data_Analitik!$AL$2:$AL$351,0)),""))</f>
        <v>0.36842104635740586</v>
      </c>
      <c r="H142" s="97">
        <f>IF($A142="","",IFERROR(INDEX(Data_Analitik!$T$2:$T$351,MATCH($A142,Data_Analitik!$AL$2:$AL$351,0)),""))</f>
        <v>0.42105263785312053</v>
      </c>
      <c r="I142" s="97">
        <f>IF($A142="","",IFERROR(INDEX(Data_Analitik!$V$2:$V$351,MATCH($A142,Data_Analitik!$AL$2:$AL$351,0)),""))</f>
        <v>0.21052631892656026</v>
      </c>
      <c r="J142" s="97">
        <f>IF($A142="","",IFERROR(INDEX(Data_Analitik!$X$2:$X$351,MATCH($A142,Data_Analitik!$AL$2:$AL$351,0)),""))</f>
        <v>0.36842104635740586</v>
      </c>
      <c r="K142" s="97">
        <f>IF($A142="","",IFERROR(INDEX(Data_Analitik!$Z$2:$Z$351,MATCH($A142,Data_Analitik!$AL$2:$AL$351,0)),""))</f>
        <v>0.63157895677968079</v>
      </c>
      <c r="L142" s="33" t="str">
        <f>IF($A142="","",IFERROR(INDEX(Data_Analitik!$AB$2:$AB$351,MATCH($A142,Data_Analitik!$AL$2:$AL$351,0)),""))</f>
        <v>Rusak Berat Dominan</v>
      </c>
    </row>
    <row r="143" spans="1:12" ht="21.95" customHeight="1" x14ac:dyDescent="0.25">
      <c r="A143" s="32">
        <f>IF(ROW()-9&lt;=SUM(Data_Analitik!$AK$2:$AK$351),ROW()-9,"")</f>
        <v>134</v>
      </c>
      <c r="B143" s="99" t="str">
        <f>IF($A143="","",IFERROR(INDEX(Data_Analitik!$B$2:$B$351,MATCH($A143,Data_Analitik!$AL$2:$AL$351,0)),""))</f>
        <v>134</v>
      </c>
      <c r="C143" s="101" t="str">
        <f>IF($A143="","",IFERROR(INDEX(Data_Analitik!$C$2:$C$351,MATCH($A143,Data_Analitik!$AL$2:$AL$351,0)),""))</f>
        <v>Jl. Kalaka Dayuh - Ds. Sungai Raya Utara</v>
      </c>
      <c r="D143" s="101" t="str">
        <f>IF($A143="","",IFERROR(INDEX(Data_Analitik!$D$2:$D$351,MATCH($A143,Data_Analitik!$AL$2:$AL$351,0)),""))</f>
        <v>Sungai Raya</v>
      </c>
      <c r="E143" s="100">
        <f>IF($A143="","",IFERROR(INDEX(Data_Analitik!$E$2:$E$351,MATCH($A143,Data_Analitik!$AL$2:$AL$351,0)),""))</f>
        <v>0.43</v>
      </c>
      <c r="F143" s="97">
        <f>IF($A143="","",IFERROR(INDEX(Data_Analitik!$P$2:$P$351,MATCH($A143,Data_Analitik!$AL$2:$AL$351,0)),""))</f>
        <v>0</v>
      </c>
      <c r="G143" s="97">
        <f>IF($A143="","",IFERROR(INDEX(Data_Analitik!$R$2:$R$351,MATCH($A143,Data_Analitik!$AL$2:$AL$351,0)),""))</f>
        <v>0</v>
      </c>
      <c r="H143" s="97">
        <f>IF($A143="","",IFERROR(INDEX(Data_Analitik!$T$2:$T$351,MATCH($A143,Data_Analitik!$AL$2:$AL$351,0)),""))</f>
        <v>0</v>
      </c>
      <c r="I143" s="97">
        <f>IF($A143="","",IFERROR(INDEX(Data_Analitik!$V$2:$V$351,MATCH($A143,Data_Analitik!$AL$2:$AL$351,0)),""))</f>
        <v>1.0000000166338543</v>
      </c>
      <c r="J143" s="97">
        <f>IF($A143="","",IFERROR(INDEX(Data_Analitik!$X$2:$X$351,MATCH($A143,Data_Analitik!$AL$2:$AL$351,0)),""))</f>
        <v>0</v>
      </c>
      <c r="K143" s="97">
        <f>IF($A143="","",IFERROR(INDEX(Data_Analitik!$Z$2:$Z$351,MATCH($A143,Data_Analitik!$AL$2:$AL$351,0)),""))</f>
        <v>1.0000000166338543</v>
      </c>
      <c r="L143" s="33" t="str">
        <f>IF($A143="","",IFERROR(INDEX(Data_Analitik!$AB$2:$AB$351,MATCH($A143,Data_Analitik!$AL$2:$AL$351,0)),""))</f>
        <v>Rusak Berat Dominan</v>
      </c>
    </row>
    <row r="144" spans="1:12" ht="21.95" customHeight="1" x14ac:dyDescent="0.25">
      <c r="A144" s="32">
        <f>IF(ROW()-9&lt;=SUM(Data_Analitik!$AK$2:$AK$351),ROW()-9,"")</f>
        <v>135</v>
      </c>
      <c r="B144" s="99" t="str">
        <f>IF($A144="","",IFERROR(INDEX(Data_Analitik!$B$2:$B$351,MATCH($A144,Data_Analitik!$AL$2:$AL$351,0)),""))</f>
        <v>135</v>
      </c>
      <c r="C144" s="101" t="str">
        <f>IF($A144="","",IFERROR(INDEX(Data_Analitik!$C$2:$C$351,MATCH($A144,Data_Analitik!$AL$2:$AL$351,0)),""))</f>
        <v>Teluk Pinang - Padang Rasau</v>
      </c>
      <c r="D144" s="101" t="str">
        <f>IF($A144="","",IFERROR(INDEX(Data_Analitik!$D$2:$D$351,MATCH($A144,Data_Analitik!$AL$2:$AL$351,0)),""))</f>
        <v>Padang Batung</v>
      </c>
      <c r="E144" s="100">
        <f>IF($A144="","",IFERROR(INDEX(Data_Analitik!$E$2:$E$351,MATCH($A144,Data_Analitik!$AL$2:$AL$351,0)),""))</f>
        <v>2.1800000000000002</v>
      </c>
      <c r="F144" s="97">
        <f>IF($A144="","",IFERROR(INDEX(Data_Analitik!$P$2:$P$351,MATCH($A144,Data_Analitik!$AL$2:$AL$351,0)),""))</f>
        <v>0</v>
      </c>
      <c r="G144" s="97">
        <f>IF($A144="","",IFERROR(INDEX(Data_Analitik!$R$2:$R$351,MATCH($A144,Data_Analitik!$AL$2:$AL$351,0)),""))</f>
        <v>0.55045873746959439</v>
      </c>
      <c r="H144" s="97">
        <f>IF($A144="","",IFERROR(INDEX(Data_Analitik!$T$2:$T$351,MATCH($A144,Data_Analitik!$AL$2:$AL$351,0)),""))</f>
        <v>0.44954129315297536</v>
      </c>
      <c r="I144" s="97">
        <f>IF($A144="","",IFERROR(INDEX(Data_Analitik!$V$2:$V$351,MATCH($A144,Data_Analitik!$AL$2:$AL$351,0)),""))</f>
        <v>0</v>
      </c>
      <c r="J144" s="97">
        <f>IF($A144="","",IFERROR(INDEX(Data_Analitik!$X$2:$X$351,MATCH($A144,Data_Analitik!$AL$2:$AL$351,0)),""))</f>
        <v>0.55045873746959439</v>
      </c>
      <c r="K144" s="97">
        <f>IF($A144="","",IFERROR(INDEX(Data_Analitik!$Z$2:$Z$351,MATCH($A144,Data_Analitik!$AL$2:$AL$351,0)),""))</f>
        <v>0.44954129315297536</v>
      </c>
      <c r="L144" s="33" t="str">
        <f>IF($A144="","",IFERROR(INDEX(Data_Analitik!$AB$2:$AB$351,MATCH($A144,Data_Analitik!$AL$2:$AL$351,0)),""))</f>
        <v>Tidak Mantap Sedang</v>
      </c>
    </row>
    <row r="145" spans="1:12" ht="21.95" customHeight="1" x14ac:dyDescent="0.25">
      <c r="A145" s="32">
        <f>IF(ROW()-9&lt;=SUM(Data_Analitik!$AK$2:$AK$351),ROW()-9,"")</f>
        <v>136</v>
      </c>
      <c r="B145" s="99" t="str">
        <f>IF($A145="","",IFERROR(INDEX(Data_Analitik!$B$2:$B$351,MATCH($A145,Data_Analitik!$AL$2:$AL$351,0)),""))</f>
        <v>136</v>
      </c>
      <c r="C145" s="101" t="str">
        <f>IF($A145="","",IFERROR(INDEX(Data_Analitik!$C$2:$C$351,MATCH($A145,Data_Analitik!$AL$2:$AL$351,0)),""))</f>
        <v>Tanayung - Simp. Ambarai</v>
      </c>
      <c r="D145" s="101" t="str">
        <f>IF($A145="","",IFERROR(INDEX(Data_Analitik!$D$2:$D$351,MATCH($A145,Data_Analitik!$AL$2:$AL$351,0)),""))</f>
        <v>Padang Batung</v>
      </c>
      <c r="E145" s="100">
        <f>IF($A145="","",IFERROR(INDEX(Data_Analitik!$E$2:$E$351,MATCH($A145,Data_Analitik!$AL$2:$AL$351,0)),""))</f>
        <v>1.61</v>
      </c>
      <c r="F145" s="97">
        <f>IF($A145="","",IFERROR(INDEX(Data_Analitik!$P$2:$P$351,MATCH($A145,Data_Analitik!$AL$2:$AL$351,0)),""))</f>
        <v>0</v>
      </c>
      <c r="G145" s="97">
        <f>IF($A145="","",IFERROR(INDEX(Data_Analitik!$R$2:$R$351,MATCH($A145,Data_Analitik!$AL$2:$AL$351,0)),""))</f>
        <v>0.75155281872482771</v>
      </c>
      <c r="H145" s="97">
        <f>IF($A145="","",IFERROR(INDEX(Data_Analitik!$T$2:$T$351,MATCH($A145,Data_Analitik!$AL$2:$AL$351,0)),""))</f>
        <v>0.18633541113101176</v>
      </c>
      <c r="I145" s="97">
        <f>IF($A145="","",IFERROR(INDEX(Data_Analitik!$V$2:$V$351,MATCH($A145,Data_Analitik!$AL$2:$AL$351,0)),""))</f>
        <v>6.2111802167773983E-2</v>
      </c>
      <c r="J145" s="97">
        <f>IF($A145="","",IFERROR(INDEX(Data_Analitik!$X$2:$X$351,MATCH($A145,Data_Analitik!$AL$2:$AL$351,0)),""))</f>
        <v>0.75155281872482771</v>
      </c>
      <c r="K145" s="97">
        <f>IF($A145="","",IFERROR(INDEX(Data_Analitik!$Z$2:$Z$351,MATCH($A145,Data_Analitik!$AL$2:$AL$351,0)),""))</f>
        <v>0.24844721329878575</v>
      </c>
      <c r="L145" s="33" t="str">
        <f>IF($A145="","",IFERROR(INDEX(Data_Analitik!$AB$2:$AB$351,MATCH($A145,Data_Analitik!$AL$2:$AL$351,0)),""))</f>
        <v>Tidak Mantap Sedang</v>
      </c>
    </row>
    <row r="146" spans="1:12" ht="21.95" customHeight="1" x14ac:dyDescent="0.25">
      <c r="A146" s="32">
        <f>IF(ROW()-9&lt;=SUM(Data_Analitik!$AK$2:$AK$351),ROW()-9,"")</f>
        <v>137</v>
      </c>
      <c r="B146" s="99" t="str">
        <f>IF($A146="","",IFERROR(INDEX(Data_Analitik!$B$2:$B$351,MATCH($A146,Data_Analitik!$AL$2:$AL$351,0)),""))</f>
        <v>137</v>
      </c>
      <c r="C146" s="101" t="str">
        <f>IF($A146="","",IFERROR(INDEX(Data_Analitik!$C$2:$C$351,MATCH($A146,Data_Analitik!$AL$2:$AL$351,0)),""))</f>
        <v>Tabihi - Telaga Langsat</v>
      </c>
      <c r="D146" s="101" t="str">
        <f>IF($A146="","",IFERROR(INDEX(Data_Analitik!$D$2:$D$351,MATCH($A146,Data_Analitik!$AL$2:$AL$351,0)),""))</f>
        <v>Padang Batung - Telaga Langsat</v>
      </c>
      <c r="E146" s="100">
        <f>IF($A146="","",IFERROR(INDEX(Data_Analitik!$E$2:$E$351,MATCH($A146,Data_Analitik!$AL$2:$AL$351,0)),""))</f>
        <v>8.65</v>
      </c>
      <c r="F146" s="97">
        <f>IF($A146="","",IFERROR(INDEX(Data_Analitik!$P$2:$P$351,MATCH($A146,Data_Analitik!$AL$2:$AL$351,0)),""))</f>
        <v>0.31791907514450868</v>
      </c>
      <c r="G146" s="97">
        <f>IF($A146="","",IFERROR(INDEX(Data_Analitik!$R$2:$R$351,MATCH($A146,Data_Analitik!$AL$2:$AL$351,0)),""))</f>
        <v>0.64739883290549916</v>
      </c>
      <c r="H146" s="97">
        <f>IF($A146="","",IFERROR(INDEX(Data_Analitik!$T$2:$T$351,MATCH($A146,Data_Analitik!$AL$2:$AL$351,0)),""))</f>
        <v>3.4682082302997568E-2</v>
      </c>
      <c r="I146" s="97">
        <f>IF($A146="","",IFERROR(INDEX(Data_Analitik!$V$2:$V$351,MATCH($A146,Data_Analitik!$AL$2:$AL$351,0)),""))</f>
        <v>0</v>
      </c>
      <c r="J146" s="97">
        <f>IF($A146="","",IFERROR(INDEX(Data_Analitik!$X$2:$X$351,MATCH($A146,Data_Analitik!$AL$2:$AL$351,0)),""))</f>
        <v>0.96531790805000783</v>
      </c>
      <c r="K146" s="97">
        <f>IF($A146="","",IFERROR(INDEX(Data_Analitik!$Z$2:$Z$351,MATCH($A146,Data_Analitik!$AL$2:$AL$351,0)),""))</f>
        <v>3.4682082302997568E-2</v>
      </c>
      <c r="L146" s="33" t="str">
        <f>IF($A146="","",IFERROR(INDEX(Data_Analitik!$AB$2:$AB$351,MATCH($A146,Data_Analitik!$AL$2:$AL$351,0)),""))</f>
        <v>Relatif Mantap</v>
      </c>
    </row>
    <row r="147" spans="1:12" ht="21.95" customHeight="1" x14ac:dyDescent="0.25">
      <c r="A147" s="32">
        <f>IF(ROW()-9&lt;=SUM(Data_Analitik!$AK$2:$AK$351),ROW()-9,"")</f>
        <v>138</v>
      </c>
      <c r="B147" s="99" t="str">
        <f>IF($A147="","",IFERROR(INDEX(Data_Analitik!$B$2:$B$351,MATCH($A147,Data_Analitik!$AL$2:$AL$351,0)),""))</f>
        <v>138</v>
      </c>
      <c r="C147" s="101" t="str">
        <f>IF($A147="","",IFERROR(INDEX(Data_Analitik!$C$2:$C$351,MATCH($A147,Data_Analitik!$AL$2:$AL$351,0)),""))</f>
        <v>Karang Jawa -Ambarai - Sungai Bungur</v>
      </c>
      <c r="D147" s="101" t="str">
        <f>IF($A147="","",IFERROR(INDEX(Data_Analitik!$D$2:$D$351,MATCH($A147,Data_Analitik!$AL$2:$AL$351,0)),""))</f>
        <v>Padang Batung</v>
      </c>
      <c r="E147" s="100">
        <f>IF($A147="","",IFERROR(INDEX(Data_Analitik!$E$2:$E$351,MATCH($A147,Data_Analitik!$AL$2:$AL$351,0)),""))</f>
        <v>4.04</v>
      </c>
      <c r="F147" s="97">
        <f>IF($A147="","",IFERROR(INDEX(Data_Analitik!$P$2:$P$351,MATCH($A147,Data_Analitik!$AL$2:$AL$351,0)),""))</f>
        <v>0</v>
      </c>
      <c r="G147" s="97">
        <f>IF($A147="","",IFERROR(INDEX(Data_Analitik!$R$2:$R$351,MATCH($A147,Data_Analitik!$AL$2:$AL$351,0)),""))</f>
        <v>0.45544555281648541</v>
      </c>
      <c r="H147" s="97">
        <f>IF($A147="","",IFERROR(INDEX(Data_Analitik!$T$2:$T$351,MATCH($A147,Data_Analitik!$AL$2:$AL$351,0)),""))</f>
        <v>0.34653464756389657</v>
      </c>
      <c r="I147" s="97">
        <f>IF($A147="","",IFERROR(INDEX(Data_Analitik!$V$2:$V$351,MATCH($A147,Data_Analitik!$AL$2:$AL$351,0)),""))</f>
        <v>0.198019804930923</v>
      </c>
      <c r="J147" s="97">
        <f>IF($A147="","",IFERROR(INDEX(Data_Analitik!$X$2:$X$351,MATCH($A147,Data_Analitik!$AL$2:$AL$351,0)),""))</f>
        <v>0.45544555281648541</v>
      </c>
      <c r="K147" s="97">
        <f>IF($A147="","",IFERROR(INDEX(Data_Analitik!$Z$2:$Z$351,MATCH($A147,Data_Analitik!$AL$2:$AL$351,0)),""))</f>
        <v>0.5445544524948196</v>
      </c>
      <c r="L147" s="33" t="str">
        <f>IF($A147="","",IFERROR(INDEX(Data_Analitik!$AB$2:$AB$351,MATCH($A147,Data_Analitik!$AL$2:$AL$351,0)),""))</f>
        <v>Tidak Mantap Tinggi</v>
      </c>
    </row>
    <row r="148" spans="1:12" ht="21.95" customHeight="1" x14ac:dyDescent="0.25">
      <c r="A148" s="32">
        <f>IF(ROW()-9&lt;=SUM(Data_Analitik!$AK$2:$AK$351),ROW()-9,"")</f>
        <v>139</v>
      </c>
      <c r="B148" s="99" t="str">
        <f>IF($A148="","",IFERROR(INDEX(Data_Analitik!$B$2:$B$351,MATCH($A148,Data_Analitik!$AL$2:$AL$351,0)),""))</f>
        <v>139</v>
      </c>
      <c r="C148" s="101" t="str">
        <f>IF($A148="","",IFERROR(INDEX(Data_Analitik!$C$2:$C$351,MATCH($A148,Data_Analitik!$AL$2:$AL$351,0)),""))</f>
        <v>Ambarai - Madang</v>
      </c>
      <c r="D148" s="101" t="str">
        <f>IF($A148="","",IFERROR(INDEX(Data_Analitik!$D$2:$D$351,MATCH($A148,Data_Analitik!$AL$2:$AL$351,0)),""))</f>
        <v>Padang Batung</v>
      </c>
      <c r="E148" s="100">
        <f>IF($A148="","",IFERROR(INDEX(Data_Analitik!$E$2:$E$351,MATCH($A148,Data_Analitik!$AL$2:$AL$351,0)),""))</f>
        <v>1.74</v>
      </c>
      <c r="F148" s="97">
        <f>IF($A148="","",IFERROR(INDEX(Data_Analitik!$P$2:$P$351,MATCH($A148,Data_Analitik!$AL$2:$AL$351,0)),""))</f>
        <v>0.77011496171183969</v>
      </c>
      <c r="G148" s="97">
        <f>IF($A148="","",IFERROR(INDEX(Data_Analitik!$R$2:$R$351,MATCH($A148,Data_Analitik!$AL$2:$AL$351,0)),""))</f>
        <v>0.22988506089681868</v>
      </c>
      <c r="H148" s="97">
        <f>IF($A148="","",IFERROR(INDEX(Data_Analitik!$T$2:$T$351,MATCH($A148,Data_Analitik!$AL$2:$AL$351,0)),""))</f>
        <v>0</v>
      </c>
      <c r="I148" s="97">
        <f>IF($A148="","",IFERROR(INDEX(Data_Analitik!$V$2:$V$351,MATCH($A148,Data_Analitik!$AL$2:$AL$351,0)),""))</f>
        <v>0</v>
      </c>
      <c r="J148" s="97">
        <f>IF($A148="","",IFERROR(INDEX(Data_Analitik!$X$2:$X$351,MATCH($A148,Data_Analitik!$AL$2:$AL$351,0)),""))</f>
        <v>1.0000000226086583</v>
      </c>
      <c r="K148" s="97">
        <f>IF($A148="","",IFERROR(INDEX(Data_Analitik!$Z$2:$Z$351,MATCH($A148,Data_Analitik!$AL$2:$AL$351,0)),""))</f>
        <v>0</v>
      </c>
      <c r="L148" s="33" t="str">
        <f>IF($A148="","",IFERROR(INDEX(Data_Analitik!$AB$2:$AB$351,MATCH($A148,Data_Analitik!$AL$2:$AL$351,0)),""))</f>
        <v>Relatif Mantap</v>
      </c>
    </row>
    <row r="149" spans="1:12" ht="21.95" customHeight="1" x14ac:dyDescent="0.25">
      <c r="A149" s="32">
        <f>IF(ROW()-9&lt;=SUM(Data_Analitik!$AK$2:$AK$351),ROW()-9,"")</f>
        <v>140</v>
      </c>
      <c r="B149" s="99" t="str">
        <f>IF($A149="","",IFERROR(INDEX(Data_Analitik!$B$2:$B$351,MATCH($A149,Data_Analitik!$AL$2:$AL$351,0)),""))</f>
        <v>140</v>
      </c>
      <c r="C149" s="101" t="str">
        <f>IF($A149="","",IFERROR(INDEX(Data_Analitik!$C$2:$C$351,MATCH($A149,Data_Analitik!$AL$2:$AL$351,0)),""))</f>
        <v>Padang Batung - Batulaki - Malilingin</v>
      </c>
      <c r="D149" s="101" t="str">
        <f>IF($A149="","",IFERROR(INDEX(Data_Analitik!$D$2:$D$351,MATCH($A149,Data_Analitik!$AL$2:$AL$351,0)),""))</f>
        <v>Padang Batung</v>
      </c>
      <c r="E149" s="100">
        <f>IF($A149="","",IFERROR(INDEX(Data_Analitik!$E$2:$E$351,MATCH($A149,Data_Analitik!$AL$2:$AL$351,0)),""))</f>
        <v>8.8800000000000008</v>
      </c>
      <c r="F149" s="97">
        <f>IF($A149="","",IFERROR(INDEX(Data_Analitik!$P$2:$P$351,MATCH($A149,Data_Analitik!$AL$2:$AL$351,0)),""))</f>
        <v>0</v>
      </c>
      <c r="G149" s="97">
        <f>IF($A149="","",IFERROR(INDEX(Data_Analitik!$R$2:$R$351,MATCH($A149,Data_Analitik!$AL$2:$AL$351,0)),""))</f>
        <v>0.27927928142719438</v>
      </c>
      <c r="H149" s="97">
        <f>IF($A149="","",IFERROR(INDEX(Data_Analitik!$T$2:$T$351,MATCH($A149,Data_Analitik!$AL$2:$AL$351,0)),""))</f>
        <v>0.21396396127907003</v>
      </c>
      <c r="I149" s="97">
        <f>IF($A149="","",IFERROR(INDEX(Data_Analitik!$V$2:$V$351,MATCH($A149,Data_Analitik!$AL$2:$AL$351,0)),""))</f>
        <v>0.50675675675675669</v>
      </c>
      <c r="J149" s="97">
        <f>IF($A149="","",IFERROR(INDEX(Data_Analitik!$X$2:$X$351,MATCH($A149,Data_Analitik!$AL$2:$AL$351,0)),""))</f>
        <v>0.27927928142719438</v>
      </c>
      <c r="K149" s="97">
        <f>IF($A149="","",IFERROR(INDEX(Data_Analitik!$Z$2:$Z$351,MATCH($A149,Data_Analitik!$AL$2:$AL$351,0)),""))</f>
        <v>0.72072071803582671</v>
      </c>
      <c r="L149" s="33" t="str">
        <f>IF($A149="","",IFERROR(INDEX(Data_Analitik!$AB$2:$AB$351,MATCH($A149,Data_Analitik!$AL$2:$AL$351,0)),""))</f>
        <v>Rusak Berat Dominan</v>
      </c>
    </row>
    <row r="150" spans="1:12" ht="21.95" customHeight="1" x14ac:dyDescent="0.25">
      <c r="A150" s="32">
        <f>IF(ROW()-9&lt;=SUM(Data_Analitik!$AK$2:$AK$351),ROW()-9,"")</f>
        <v>141</v>
      </c>
      <c r="B150" s="99" t="str">
        <f>IF($A150="","",IFERROR(INDEX(Data_Analitik!$B$2:$B$351,MATCH($A150,Data_Analitik!$AL$2:$AL$351,0)),""))</f>
        <v>141</v>
      </c>
      <c r="C150" s="101" t="str">
        <f>IF($A150="","",IFERROR(INDEX(Data_Analitik!$C$2:$C$351,MATCH($A150,Data_Analitik!$AL$2:$AL$351,0)),""))</f>
        <v>Malilingin - Lokbahan - Paniungan</v>
      </c>
      <c r="D150" s="101" t="str">
        <f>IF($A150="","",IFERROR(INDEX(Data_Analitik!$D$2:$D$351,MATCH($A150,Data_Analitik!$AL$2:$AL$351,0)),""))</f>
        <v>Padang Batung</v>
      </c>
      <c r="E150" s="100">
        <f>IF($A150="","",IFERROR(INDEX(Data_Analitik!$E$2:$E$351,MATCH($A150,Data_Analitik!$AL$2:$AL$351,0)),""))</f>
        <v>10.66</v>
      </c>
      <c r="F150" s="97">
        <f>IF($A150="","",IFERROR(INDEX(Data_Analitik!$P$2:$P$351,MATCH($A150,Data_Analitik!$AL$2:$AL$351,0)),""))</f>
        <v>0.60037524346786408</v>
      </c>
      <c r="G150" s="97">
        <f>IF($A150="","",IFERROR(INDEX(Data_Analitik!$R$2:$R$351,MATCH($A150,Data_Analitik!$AL$2:$AL$351,0)),""))</f>
        <v>0.17823639551202083</v>
      </c>
      <c r="H150" s="97">
        <f>IF($A150="","",IFERROR(INDEX(Data_Analitik!$T$2:$T$351,MATCH($A150,Data_Analitik!$AL$2:$AL$351,0)),""))</f>
        <v>1.8761726358370753E-2</v>
      </c>
      <c r="I150" s="97">
        <f>IF($A150="","",IFERROR(INDEX(Data_Analitik!$V$2:$V$351,MATCH($A150,Data_Analitik!$AL$2:$AL$351,0)),""))</f>
        <v>0.20262664690697618</v>
      </c>
      <c r="J150" s="97">
        <f>IF($A150="","",IFERROR(INDEX(Data_Analitik!$X$2:$X$351,MATCH($A150,Data_Analitik!$AL$2:$AL$351,0)),""))</f>
        <v>0.77861163897988495</v>
      </c>
      <c r="K150" s="97">
        <f>IF($A150="","",IFERROR(INDEX(Data_Analitik!$Z$2:$Z$351,MATCH($A150,Data_Analitik!$AL$2:$AL$351,0)),""))</f>
        <v>0.22138837326534694</v>
      </c>
      <c r="L150" s="33" t="str">
        <f>IF($A150="","",IFERROR(INDEX(Data_Analitik!$AB$2:$AB$351,MATCH($A150,Data_Analitik!$AL$2:$AL$351,0)),""))</f>
        <v>Rusak Berat Dominan</v>
      </c>
    </row>
    <row r="151" spans="1:12" ht="21.95" customHeight="1" x14ac:dyDescent="0.25">
      <c r="A151" s="32">
        <f>IF(ROW()-9&lt;=SUM(Data_Analitik!$AK$2:$AK$351),ROW()-9,"")</f>
        <v>142</v>
      </c>
      <c r="B151" s="99" t="str">
        <f>IF($A151="","",IFERROR(INDEX(Data_Analitik!$B$2:$B$351,MATCH($A151,Data_Analitik!$AL$2:$AL$351,0)),""))</f>
        <v>142</v>
      </c>
      <c r="C151" s="101" t="str">
        <f>IF($A151="","",IFERROR(INDEX(Data_Analitik!$C$2:$C$351,MATCH($A151,Data_Analitik!$AL$2:$AL$351,0)),""))</f>
        <v>Mawangi - Bukuanin - Telaga Langsat</v>
      </c>
      <c r="D151" s="101" t="str">
        <f>IF($A151="","",IFERROR(INDEX(Data_Analitik!$D$2:$D$351,MATCH($A151,Data_Analitik!$AL$2:$AL$351,0)),""))</f>
        <v>Padang Batung - Telaga Langsat</v>
      </c>
      <c r="E151" s="100">
        <f>IF($A151="","",IFERROR(INDEX(Data_Analitik!$E$2:$E$351,MATCH($A151,Data_Analitik!$AL$2:$AL$351,0)),""))</f>
        <v>14.22</v>
      </c>
      <c r="F151" s="97">
        <f>IF($A151="","",IFERROR(INDEX(Data_Analitik!$P$2:$P$351,MATCH($A151,Data_Analitik!$AL$2:$AL$351,0)),""))</f>
        <v>0</v>
      </c>
      <c r="G151" s="97">
        <f>IF($A151="","",IFERROR(INDEX(Data_Analitik!$R$2:$R$351,MATCH($A151,Data_Analitik!$AL$2:$AL$351,0)),""))</f>
        <v>0.57102671487757251</v>
      </c>
      <c r="H151" s="97">
        <f>IF($A151="","",IFERROR(INDEX(Data_Analitik!$T$2:$T$351,MATCH($A151,Data_Analitik!$AL$2:$AL$351,0)),""))</f>
        <v>0.32348803830046191</v>
      </c>
      <c r="I151" s="97">
        <f>IF($A151="","",IFERROR(INDEX(Data_Analitik!$V$2:$V$351,MATCH($A151,Data_Analitik!$AL$2:$AL$351,0)),""))</f>
        <v>0.10548523206751054</v>
      </c>
      <c r="J151" s="97">
        <f>IF($A151="","",IFERROR(INDEX(Data_Analitik!$X$2:$X$351,MATCH($A151,Data_Analitik!$AL$2:$AL$351,0)),""))</f>
        <v>0.57102671487757251</v>
      </c>
      <c r="K151" s="97">
        <f>IF($A151="","",IFERROR(INDEX(Data_Analitik!$Z$2:$Z$351,MATCH($A151,Data_Analitik!$AL$2:$AL$351,0)),""))</f>
        <v>0.42897327036797245</v>
      </c>
      <c r="L151" s="33" t="str">
        <f>IF($A151="","",IFERROR(INDEX(Data_Analitik!$AB$2:$AB$351,MATCH($A151,Data_Analitik!$AL$2:$AL$351,0)),""))</f>
        <v>Tidak Mantap Sedang</v>
      </c>
    </row>
    <row r="152" spans="1:12" ht="21.95" customHeight="1" x14ac:dyDescent="0.25">
      <c r="A152" s="32">
        <f>IF(ROW()-9&lt;=SUM(Data_Analitik!$AK$2:$AK$351),ROW()-9,"")</f>
        <v>143</v>
      </c>
      <c r="B152" s="99" t="str">
        <f>IF($A152="","",IFERROR(INDEX(Data_Analitik!$B$2:$B$351,MATCH($A152,Data_Analitik!$AL$2:$AL$351,0)),""))</f>
        <v>143</v>
      </c>
      <c r="C152" s="101" t="str">
        <f>IF($A152="","",IFERROR(INDEX(Data_Analitik!$C$2:$C$351,MATCH($A152,Data_Analitik!$AL$2:$AL$351,0)),""))</f>
        <v>Mandapai - Madang</v>
      </c>
      <c r="D152" s="101" t="str">
        <f>IF($A152="","",IFERROR(INDEX(Data_Analitik!$D$2:$D$351,MATCH($A152,Data_Analitik!$AL$2:$AL$351,0)),""))</f>
        <v>Padang Batung</v>
      </c>
      <c r="E152" s="100">
        <f>IF($A152="","",IFERROR(INDEX(Data_Analitik!$E$2:$E$351,MATCH($A152,Data_Analitik!$AL$2:$AL$351,0)),""))</f>
        <v>5.82</v>
      </c>
      <c r="F152" s="97">
        <f>IF($A152="","",IFERROR(INDEX(Data_Analitik!$P$2:$P$351,MATCH($A152,Data_Analitik!$AL$2:$AL$351,0)),""))</f>
        <v>0</v>
      </c>
      <c r="G152" s="97">
        <f>IF($A152="","",IFERROR(INDEX(Data_Analitik!$R$2:$R$351,MATCH($A152,Data_Analitik!$AL$2:$AL$351,0)),""))</f>
        <v>0.50171822616734452</v>
      </c>
      <c r="H152" s="97">
        <f>IF($A152="","",IFERROR(INDEX(Data_Analitik!$T$2:$T$351,MATCH($A152,Data_Analitik!$AL$2:$AL$351,0)),""))</f>
        <v>0.3092783423223856</v>
      </c>
      <c r="I152" s="97">
        <f>IF($A152="","",IFERROR(INDEX(Data_Analitik!$V$2:$V$351,MATCH($A152,Data_Analitik!$AL$2:$AL$351,0)),""))</f>
        <v>0.189003440522656</v>
      </c>
      <c r="J152" s="97">
        <f>IF($A152="","",IFERROR(INDEX(Data_Analitik!$X$2:$X$351,MATCH($A152,Data_Analitik!$AL$2:$AL$351,0)),""))</f>
        <v>0.50171822616734452</v>
      </c>
      <c r="K152" s="97">
        <f>IF($A152="","",IFERROR(INDEX(Data_Analitik!$Z$2:$Z$351,MATCH($A152,Data_Analitik!$AL$2:$AL$351,0)),""))</f>
        <v>0.4982817828450416</v>
      </c>
      <c r="L152" s="33" t="str">
        <f>IF($A152="","",IFERROR(INDEX(Data_Analitik!$AB$2:$AB$351,MATCH($A152,Data_Analitik!$AL$2:$AL$351,0)),""))</f>
        <v>Tidak Mantap Sedang</v>
      </c>
    </row>
    <row r="153" spans="1:12" ht="21.95" customHeight="1" x14ac:dyDescent="0.25">
      <c r="A153" s="32">
        <f>IF(ROW()-9&lt;=SUM(Data_Analitik!$AK$2:$AK$351),ROW()-9,"")</f>
        <v>144</v>
      </c>
      <c r="B153" s="99" t="str">
        <f>IF($A153="","",IFERROR(INDEX(Data_Analitik!$B$2:$B$351,MATCH($A153,Data_Analitik!$AL$2:$AL$351,0)),""))</f>
        <v>144</v>
      </c>
      <c r="C153" s="101" t="str">
        <f>IF($A153="","",IFERROR(INDEX(Data_Analitik!$C$2:$C$351,MATCH($A153,Data_Analitik!$AL$2:$AL$351,0)),""))</f>
        <v>Kaliring - Sp. Padang Batung</v>
      </c>
      <c r="D153" s="101" t="str">
        <f>IF($A153="","",IFERROR(INDEX(Data_Analitik!$D$2:$D$351,MATCH($A153,Data_Analitik!$AL$2:$AL$351,0)),""))</f>
        <v>Padang Batung</v>
      </c>
      <c r="E153" s="100">
        <f>IF($A153="","",IFERROR(INDEX(Data_Analitik!$E$2:$E$351,MATCH($A153,Data_Analitik!$AL$2:$AL$351,0)),""))</f>
        <v>4.5</v>
      </c>
      <c r="F153" s="97">
        <f>IF($A153="","",IFERROR(INDEX(Data_Analitik!$P$2:$P$351,MATCH($A153,Data_Analitik!$AL$2:$AL$351,0)),""))</f>
        <v>0</v>
      </c>
      <c r="G153" s="97">
        <f>IF($A153="","",IFERROR(INDEX(Data_Analitik!$R$2:$R$351,MATCH($A153,Data_Analitik!$AL$2:$AL$351,0)),""))</f>
        <v>0.53333335452609587</v>
      </c>
      <c r="H153" s="97">
        <f>IF($A153="","",IFERROR(INDEX(Data_Analitik!$T$2:$T$351,MATCH($A153,Data_Analitik!$AL$2:$AL$351,0)),""))</f>
        <v>0.31111110581292045</v>
      </c>
      <c r="I153" s="97">
        <f>IF($A153="","",IFERROR(INDEX(Data_Analitik!$V$2:$V$351,MATCH($A153,Data_Analitik!$AL$2:$AL$351,0)),""))</f>
        <v>0.15555555290646023</v>
      </c>
      <c r="J153" s="97">
        <f>IF($A153="","",IFERROR(INDEX(Data_Analitik!$X$2:$X$351,MATCH($A153,Data_Analitik!$AL$2:$AL$351,0)),""))</f>
        <v>0.53333335452609587</v>
      </c>
      <c r="K153" s="97">
        <f>IF($A153="","",IFERROR(INDEX(Data_Analitik!$Z$2:$Z$351,MATCH($A153,Data_Analitik!$AL$2:$AL$351,0)),""))</f>
        <v>0.46666665871938068</v>
      </c>
      <c r="L153" s="33" t="str">
        <f>IF($A153="","",IFERROR(INDEX(Data_Analitik!$AB$2:$AB$351,MATCH($A153,Data_Analitik!$AL$2:$AL$351,0)),""))</f>
        <v>Tidak Mantap Sedang</v>
      </c>
    </row>
    <row r="154" spans="1:12" ht="21.95" customHeight="1" x14ac:dyDescent="0.25">
      <c r="A154" s="32">
        <f>IF(ROW()-9&lt;=SUM(Data_Analitik!$AK$2:$AK$351),ROW()-9,"")</f>
        <v>145</v>
      </c>
      <c r="B154" s="99" t="str">
        <f>IF($A154="","",IFERROR(INDEX(Data_Analitik!$B$2:$B$351,MATCH($A154,Data_Analitik!$AL$2:$AL$351,0)),""))</f>
        <v>145</v>
      </c>
      <c r="C154" s="101" t="str">
        <f>IF($A154="","",IFERROR(INDEX(Data_Analitik!$C$2:$C$351,MATCH($A154,Data_Analitik!$AL$2:$AL$351,0)),""))</f>
        <v>Pagar  Haur - Malutu</v>
      </c>
      <c r="D154" s="101" t="str">
        <f>IF($A154="","",IFERROR(INDEX(Data_Analitik!$D$2:$D$351,MATCH($A154,Data_Analitik!$AL$2:$AL$351,0)),""))</f>
        <v>Padang Batung</v>
      </c>
      <c r="E154" s="100">
        <f>IF($A154="","",IFERROR(INDEX(Data_Analitik!$E$2:$E$351,MATCH($A154,Data_Analitik!$AL$2:$AL$351,0)),""))</f>
        <v>0.22</v>
      </c>
      <c r="F154" s="97">
        <f>IF($A154="","",IFERROR(INDEX(Data_Analitik!$P$2:$P$351,MATCH($A154,Data_Analitik!$AL$2:$AL$351,0)),""))</f>
        <v>0.99999999458139588</v>
      </c>
      <c r="G154" s="97">
        <f>IF($A154="","",IFERROR(INDEX(Data_Analitik!$R$2:$R$351,MATCH($A154,Data_Analitik!$AL$2:$AL$351,0)),""))</f>
        <v>0</v>
      </c>
      <c r="H154" s="97">
        <f>IF($A154="","",IFERROR(INDEX(Data_Analitik!$T$2:$T$351,MATCH($A154,Data_Analitik!$AL$2:$AL$351,0)),""))</f>
        <v>0</v>
      </c>
      <c r="I154" s="97">
        <f>IF($A154="","",IFERROR(INDEX(Data_Analitik!$V$2:$V$351,MATCH($A154,Data_Analitik!$AL$2:$AL$351,0)),""))</f>
        <v>0</v>
      </c>
      <c r="J154" s="97">
        <f>IF($A154="","",IFERROR(INDEX(Data_Analitik!$X$2:$X$351,MATCH($A154,Data_Analitik!$AL$2:$AL$351,0)),""))</f>
        <v>0.99999999458139588</v>
      </c>
      <c r="K154" s="97">
        <f>IF($A154="","",IFERROR(INDEX(Data_Analitik!$Z$2:$Z$351,MATCH($A154,Data_Analitik!$AL$2:$AL$351,0)),""))</f>
        <v>0</v>
      </c>
      <c r="L154" s="33" t="str">
        <f>IF($A154="","",IFERROR(INDEX(Data_Analitik!$AB$2:$AB$351,MATCH($A154,Data_Analitik!$AL$2:$AL$351,0)),""))</f>
        <v>Relatif Mantap</v>
      </c>
    </row>
    <row r="155" spans="1:12" ht="21.95" customHeight="1" x14ac:dyDescent="0.25">
      <c r="A155" s="32">
        <f>IF(ROW()-9&lt;=SUM(Data_Analitik!$AK$2:$AK$351),ROW()-9,"")</f>
        <v>146</v>
      </c>
      <c r="B155" s="99" t="str">
        <f>IF($A155="","",IFERROR(INDEX(Data_Analitik!$B$2:$B$351,MATCH($A155,Data_Analitik!$AL$2:$AL$351,0)),""))</f>
        <v>146</v>
      </c>
      <c r="C155" s="101" t="str">
        <f>IF($A155="","",IFERROR(INDEX(Data_Analitik!$C$2:$C$351,MATCH($A155,Data_Analitik!$AL$2:$AL$351,0)),""))</f>
        <v>Simpang Malutu - Pahampangan</v>
      </c>
      <c r="D155" s="101" t="str">
        <f>IF($A155="","",IFERROR(INDEX(Data_Analitik!$D$2:$D$351,MATCH($A155,Data_Analitik!$AL$2:$AL$351,0)),""))</f>
        <v>Padang Batung - Sungai Raya</v>
      </c>
      <c r="E155" s="100">
        <f>IF($A155="","",IFERROR(INDEX(Data_Analitik!$E$2:$E$351,MATCH($A155,Data_Analitik!$AL$2:$AL$351,0)),""))</f>
        <v>4.51</v>
      </c>
      <c r="F155" s="97">
        <f>IF($A155="","",IFERROR(INDEX(Data_Analitik!$P$2:$P$351,MATCH($A155,Data_Analitik!$AL$2:$AL$351,0)),""))</f>
        <v>0</v>
      </c>
      <c r="G155" s="97">
        <f>IF($A155="","",IFERROR(INDEX(Data_Analitik!$R$2:$R$351,MATCH($A155,Data_Analitik!$AL$2:$AL$351,0)),""))</f>
        <v>0</v>
      </c>
      <c r="H155" s="97">
        <f>IF($A155="","",IFERROR(INDEX(Data_Analitik!$T$2:$T$351,MATCH($A155,Data_Analitik!$AL$2:$AL$351,0)),""))</f>
        <v>0</v>
      </c>
      <c r="I155" s="97">
        <f>IF($A155="","",IFERROR(INDEX(Data_Analitik!$V$2:$V$351,MATCH($A155,Data_Analitik!$AL$2:$AL$351,0)),""))</f>
        <v>1.0000000507498528</v>
      </c>
      <c r="J155" s="97">
        <f>IF($A155="","",IFERROR(INDEX(Data_Analitik!$X$2:$X$351,MATCH($A155,Data_Analitik!$AL$2:$AL$351,0)),""))</f>
        <v>0</v>
      </c>
      <c r="K155" s="97">
        <f>IF($A155="","",IFERROR(INDEX(Data_Analitik!$Z$2:$Z$351,MATCH($A155,Data_Analitik!$AL$2:$AL$351,0)),""))</f>
        <v>1.0000000507498528</v>
      </c>
      <c r="L155" s="33" t="str">
        <f>IF($A155="","",IFERROR(INDEX(Data_Analitik!$AB$2:$AB$351,MATCH($A155,Data_Analitik!$AL$2:$AL$351,0)),""))</f>
        <v>Rusak Berat Dominan</v>
      </c>
    </row>
    <row r="156" spans="1:12" ht="21.95" customHeight="1" x14ac:dyDescent="0.25">
      <c r="A156" s="32">
        <f>IF(ROW()-9&lt;=SUM(Data_Analitik!$AK$2:$AK$351),ROW()-9,"")</f>
        <v>147</v>
      </c>
      <c r="B156" s="99" t="str">
        <f>IF($A156="","",IFERROR(INDEX(Data_Analitik!$B$2:$B$351,MATCH($A156,Data_Analitik!$AL$2:$AL$351,0)),""))</f>
        <v>147</v>
      </c>
      <c r="C156" s="101" t="str">
        <f>IF($A156="","",IFERROR(INDEX(Data_Analitik!$C$2:$C$351,MATCH($A156,Data_Analitik!$AL$2:$AL$351,0)),""))</f>
        <v>Simpang Malutu - Tambak</v>
      </c>
      <c r="D156" s="101" t="str">
        <f>IF($A156="","",IFERROR(INDEX(Data_Analitik!$D$2:$D$351,MATCH($A156,Data_Analitik!$AL$2:$AL$351,0)),""))</f>
        <v>Padang Batung</v>
      </c>
      <c r="E156" s="100">
        <f>IF($A156="","",IFERROR(INDEX(Data_Analitik!$E$2:$E$351,MATCH($A156,Data_Analitik!$AL$2:$AL$351,0)),""))</f>
        <v>2.87</v>
      </c>
      <c r="F156" s="97">
        <f>IF($A156="","",IFERROR(INDEX(Data_Analitik!$P$2:$P$351,MATCH($A156,Data_Analitik!$AL$2:$AL$351,0)),""))</f>
        <v>0.27874564875293689</v>
      </c>
      <c r="G156" s="97">
        <f>IF($A156="","",IFERROR(INDEX(Data_Analitik!$R$2:$R$351,MATCH($A156,Data_Analitik!$AL$2:$AL$351,0)),""))</f>
        <v>0.34843205574912889</v>
      </c>
      <c r="H156" s="97">
        <f>IF($A156="","",IFERROR(INDEX(Data_Analitik!$T$2:$T$351,MATCH($A156,Data_Analitik!$AL$2:$AL$351,0)),""))</f>
        <v>0.26829267628101522</v>
      </c>
      <c r="I156" s="97">
        <f>IF($A156="","",IFERROR(INDEX(Data_Analitik!$V$2:$V$351,MATCH($A156,Data_Analitik!$AL$2:$AL$351,0)),""))</f>
        <v>0.10452962087837245</v>
      </c>
      <c r="J156" s="97">
        <f>IF($A156="","",IFERROR(INDEX(Data_Analitik!$X$2:$X$351,MATCH($A156,Data_Analitik!$AL$2:$AL$351,0)),""))</f>
        <v>0.62717770450206578</v>
      </c>
      <c r="K156" s="97">
        <f>IF($A156="","",IFERROR(INDEX(Data_Analitik!$Z$2:$Z$351,MATCH($A156,Data_Analitik!$AL$2:$AL$351,0)),""))</f>
        <v>0.37282229715938764</v>
      </c>
      <c r="L156" s="33" t="str">
        <f>IF($A156="","",IFERROR(INDEX(Data_Analitik!$AB$2:$AB$351,MATCH($A156,Data_Analitik!$AL$2:$AL$351,0)),""))</f>
        <v>Tidak Mantap Sedang</v>
      </c>
    </row>
    <row r="157" spans="1:12" ht="21.95" customHeight="1" x14ac:dyDescent="0.25">
      <c r="A157" s="32">
        <f>IF(ROW()-9&lt;=SUM(Data_Analitik!$AK$2:$AK$351),ROW()-9,"")</f>
        <v>148</v>
      </c>
      <c r="B157" s="99" t="str">
        <f>IF($A157="","",IFERROR(INDEX(Data_Analitik!$B$2:$B$351,MATCH($A157,Data_Analitik!$AL$2:$AL$351,0)),""))</f>
        <v>148</v>
      </c>
      <c r="C157" s="101" t="str">
        <f>IF($A157="","",IFERROR(INDEX(Data_Analitik!$C$2:$C$351,MATCH($A157,Data_Analitik!$AL$2:$AL$351,0)),""))</f>
        <v>Pagat Batu - Muara Hariang</v>
      </c>
      <c r="D157" s="101" t="str">
        <f>IF($A157="","",IFERROR(INDEX(Data_Analitik!$D$2:$D$351,MATCH($A157,Data_Analitik!$AL$2:$AL$351,0)),""))</f>
        <v>Padang Batung</v>
      </c>
      <c r="E157" s="100">
        <f>IF($A157="","",IFERROR(INDEX(Data_Analitik!$E$2:$E$351,MATCH($A157,Data_Analitik!$AL$2:$AL$351,0)),""))</f>
        <v>3.27</v>
      </c>
      <c r="F157" s="97">
        <f>IF($A157="","",IFERROR(INDEX(Data_Analitik!$P$2:$P$351,MATCH($A157,Data_Analitik!$AL$2:$AL$351,0)),""))</f>
        <v>0</v>
      </c>
      <c r="G157" s="97">
        <f>IF($A157="","",IFERROR(INDEX(Data_Analitik!$R$2:$R$351,MATCH($A157,Data_Analitik!$AL$2:$AL$351,0)),""))</f>
        <v>0.78593270129749171</v>
      </c>
      <c r="H157" s="97">
        <f>IF($A157="","",IFERROR(INDEX(Data_Analitik!$T$2:$T$351,MATCH($A157,Data_Analitik!$AL$2:$AL$351,0)),""))</f>
        <v>9.174312291159907E-2</v>
      </c>
      <c r="I157" s="97">
        <f>IF($A157="","",IFERROR(INDEX(Data_Analitik!$V$2:$V$351,MATCH($A157,Data_Analitik!$AL$2:$AL$351,0)),""))</f>
        <v>0.12232416312264376</v>
      </c>
      <c r="J157" s="97">
        <f>IF($A157="","",IFERROR(INDEX(Data_Analitik!$X$2:$X$351,MATCH($A157,Data_Analitik!$AL$2:$AL$351,0)),""))</f>
        <v>0.78593270129749171</v>
      </c>
      <c r="K157" s="97">
        <f>IF($A157="","",IFERROR(INDEX(Data_Analitik!$Z$2:$Z$351,MATCH($A157,Data_Analitik!$AL$2:$AL$351,0)),""))</f>
        <v>0.21406728603424283</v>
      </c>
      <c r="L157" s="33" t="str">
        <f>IF($A157="","",IFERROR(INDEX(Data_Analitik!$AB$2:$AB$351,MATCH($A157,Data_Analitik!$AL$2:$AL$351,0)),""))</f>
        <v>Tidak Mantap Sedang</v>
      </c>
    </row>
    <row r="158" spans="1:12" ht="21.95" customHeight="1" x14ac:dyDescent="0.25">
      <c r="A158" s="32">
        <f>IF(ROW()-9&lt;=SUM(Data_Analitik!$AK$2:$AK$351),ROW()-9,"")</f>
        <v>149</v>
      </c>
      <c r="B158" s="99" t="str">
        <f>IF($A158="","",IFERROR(INDEX(Data_Analitik!$B$2:$B$351,MATCH($A158,Data_Analitik!$AL$2:$AL$351,0)),""))</f>
        <v>149</v>
      </c>
      <c r="C158" s="101" t="str">
        <f>IF($A158="","",IFERROR(INDEX(Data_Analitik!$C$2:$C$351,MATCH($A158,Data_Analitik!$AL$2:$AL$351,0)),""))</f>
        <v>Paku (Jambu Hulu) - Ganda</v>
      </c>
      <c r="D158" s="101" t="str">
        <f>IF($A158="","",IFERROR(INDEX(Data_Analitik!$D$2:$D$351,MATCH($A158,Data_Analitik!$AL$2:$AL$351,0)),""))</f>
        <v>Padang Batung - Kandangan</v>
      </c>
      <c r="E158" s="100">
        <f>IF($A158="","",IFERROR(INDEX(Data_Analitik!$E$2:$E$351,MATCH($A158,Data_Analitik!$AL$2:$AL$351,0)),""))</f>
        <v>1.88</v>
      </c>
      <c r="F158" s="97">
        <f>IF($A158="","",IFERROR(INDEX(Data_Analitik!$P$2:$P$351,MATCH($A158,Data_Analitik!$AL$2:$AL$351,0)),""))</f>
        <v>0</v>
      </c>
      <c r="G158" s="97">
        <f>IF($A158="","",IFERROR(INDEX(Data_Analitik!$R$2:$R$351,MATCH($A158,Data_Analitik!$AL$2:$AL$351,0)),""))</f>
        <v>0</v>
      </c>
      <c r="H158" s="97">
        <f>IF($A158="","",IFERROR(INDEX(Data_Analitik!$T$2:$T$351,MATCH($A158,Data_Analitik!$AL$2:$AL$351,0)),""))</f>
        <v>0.84042555474220448</v>
      </c>
      <c r="I158" s="97">
        <f>IF($A158="","",IFERROR(INDEX(Data_Analitik!$V$2:$V$351,MATCH($A158,Data_Analitik!$AL$2:$AL$351,0)),""))</f>
        <v>0.15957447442602604</v>
      </c>
      <c r="J158" s="97">
        <f>IF($A158="","",IFERROR(INDEX(Data_Analitik!$X$2:$X$351,MATCH($A158,Data_Analitik!$AL$2:$AL$351,0)),""))</f>
        <v>0</v>
      </c>
      <c r="K158" s="97">
        <f>IF($A158="","",IFERROR(INDEX(Data_Analitik!$Z$2:$Z$351,MATCH($A158,Data_Analitik!$AL$2:$AL$351,0)),""))</f>
        <v>1.0000000291682305</v>
      </c>
      <c r="L158" s="33" t="str">
        <f>IF($A158="","",IFERROR(INDEX(Data_Analitik!$AB$2:$AB$351,MATCH($A158,Data_Analitik!$AL$2:$AL$351,0)),""))</f>
        <v>Tidak Mantap Tinggi</v>
      </c>
    </row>
    <row r="159" spans="1:12" ht="21.95" customHeight="1" x14ac:dyDescent="0.25">
      <c r="A159" s="32">
        <f>IF(ROW()-9&lt;=SUM(Data_Analitik!$AK$2:$AK$351),ROW()-9,"")</f>
        <v>150</v>
      </c>
      <c r="B159" s="99" t="str">
        <f>IF($A159="","",IFERROR(INDEX(Data_Analitik!$B$2:$B$351,MATCH($A159,Data_Analitik!$AL$2:$AL$351,0)),""))</f>
        <v>150</v>
      </c>
      <c r="C159" s="101" t="str">
        <f>IF($A159="","",IFERROR(INDEX(Data_Analitik!$C$2:$C$351,MATCH($A159,Data_Analitik!$AL$2:$AL$351,0)),""))</f>
        <v>Sp.3 Bukuanin - Riam Talo</v>
      </c>
      <c r="D159" s="101" t="str">
        <f>IF($A159="","",IFERROR(INDEX(Data_Analitik!$D$2:$D$351,MATCH($A159,Data_Analitik!$AL$2:$AL$351,0)),""))</f>
        <v>Padang Batung - Telaga Langsat</v>
      </c>
      <c r="E159" s="100">
        <f>IF($A159="","",IFERROR(INDEX(Data_Analitik!$E$2:$E$351,MATCH($A159,Data_Analitik!$AL$2:$AL$351,0)),""))</f>
        <v>3.12</v>
      </c>
      <c r="F159" s="97">
        <f>IF($A159="","",IFERROR(INDEX(Data_Analitik!$P$2:$P$351,MATCH($A159,Data_Analitik!$AL$2:$AL$351,0)),""))</f>
        <v>0</v>
      </c>
      <c r="G159" s="97">
        <f>IF($A159="","",IFERROR(INDEX(Data_Analitik!$R$2:$R$351,MATCH($A159,Data_Analitik!$AL$2:$AL$351,0)),""))</f>
        <v>0.32051282051282048</v>
      </c>
      <c r="H159" s="97">
        <f>IF($A159="","",IFERROR(INDEX(Data_Analitik!$T$2:$T$351,MATCH($A159,Data_Analitik!$AL$2:$AL$351,0)),""))</f>
        <v>0.29487180022092963</v>
      </c>
      <c r="I159" s="97">
        <f>IF($A159="","",IFERROR(INDEX(Data_Analitik!$V$2:$V$351,MATCH($A159,Data_Analitik!$AL$2:$AL$351,0)),""))</f>
        <v>0.38461539034660047</v>
      </c>
      <c r="J159" s="97">
        <f>IF($A159="","",IFERROR(INDEX(Data_Analitik!$X$2:$X$351,MATCH($A159,Data_Analitik!$AL$2:$AL$351,0)),""))</f>
        <v>0.32051282051282048</v>
      </c>
      <c r="K159" s="97">
        <f>IF($A159="","",IFERROR(INDEX(Data_Analitik!$Z$2:$Z$351,MATCH($A159,Data_Analitik!$AL$2:$AL$351,0)),""))</f>
        <v>0.67948719056753004</v>
      </c>
      <c r="L159" s="33" t="str">
        <f>IF($A159="","",IFERROR(INDEX(Data_Analitik!$AB$2:$AB$351,MATCH($A159,Data_Analitik!$AL$2:$AL$351,0)),""))</f>
        <v>Rusak Berat Dominan</v>
      </c>
    </row>
    <row r="160" spans="1:12" ht="21.95" customHeight="1" x14ac:dyDescent="0.25">
      <c r="A160" s="32">
        <f>IF(ROW()-9&lt;=SUM(Data_Analitik!$AK$2:$AK$351),ROW()-9,"")</f>
        <v>151</v>
      </c>
      <c r="B160" s="99" t="str">
        <f>IF($A160="","",IFERROR(INDEX(Data_Analitik!$B$2:$B$351,MATCH($A160,Data_Analitik!$AL$2:$AL$351,0)),""))</f>
        <v>151</v>
      </c>
      <c r="C160" s="101" t="str">
        <f>IF($A160="","",IFERROR(INDEX(Data_Analitik!$C$2:$C$351,MATCH($A160,Data_Analitik!$AL$2:$AL$351,0)),""))</f>
        <v>Sp.3 Bukuanin - Tayub</v>
      </c>
      <c r="D160" s="101" t="str">
        <f>IF($A160="","",IFERROR(INDEX(Data_Analitik!$D$2:$D$351,MATCH($A160,Data_Analitik!$AL$2:$AL$351,0)),""))</f>
        <v>Padang Batung</v>
      </c>
      <c r="E160" s="100">
        <f>IF($A160="","",IFERROR(INDEX(Data_Analitik!$E$2:$E$351,MATCH($A160,Data_Analitik!$AL$2:$AL$351,0)),""))</f>
        <v>3.39</v>
      </c>
      <c r="F160" s="97">
        <f>IF($A160="","",IFERROR(INDEX(Data_Analitik!$P$2:$P$351,MATCH($A160,Data_Analitik!$AL$2:$AL$351,0)),""))</f>
        <v>0</v>
      </c>
      <c r="G160" s="97">
        <f>IF($A160="","",IFERROR(INDEX(Data_Analitik!$R$2:$R$351,MATCH($A160,Data_Analitik!$AL$2:$AL$351,0)),""))</f>
        <v>0.17699115747547431</v>
      </c>
      <c r="H160" s="97">
        <f>IF($A160="","",IFERROR(INDEX(Data_Analitik!$T$2:$T$351,MATCH($A160,Data_Analitik!$AL$2:$AL$351,0)),""))</f>
        <v>0</v>
      </c>
      <c r="I160" s="97">
        <f>IF($A160="","",IFERROR(INDEX(Data_Analitik!$V$2:$V$351,MATCH($A160,Data_Analitik!$AL$2:$AL$351,0)),""))</f>
        <v>0.82300883830472782</v>
      </c>
      <c r="J160" s="97">
        <f>IF($A160="","",IFERROR(INDEX(Data_Analitik!$X$2:$X$351,MATCH($A160,Data_Analitik!$AL$2:$AL$351,0)),""))</f>
        <v>0.17699115747547431</v>
      </c>
      <c r="K160" s="97">
        <f>IF($A160="","",IFERROR(INDEX(Data_Analitik!$Z$2:$Z$351,MATCH($A160,Data_Analitik!$AL$2:$AL$351,0)),""))</f>
        <v>0.82300883830472782</v>
      </c>
      <c r="L160" s="33" t="str">
        <f>IF($A160="","",IFERROR(INDEX(Data_Analitik!$AB$2:$AB$351,MATCH($A160,Data_Analitik!$AL$2:$AL$351,0)),""))</f>
        <v>Rusak Berat Dominan</v>
      </c>
    </row>
    <row r="161" spans="1:12" ht="21.95" customHeight="1" x14ac:dyDescent="0.25">
      <c r="A161" s="32">
        <f>IF(ROW()-9&lt;=SUM(Data_Analitik!$AK$2:$AK$351),ROW()-9,"")</f>
        <v>152</v>
      </c>
      <c r="B161" s="99" t="str">
        <f>IF($A161="","",IFERROR(INDEX(Data_Analitik!$B$2:$B$351,MATCH($A161,Data_Analitik!$AL$2:$AL$351,0)),""))</f>
        <v>152</v>
      </c>
      <c r="C161" s="101" t="str">
        <f>IF($A161="","",IFERROR(INDEX(Data_Analitik!$C$2:$C$351,MATCH($A161,Data_Analitik!$AL$2:$AL$351,0)),""))</f>
        <v>Madang - Ambutun</v>
      </c>
      <c r="D161" s="101" t="str">
        <f>IF($A161="","",IFERROR(INDEX(Data_Analitik!$D$2:$D$351,MATCH($A161,Data_Analitik!$AL$2:$AL$351,0)),""))</f>
        <v>Padang Batung - Telaga Langsat</v>
      </c>
      <c r="E161" s="100">
        <f>IF($A161="","",IFERROR(INDEX(Data_Analitik!$E$2:$E$351,MATCH($A161,Data_Analitik!$AL$2:$AL$351,0)),""))</f>
        <v>2.94</v>
      </c>
      <c r="F161" s="97">
        <f>IF($A161="","",IFERROR(INDEX(Data_Analitik!$P$2:$P$351,MATCH($A161,Data_Analitik!$AL$2:$AL$351,0)),""))</f>
        <v>0</v>
      </c>
      <c r="G161" s="97">
        <f>IF($A161="","",IFERROR(INDEX(Data_Analitik!$R$2:$R$351,MATCH($A161,Data_Analitik!$AL$2:$AL$351,0)),""))</f>
        <v>0.69387753804524743</v>
      </c>
      <c r="H161" s="97">
        <f>IF($A161="","",IFERROR(INDEX(Data_Analitik!$T$2:$T$351,MATCH($A161,Data_Analitik!$AL$2:$AL$351,0)),""))</f>
        <v>0.2721088475921527</v>
      </c>
      <c r="I161" s="97">
        <f>IF($A161="","",IFERROR(INDEX(Data_Analitik!$V$2:$V$351,MATCH($A161,Data_Analitik!$AL$2:$AL$351,0)),""))</f>
        <v>3.4013605949019088E-2</v>
      </c>
      <c r="J161" s="97">
        <f>IF($A161="","",IFERROR(INDEX(Data_Analitik!$X$2:$X$351,MATCH($A161,Data_Analitik!$AL$2:$AL$351,0)),""))</f>
        <v>0.69387753804524743</v>
      </c>
      <c r="K161" s="97">
        <f>IF($A161="","",IFERROR(INDEX(Data_Analitik!$Z$2:$Z$351,MATCH($A161,Data_Analitik!$AL$2:$AL$351,0)),""))</f>
        <v>0.30612245354117179</v>
      </c>
      <c r="L161" s="33" t="str">
        <f>IF($A161="","",IFERROR(INDEX(Data_Analitik!$AB$2:$AB$351,MATCH($A161,Data_Analitik!$AL$2:$AL$351,0)),""))</f>
        <v>Tidak Mantap Sedang</v>
      </c>
    </row>
    <row r="162" spans="1:12" ht="21.95" customHeight="1" x14ac:dyDescent="0.25">
      <c r="A162" s="32">
        <f>IF(ROW()-9&lt;=SUM(Data_Analitik!$AK$2:$AK$351),ROW()-9,"")</f>
        <v>153</v>
      </c>
      <c r="B162" s="99" t="str">
        <f>IF($A162="","",IFERROR(INDEX(Data_Analitik!$B$2:$B$351,MATCH($A162,Data_Analitik!$AL$2:$AL$351,0)),""))</f>
        <v>153</v>
      </c>
      <c r="C162" s="101" t="str">
        <f>IF($A162="","",IFERROR(INDEX(Data_Analitik!$C$2:$C$351,MATCH($A162,Data_Analitik!$AL$2:$AL$351,0)),""))</f>
        <v>Jl. Monumen 17 Mei - Mandapai</v>
      </c>
      <c r="D162" s="101" t="str">
        <f>IF($A162="","",IFERROR(INDEX(Data_Analitik!$D$2:$D$351,MATCH($A162,Data_Analitik!$AL$2:$AL$351,0)),""))</f>
        <v>Padang Batung</v>
      </c>
      <c r="E162" s="100">
        <f>IF($A162="","",IFERROR(INDEX(Data_Analitik!$E$2:$E$351,MATCH($A162,Data_Analitik!$AL$2:$AL$351,0)),""))</f>
        <v>0.06</v>
      </c>
      <c r="F162" s="97">
        <f>IF($A162="","",IFERROR(INDEX(Data_Analitik!$P$2:$P$351,MATCH($A162,Data_Analitik!$AL$2:$AL$351,0)),""))</f>
        <v>0.99999997764825821</v>
      </c>
      <c r="G162" s="97">
        <f>IF($A162="","",IFERROR(INDEX(Data_Analitik!$R$2:$R$351,MATCH($A162,Data_Analitik!$AL$2:$AL$351,0)),""))</f>
        <v>0</v>
      </c>
      <c r="H162" s="97">
        <f>IF($A162="","",IFERROR(INDEX(Data_Analitik!$T$2:$T$351,MATCH($A162,Data_Analitik!$AL$2:$AL$351,0)),""))</f>
        <v>0</v>
      </c>
      <c r="I162" s="97">
        <f>IF($A162="","",IFERROR(INDEX(Data_Analitik!$V$2:$V$351,MATCH($A162,Data_Analitik!$AL$2:$AL$351,0)),""))</f>
        <v>0</v>
      </c>
      <c r="J162" s="97">
        <f>IF($A162="","",IFERROR(INDEX(Data_Analitik!$X$2:$X$351,MATCH($A162,Data_Analitik!$AL$2:$AL$351,0)),""))</f>
        <v>0.99999997764825821</v>
      </c>
      <c r="K162" s="97">
        <f>IF($A162="","",IFERROR(INDEX(Data_Analitik!$Z$2:$Z$351,MATCH($A162,Data_Analitik!$AL$2:$AL$351,0)),""))</f>
        <v>0</v>
      </c>
      <c r="L162" s="33" t="str">
        <f>IF($A162="","",IFERROR(INDEX(Data_Analitik!$AB$2:$AB$351,MATCH($A162,Data_Analitik!$AL$2:$AL$351,0)),""))</f>
        <v>Relatif Mantap</v>
      </c>
    </row>
    <row r="163" spans="1:12" ht="21.95" customHeight="1" x14ac:dyDescent="0.25">
      <c r="A163" s="32">
        <f>IF(ROW()-9&lt;=SUM(Data_Analitik!$AK$2:$AK$351),ROW()-9,"")</f>
        <v>154</v>
      </c>
      <c r="B163" s="99" t="str">
        <f>IF($A163="","",IFERROR(INDEX(Data_Analitik!$B$2:$B$351,MATCH($A163,Data_Analitik!$AL$2:$AL$351,0)),""))</f>
        <v>154</v>
      </c>
      <c r="C163" s="101" t="str">
        <f>IF($A163="","",IFERROR(INDEX(Data_Analitik!$C$2:$C$351,MATCH($A163,Data_Analitik!$AL$2:$AL$351,0)),""))</f>
        <v>Batu Laki - Muara Pipii</v>
      </c>
      <c r="D163" s="101" t="str">
        <f>IF($A163="","",IFERROR(INDEX(Data_Analitik!$D$2:$D$351,MATCH($A163,Data_Analitik!$AL$2:$AL$351,0)),""))</f>
        <v>Padang Batung</v>
      </c>
      <c r="E163" s="100">
        <f>IF($A163="","",IFERROR(INDEX(Data_Analitik!$E$2:$E$351,MATCH($A163,Data_Analitik!$AL$2:$AL$351,0)),""))</f>
        <v>4.2699999999999996</v>
      </c>
      <c r="F163" s="97">
        <f>IF($A163="","",IFERROR(INDEX(Data_Analitik!$P$2:$P$351,MATCH($A163,Data_Analitik!$AL$2:$AL$351,0)),""))</f>
        <v>0.14051522806600888</v>
      </c>
      <c r="G163" s="97">
        <f>IF($A163="","",IFERROR(INDEX(Data_Analitik!$R$2:$R$351,MATCH($A163,Data_Analitik!$AL$2:$AL$351,0)),""))</f>
        <v>7.0257614033004442E-2</v>
      </c>
      <c r="H163" s="97">
        <f>IF($A163="","",IFERROR(INDEX(Data_Analitik!$T$2:$T$351,MATCH($A163,Data_Analitik!$AL$2:$AL$351,0)),""))</f>
        <v>9.3676816384183723E-2</v>
      </c>
      <c r="I163" s="97">
        <f>IF($A163="","",IFERROR(INDEX(Data_Analitik!$V$2:$V$351,MATCH($A163,Data_Analitik!$AL$2:$AL$351,0)),""))</f>
        <v>0.69555035798834419</v>
      </c>
      <c r="J163" s="97">
        <f>IF($A163="","",IFERROR(INDEX(Data_Analitik!$X$2:$X$351,MATCH($A163,Data_Analitik!$AL$2:$AL$351,0)),""))</f>
        <v>0.21077284209901334</v>
      </c>
      <c r="K163" s="97">
        <f>IF($A163="","",IFERROR(INDEX(Data_Analitik!$Z$2:$Z$351,MATCH($A163,Data_Analitik!$AL$2:$AL$351,0)),""))</f>
        <v>0.78922717437252798</v>
      </c>
      <c r="L163" s="33" t="str">
        <f>IF($A163="","",IFERROR(INDEX(Data_Analitik!$AB$2:$AB$351,MATCH($A163,Data_Analitik!$AL$2:$AL$351,0)),""))</f>
        <v>Rusak Berat Dominan</v>
      </c>
    </row>
    <row r="164" spans="1:12" ht="21.95" customHeight="1" x14ac:dyDescent="0.25">
      <c r="A164" s="32">
        <f>IF(ROW()-9&lt;=SUM(Data_Analitik!$AK$2:$AK$351),ROW()-9,"")</f>
        <v>155</v>
      </c>
      <c r="B164" s="99" t="str">
        <f>IF($A164="","",IFERROR(INDEX(Data_Analitik!$B$2:$B$351,MATCH($A164,Data_Analitik!$AL$2:$AL$351,0)),""))</f>
        <v>155</v>
      </c>
      <c r="C164" s="101" t="str">
        <f>IF($A164="","",IFERROR(INDEX(Data_Analitik!$C$2:$C$351,MATCH($A164,Data_Analitik!$AL$2:$AL$351,0)),""))</f>
        <v>Muara Pipii - Tambak Pipii</v>
      </c>
      <c r="D164" s="101" t="str">
        <f>IF($A164="","",IFERROR(INDEX(Data_Analitik!$D$2:$D$351,MATCH($A164,Data_Analitik!$AL$2:$AL$351,0)),""))</f>
        <v>Padang Batung</v>
      </c>
      <c r="E164" s="100">
        <f>IF($A164="","",IFERROR(INDEX(Data_Analitik!$E$2:$E$351,MATCH($A164,Data_Analitik!$AL$2:$AL$351,0)),""))</f>
        <v>4.6500000000000004</v>
      </c>
      <c r="F164" s="97">
        <f>IF($A164="","",IFERROR(INDEX(Data_Analitik!$P$2:$P$351,MATCH($A164,Data_Analitik!$AL$2:$AL$351,0)),""))</f>
        <v>0</v>
      </c>
      <c r="G164" s="97">
        <f>IF($A164="","",IFERROR(INDEX(Data_Analitik!$R$2:$R$351,MATCH($A164,Data_Analitik!$AL$2:$AL$351,0)),""))</f>
        <v>0</v>
      </c>
      <c r="H164" s="97">
        <f>IF($A164="","",IFERROR(INDEX(Data_Analitik!$T$2:$T$351,MATCH($A164,Data_Analitik!$AL$2:$AL$351,0)),""))</f>
        <v>8.6021506658164396E-2</v>
      </c>
      <c r="I164" s="97">
        <f>IF($A164="","",IFERROR(INDEX(Data_Analitik!$V$2:$V$351,MATCH($A164,Data_Analitik!$AL$2:$AL$351,0)),""))</f>
        <v>0.91397852026006221</v>
      </c>
      <c r="J164" s="97">
        <f>IF($A164="","",IFERROR(INDEX(Data_Analitik!$X$2:$X$351,MATCH($A164,Data_Analitik!$AL$2:$AL$351,0)),""))</f>
        <v>0</v>
      </c>
      <c r="K164" s="97">
        <f>IF($A164="","",IFERROR(INDEX(Data_Analitik!$Z$2:$Z$351,MATCH($A164,Data_Analitik!$AL$2:$AL$351,0)),""))</f>
        <v>1.0000000269182265</v>
      </c>
      <c r="L164" s="33" t="str">
        <f>IF($A164="","",IFERROR(INDEX(Data_Analitik!$AB$2:$AB$351,MATCH($A164,Data_Analitik!$AL$2:$AL$351,0)),""))</f>
        <v>Rusak Berat Dominan</v>
      </c>
    </row>
    <row r="165" spans="1:12" ht="21.95" customHeight="1" x14ac:dyDescent="0.25">
      <c r="A165" s="32">
        <f>IF(ROW()-9&lt;=SUM(Data_Analitik!$AK$2:$AK$351),ROW()-9,"")</f>
        <v>156</v>
      </c>
      <c r="B165" s="99" t="str">
        <f>IF($A165="","",IFERROR(INDEX(Data_Analitik!$B$2:$B$351,MATCH($A165,Data_Analitik!$AL$2:$AL$351,0)),""))</f>
        <v>156</v>
      </c>
      <c r="C165" s="101" t="str">
        <f>IF($A165="","",IFERROR(INDEX(Data_Analitik!$C$2:$C$351,MATCH($A165,Data_Analitik!$AL$2:$AL$351,0)),""))</f>
        <v>Tambak Pipii - Malilingin</v>
      </c>
      <c r="D165" s="101" t="str">
        <f>IF($A165="","",IFERROR(INDEX(Data_Analitik!$D$2:$D$351,MATCH($A165,Data_Analitik!$AL$2:$AL$351,0)),""))</f>
        <v>Padang Batung</v>
      </c>
      <c r="E165" s="100">
        <f>IF($A165="","",IFERROR(INDEX(Data_Analitik!$E$2:$E$351,MATCH($A165,Data_Analitik!$AL$2:$AL$351,0)),""))</f>
        <v>4.88</v>
      </c>
      <c r="F165" s="97">
        <f>IF($A165="","",IFERROR(INDEX(Data_Analitik!$P$2:$P$351,MATCH($A165,Data_Analitik!$AL$2:$AL$351,0)),""))</f>
        <v>0</v>
      </c>
      <c r="G165" s="97">
        <f>IF($A165="","",IFERROR(INDEX(Data_Analitik!$R$2:$R$351,MATCH($A165,Data_Analitik!$AL$2:$AL$351,0)),""))</f>
        <v>0.20081967603964884</v>
      </c>
      <c r="H165" s="97">
        <f>IF($A165="","",IFERROR(INDEX(Data_Analitik!$T$2:$T$351,MATCH($A165,Data_Analitik!$AL$2:$AL$351,0)),""))</f>
        <v>0</v>
      </c>
      <c r="I165" s="97">
        <f>IF($A165="","",IFERROR(INDEX(Data_Analitik!$V$2:$V$351,MATCH($A165,Data_Analitik!$AL$2:$AL$351,0)),""))</f>
        <v>0.79918034741135902</v>
      </c>
      <c r="J165" s="97">
        <f>IF($A165="","",IFERROR(INDEX(Data_Analitik!$X$2:$X$351,MATCH($A165,Data_Analitik!$AL$2:$AL$351,0)),""))</f>
        <v>0.20081967603964884</v>
      </c>
      <c r="K165" s="97">
        <f>IF($A165="","",IFERROR(INDEX(Data_Analitik!$Z$2:$Z$351,MATCH($A165,Data_Analitik!$AL$2:$AL$351,0)),""))</f>
        <v>0.79918034741135902</v>
      </c>
      <c r="L165" s="33" t="str">
        <f>IF($A165="","",IFERROR(INDEX(Data_Analitik!$AB$2:$AB$351,MATCH($A165,Data_Analitik!$AL$2:$AL$351,0)),""))</f>
        <v>Rusak Berat Dominan</v>
      </c>
    </row>
    <row r="166" spans="1:12" ht="21.95" customHeight="1" x14ac:dyDescent="0.25">
      <c r="A166" s="32">
        <f>IF(ROW()-9&lt;=SUM(Data_Analitik!$AK$2:$AK$351),ROW()-9,"")</f>
        <v>157</v>
      </c>
      <c r="B166" s="99" t="str">
        <f>IF($A166="","",IFERROR(INDEX(Data_Analitik!$B$2:$B$351,MATCH($A166,Data_Analitik!$AL$2:$AL$351,0)),""))</f>
        <v>157</v>
      </c>
      <c r="C166" s="101" t="str">
        <f>IF($A166="","",IFERROR(INDEX(Data_Analitik!$C$2:$C$351,MATCH($A166,Data_Analitik!$AL$2:$AL$351,0)),""))</f>
        <v>Malilingin - Muara Hariang</v>
      </c>
      <c r="D166" s="101" t="str">
        <f>IF($A166="","",IFERROR(INDEX(Data_Analitik!$D$2:$D$351,MATCH($A166,Data_Analitik!$AL$2:$AL$351,0)),""))</f>
        <v>Padang Batung</v>
      </c>
      <c r="E166" s="100">
        <f>IF($A166="","",IFERROR(INDEX(Data_Analitik!$E$2:$E$351,MATCH($A166,Data_Analitik!$AL$2:$AL$351,0)),""))</f>
        <v>4.57</v>
      </c>
      <c r="F166" s="97">
        <f>IF($A166="","",IFERROR(INDEX(Data_Analitik!$P$2:$P$351,MATCH($A166,Data_Analitik!$AL$2:$AL$351,0)),""))</f>
        <v>0</v>
      </c>
      <c r="G166" s="97">
        <f>IF($A166="","",IFERROR(INDEX(Data_Analitik!$R$2:$R$351,MATCH($A166,Data_Analitik!$AL$2:$AL$351,0)),""))</f>
        <v>0</v>
      </c>
      <c r="H166" s="97">
        <f>IF($A166="","",IFERROR(INDEX(Data_Analitik!$T$2:$T$351,MATCH($A166,Data_Analitik!$AL$2:$AL$351,0)),""))</f>
        <v>0</v>
      </c>
      <c r="I166" s="97">
        <f>IF($A166="","",IFERROR(INDEX(Data_Analitik!$V$2:$V$351,MATCH($A166,Data_Analitik!$AL$2:$AL$351,0)),""))</f>
        <v>1.0000000375626645</v>
      </c>
      <c r="J166" s="97">
        <f>IF($A166="","",IFERROR(INDEX(Data_Analitik!$X$2:$X$351,MATCH($A166,Data_Analitik!$AL$2:$AL$351,0)),""))</f>
        <v>0</v>
      </c>
      <c r="K166" s="97">
        <f>IF($A166="","",IFERROR(INDEX(Data_Analitik!$Z$2:$Z$351,MATCH($A166,Data_Analitik!$AL$2:$AL$351,0)),""))</f>
        <v>1.0000000375626645</v>
      </c>
      <c r="L166" s="33" t="str">
        <f>IF($A166="","",IFERROR(INDEX(Data_Analitik!$AB$2:$AB$351,MATCH($A166,Data_Analitik!$AL$2:$AL$351,0)),""))</f>
        <v>Rusak Berat Dominan</v>
      </c>
    </row>
    <row r="167" spans="1:12" ht="21.95" customHeight="1" x14ac:dyDescent="0.25">
      <c r="A167" s="32">
        <f>IF(ROW()-9&lt;=SUM(Data_Analitik!$AK$2:$AK$351),ROW()-9,"")</f>
        <v>158</v>
      </c>
      <c r="B167" s="99" t="str">
        <f>IF($A167="","",IFERROR(INDEX(Data_Analitik!$B$2:$B$351,MATCH($A167,Data_Analitik!$AL$2:$AL$351,0)),""))</f>
        <v>158</v>
      </c>
      <c r="C167" s="101" t="str">
        <f>IF($A167="","",IFERROR(INDEX(Data_Analitik!$C$2:$C$351,MATCH($A167,Data_Analitik!$AL$2:$AL$351,0)),""))</f>
        <v>Mawangi - Pariangan</v>
      </c>
      <c r="D167" s="101" t="str">
        <f>IF($A167="","",IFERROR(INDEX(Data_Analitik!$D$2:$D$351,MATCH($A167,Data_Analitik!$AL$2:$AL$351,0)),""))</f>
        <v>Padang Batung</v>
      </c>
      <c r="E167" s="100">
        <f>IF($A167="","",IFERROR(INDEX(Data_Analitik!$E$2:$E$351,MATCH($A167,Data_Analitik!$AL$2:$AL$351,0)),""))</f>
        <v>2.35</v>
      </c>
      <c r="F167" s="97">
        <f>IF($A167="","",IFERROR(INDEX(Data_Analitik!$P$2:$P$351,MATCH($A167,Data_Analitik!$AL$2:$AL$351,0)),""))</f>
        <v>4.2553192123453668E-2</v>
      </c>
      <c r="G167" s="97">
        <f>IF($A167="","",IFERROR(INDEX(Data_Analitik!$R$2:$R$351,MATCH($A167,Data_Analitik!$AL$2:$AL$351,0)),""))</f>
        <v>0.4893616919821881</v>
      </c>
      <c r="H167" s="97">
        <f>IF($A167="","",IFERROR(INDEX(Data_Analitik!$T$2:$T$351,MATCH($A167,Data_Analitik!$AL$2:$AL$351,0)),""))</f>
        <v>0.42553191489361702</v>
      </c>
      <c r="I167" s="97">
        <f>IF($A167="","",IFERROR(INDEX(Data_Analitik!$V$2:$V$351,MATCH($A167,Data_Analitik!$AL$2:$AL$351,0)),""))</f>
        <v>4.2553192123453668E-2</v>
      </c>
      <c r="J167" s="97">
        <f>IF($A167="","",IFERROR(INDEX(Data_Analitik!$X$2:$X$351,MATCH($A167,Data_Analitik!$AL$2:$AL$351,0)),""))</f>
        <v>0.53191488410564181</v>
      </c>
      <c r="K167" s="97">
        <f>IF($A167="","",IFERROR(INDEX(Data_Analitik!$Z$2:$Z$351,MATCH($A167,Data_Analitik!$AL$2:$AL$351,0)),""))</f>
        <v>0.46808510701707068</v>
      </c>
      <c r="L167" s="33" t="str">
        <f>IF($A167="","",IFERROR(INDEX(Data_Analitik!$AB$2:$AB$351,MATCH($A167,Data_Analitik!$AL$2:$AL$351,0)),""))</f>
        <v>Tidak Mantap Sedang</v>
      </c>
    </row>
    <row r="168" spans="1:12" ht="21.95" customHeight="1" x14ac:dyDescent="0.25">
      <c r="A168" s="32">
        <f>IF(ROW()-9&lt;=SUM(Data_Analitik!$AK$2:$AK$351),ROW()-9,"")</f>
        <v>159</v>
      </c>
      <c r="B168" s="99" t="str">
        <f>IF($A168="","",IFERROR(INDEX(Data_Analitik!$B$2:$B$351,MATCH($A168,Data_Analitik!$AL$2:$AL$351,0)),""))</f>
        <v>159</v>
      </c>
      <c r="C168" s="101" t="str">
        <f>IF($A168="","",IFERROR(INDEX(Data_Analitik!$C$2:$C$351,MATCH($A168,Data_Analitik!$AL$2:$AL$351,0)),""))</f>
        <v>Jambu Hulu - Paku Pantai</v>
      </c>
      <c r="D168" s="101" t="str">
        <f>IF($A168="","",IFERROR(INDEX(Data_Analitik!$D$2:$D$351,MATCH($A168,Data_Analitik!$AL$2:$AL$351,0)),""))</f>
        <v>Padang Batung</v>
      </c>
      <c r="E168" s="100">
        <f>IF($A168="","",IFERROR(INDEX(Data_Analitik!$E$2:$E$351,MATCH($A168,Data_Analitik!$AL$2:$AL$351,0)),""))</f>
        <v>1.62</v>
      </c>
      <c r="F168" s="97">
        <f>IF($A168="","",IFERROR(INDEX(Data_Analitik!$P$2:$P$351,MATCH($A168,Data_Analitik!$AL$2:$AL$351,0)),""))</f>
        <v>0</v>
      </c>
      <c r="G168" s="97">
        <f>IF($A168="","",IFERROR(INDEX(Data_Analitik!$R$2:$R$351,MATCH($A168,Data_Analitik!$AL$2:$AL$351,0)),""))</f>
        <v>0.92592592592592582</v>
      </c>
      <c r="H168" s="97">
        <f>IF($A168="","",IFERROR(INDEX(Data_Analitik!$T$2:$T$351,MATCH($A168,Data_Analitik!$AL$2:$AL$351,0)),""))</f>
        <v>7.4074072418389494E-2</v>
      </c>
      <c r="I168" s="97">
        <f>IF($A168="","",IFERROR(INDEX(Data_Analitik!$V$2:$V$351,MATCH($A168,Data_Analitik!$AL$2:$AL$351,0)),""))</f>
        <v>0</v>
      </c>
      <c r="J168" s="97">
        <f>IF($A168="","",IFERROR(INDEX(Data_Analitik!$X$2:$X$351,MATCH($A168,Data_Analitik!$AL$2:$AL$351,0)),""))</f>
        <v>0.92592592592592582</v>
      </c>
      <c r="K168" s="97">
        <f>IF($A168="","",IFERROR(INDEX(Data_Analitik!$Z$2:$Z$351,MATCH($A168,Data_Analitik!$AL$2:$AL$351,0)),""))</f>
        <v>7.4074072418389494E-2</v>
      </c>
      <c r="L168" s="33" t="str">
        <f>IF($A168="","",IFERROR(INDEX(Data_Analitik!$AB$2:$AB$351,MATCH($A168,Data_Analitik!$AL$2:$AL$351,0)),""))</f>
        <v>Relatif Mantap</v>
      </c>
    </row>
    <row r="169" spans="1:12" ht="21.95" customHeight="1" x14ac:dyDescent="0.25">
      <c r="A169" s="32">
        <f>IF(ROW()-9&lt;=SUM(Data_Analitik!$AK$2:$AK$351),ROW()-9,"")</f>
        <v>160</v>
      </c>
      <c r="B169" s="99" t="str">
        <f>IF($A169="","",IFERROR(INDEX(Data_Analitik!$B$2:$B$351,MATCH($A169,Data_Analitik!$AL$2:$AL$351,0)),""))</f>
        <v>160</v>
      </c>
      <c r="C169" s="101" t="str">
        <f>IF($A169="","",IFERROR(INDEX(Data_Analitik!$C$2:$C$351,MATCH($A169,Data_Analitik!$AL$2:$AL$351,0)),""))</f>
        <v>Sungai Minting - Ds. Malutu</v>
      </c>
      <c r="D169" s="101" t="str">
        <f>IF($A169="","",IFERROR(INDEX(Data_Analitik!$D$2:$D$351,MATCH($A169,Data_Analitik!$AL$2:$AL$351,0)),""))</f>
        <v>Padang Batung</v>
      </c>
      <c r="E169" s="100">
        <f>IF($A169="","",IFERROR(INDEX(Data_Analitik!$E$2:$E$351,MATCH($A169,Data_Analitik!$AL$2:$AL$351,0)),""))</f>
        <v>0.47</v>
      </c>
      <c r="F169" s="97">
        <f>IF($A169="","",IFERROR(INDEX(Data_Analitik!$P$2:$P$351,MATCH($A169,Data_Analitik!$AL$2:$AL$351,0)),""))</f>
        <v>0</v>
      </c>
      <c r="G169" s="97">
        <f>IF($A169="","",IFERROR(INDEX(Data_Analitik!$R$2:$R$351,MATCH($A169,Data_Analitik!$AL$2:$AL$351,0)),""))</f>
        <v>0.99999999746363222</v>
      </c>
      <c r="H169" s="97">
        <f>IF($A169="","",IFERROR(INDEX(Data_Analitik!$T$2:$T$351,MATCH($A169,Data_Analitik!$AL$2:$AL$351,0)),""))</f>
        <v>0</v>
      </c>
      <c r="I169" s="97">
        <f>IF($A169="","",IFERROR(INDEX(Data_Analitik!$V$2:$V$351,MATCH($A169,Data_Analitik!$AL$2:$AL$351,0)),""))</f>
        <v>0</v>
      </c>
      <c r="J169" s="97">
        <f>IF($A169="","",IFERROR(INDEX(Data_Analitik!$X$2:$X$351,MATCH($A169,Data_Analitik!$AL$2:$AL$351,0)),""))</f>
        <v>0.99999999746363222</v>
      </c>
      <c r="K169" s="97">
        <f>IF($A169="","",IFERROR(INDEX(Data_Analitik!$Z$2:$Z$351,MATCH($A169,Data_Analitik!$AL$2:$AL$351,0)),""))</f>
        <v>0</v>
      </c>
      <c r="L169" s="33" t="str">
        <f>IF($A169="","",IFERROR(INDEX(Data_Analitik!$AB$2:$AB$351,MATCH($A169,Data_Analitik!$AL$2:$AL$351,0)),""))</f>
        <v>Relatif Mantap</v>
      </c>
    </row>
    <row r="170" spans="1:12" ht="21.95" customHeight="1" x14ac:dyDescent="0.25">
      <c r="A170" s="32">
        <f>IF(ROW()-9&lt;=SUM(Data_Analitik!$AK$2:$AK$351),ROW()-9,"")</f>
        <v>161</v>
      </c>
      <c r="B170" s="99" t="str">
        <f>IF($A170="","",IFERROR(INDEX(Data_Analitik!$B$2:$B$351,MATCH($A170,Data_Analitik!$AL$2:$AL$351,0)),""))</f>
        <v>161</v>
      </c>
      <c r="C170" s="101" t="str">
        <f>IF($A170="","",IFERROR(INDEX(Data_Analitik!$C$2:$C$351,MATCH($A170,Data_Analitik!$AL$2:$AL$351,0)),""))</f>
        <v>Padang Rasau (Tambak Tamiang) - Paku Pantai</v>
      </c>
      <c r="D170" s="101" t="str">
        <f>IF($A170="","",IFERROR(INDEX(Data_Analitik!$D$2:$D$351,MATCH($A170,Data_Analitik!$AL$2:$AL$351,0)),""))</f>
        <v>Padang Batung</v>
      </c>
      <c r="E170" s="100">
        <f>IF($A170="","",IFERROR(INDEX(Data_Analitik!$E$2:$E$351,MATCH($A170,Data_Analitik!$AL$2:$AL$351,0)),""))</f>
        <v>2.23</v>
      </c>
      <c r="F170" s="97">
        <f>IF($A170="","",IFERROR(INDEX(Data_Analitik!$P$2:$P$351,MATCH($A170,Data_Analitik!$AL$2:$AL$351,0)),""))</f>
        <v>0</v>
      </c>
      <c r="G170" s="97">
        <f>IF($A170="","",IFERROR(INDEX(Data_Analitik!$R$2:$R$351,MATCH($A170,Data_Analitik!$AL$2:$AL$351,0)),""))</f>
        <v>0.86547082849682178</v>
      </c>
      <c r="H170" s="97">
        <f>IF($A170="","",IFERROR(INDEX(Data_Analitik!$T$2:$T$351,MATCH($A170,Data_Analitik!$AL$2:$AL$351,0)),""))</f>
        <v>0.13452915332777082</v>
      </c>
      <c r="I170" s="97">
        <f>IF($A170="","",IFERROR(INDEX(Data_Analitik!$V$2:$V$351,MATCH($A170,Data_Analitik!$AL$2:$AL$351,0)),""))</f>
        <v>0</v>
      </c>
      <c r="J170" s="97">
        <f>IF($A170="","",IFERROR(INDEX(Data_Analitik!$X$2:$X$351,MATCH($A170,Data_Analitik!$AL$2:$AL$351,0)),""))</f>
        <v>0.86547082849682178</v>
      </c>
      <c r="K170" s="97">
        <f>IF($A170="","",IFERROR(INDEX(Data_Analitik!$Z$2:$Z$351,MATCH($A170,Data_Analitik!$AL$2:$AL$351,0)),""))</f>
        <v>0.13452915332777082</v>
      </c>
      <c r="L170" s="33" t="str">
        <f>IF($A170="","",IFERROR(INDEX(Data_Analitik!$AB$2:$AB$351,MATCH($A170,Data_Analitik!$AL$2:$AL$351,0)),""))</f>
        <v>Relatif Mantap</v>
      </c>
    </row>
    <row r="171" spans="1:12" ht="21.95" customHeight="1" x14ac:dyDescent="0.25">
      <c r="A171" s="32">
        <f>IF(ROW()-9&lt;=SUM(Data_Analitik!$AK$2:$AK$351),ROW()-9,"")</f>
        <v>162</v>
      </c>
      <c r="B171" s="99" t="str">
        <f>IF($A171="","",IFERROR(INDEX(Data_Analitik!$B$2:$B$351,MATCH($A171,Data_Analitik!$AL$2:$AL$351,0)),""))</f>
        <v>162</v>
      </c>
      <c r="C171" s="101" t="str">
        <f>IF($A171="","",IFERROR(INDEX(Data_Analitik!$C$2:$C$351,MATCH($A171,Data_Analitik!$AL$2:$AL$351,0)),""))</f>
        <v>Jl. Galuntang Tayub - Ds. Madang</v>
      </c>
      <c r="D171" s="101" t="str">
        <f>IF($A171="","",IFERROR(INDEX(Data_Analitik!$D$2:$D$351,MATCH($A171,Data_Analitik!$AL$2:$AL$351,0)),""))</f>
        <v>Padang Batung</v>
      </c>
      <c r="E171" s="100">
        <f>IF($A171="","",IFERROR(INDEX(Data_Analitik!$E$2:$E$351,MATCH($A171,Data_Analitik!$AL$2:$AL$351,0)),""))</f>
        <v>2.36</v>
      </c>
      <c r="F171" s="97">
        <f>IF($A171="","",IFERROR(INDEX(Data_Analitik!$P$2:$P$351,MATCH($A171,Data_Analitik!$AL$2:$AL$351,0)),""))</f>
        <v>0.87288133168624626</v>
      </c>
      <c r="G171" s="97">
        <f>IF($A171="","",IFERROR(INDEX(Data_Analitik!$R$2:$R$351,MATCH($A171,Data_Analitik!$AL$2:$AL$351,0)),""))</f>
        <v>0.1271186491190377</v>
      </c>
      <c r="H171" s="97">
        <f>IF($A171="","",IFERROR(INDEX(Data_Analitik!$T$2:$T$351,MATCH($A171,Data_Analitik!$AL$2:$AL$351,0)),""))</f>
        <v>0</v>
      </c>
      <c r="I171" s="97">
        <f>IF($A171="","",IFERROR(INDEX(Data_Analitik!$V$2:$V$351,MATCH($A171,Data_Analitik!$AL$2:$AL$351,0)),""))</f>
        <v>0</v>
      </c>
      <c r="J171" s="97">
        <f>IF($A171="","",IFERROR(INDEX(Data_Analitik!$X$2:$X$351,MATCH($A171,Data_Analitik!$AL$2:$AL$351,0)),""))</f>
        <v>0.99999998080528396</v>
      </c>
      <c r="K171" s="97">
        <f>IF($A171="","",IFERROR(INDEX(Data_Analitik!$Z$2:$Z$351,MATCH($A171,Data_Analitik!$AL$2:$AL$351,0)),""))</f>
        <v>0</v>
      </c>
      <c r="L171" s="33" t="str">
        <f>IF($A171="","",IFERROR(INDEX(Data_Analitik!$AB$2:$AB$351,MATCH($A171,Data_Analitik!$AL$2:$AL$351,0)),""))</f>
        <v>Relatif Mantap</v>
      </c>
    </row>
    <row r="172" spans="1:12" ht="21.95" customHeight="1" x14ac:dyDescent="0.25">
      <c r="A172" s="32">
        <f>IF(ROW()-9&lt;=SUM(Data_Analitik!$AK$2:$AK$351),ROW()-9,"")</f>
        <v>163</v>
      </c>
      <c r="B172" s="99" t="str">
        <f>IF($A172="","",IFERROR(INDEX(Data_Analitik!$B$2:$B$351,MATCH($A172,Data_Analitik!$AL$2:$AL$351,0)),""))</f>
        <v>163</v>
      </c>
      <c r="C172" s="101" t="str">
        <f>IF($A172="","",IFERROR(INDEX(Data_Analitik!$C$2:$C$351,MATCH($A172,Data_Analitik!$AL$2:$AL$351,0)),""))</f>
        <v>Jl. Menuju SMPN Malilingin</v>
      </c>
      <c r="D172" s="101" t="str">
        <f>IF($A172="","",IFERROR(INDEX(Data_Analitik!$D$2:$D$351,MATCH($A172,Data_Analitik!$AL$2:$AL$351,0)),""))</f>
        <v>Padang Batung</v>
      </c>
      <c r="E172" s="100">
        <f>IF($A172="","",IFERROR(INDEX(Data_Analitik!$E$2:$E$351,MATCH($A172,Data_Analitik!$AL$2:$AL$351,0)),""))</f>
        <v>0.45</v>
      </c>
      <c r="F172" s="97">
        <f>IF($A172="","",IFERROR(INDEX(Data_Analitik!$P$2:$P$351,MATCH($A172,Data_Analitik!$AL$2:$AL$351,0)),""))</f>
        <v>0</v>
      </c>
      <c r="G172" s="97">
        <f>IF($A172="","",IFERROR(INDEX(Data_Analitik!$R$2:$R$351,MATCH($A172,Data_Analitik!$AL$2:$AL$351,0)),""))</f>
        <v>0.77777776453230119</v>
      </c>
      <c r="H172" s="97">
        <f>IF($A172="","",IFERROR(INDEX(Data_Analitik!$T$2:$T$351,MATCH($A172,Data_Analitik!$AL$2:$AL$351,0)),""))</f>
        <v>0.22222222553359136</v>
      </c>
      <c r="I172" s="97">
        <f>IF($A172="","",IFERROR(INDEX(Data_Analitik!$V$2:$V$351,MATCH($A172,Data_Analitik!$AL$2:$AL$351,0)),""))</f>
        <v>0</v>
      </c>
      <c r="J172" s="97">
        <f>IF($A172="","",IFERROR(INDEX(Data_Analitik!$X$2:$X$351,MATCH($A172,Data_Analitik!$AL$2:$AL$351,0)),""))</f>
        <v>0.77777776453230119</v>
      </c>
      <c r="K172" s="97">
        <f>IF($A172="","",IFERROR(INDEX(Data_Analitik!$Z$2:$Z$351,MATCH($A172,Data_Analitik!$AL$2:$AL$351,0)),""))</f>
        <v>0.22222222553359136</v>
      </c>
      <c r="L172" s="33" t="str">
        <f>IF($A172="","",IFERROR(INDEX(Data_Analitik!$AB$2:$AB$351,MATCH($A172,Data_Analitik!$AL$2:$AL$351,0)),""))</f>
        <v>Tidak Mantap Sedang</v>
      </c>
    </row>
    <row r="173" spans="1:12" ht="21.95" customHeight="1" x14ac:dyDescent="0.25">
      <c r="A173" s="32">
        <f>IF(ROW()-9&lt;=SUM(Data_Analitik!$AK$2:$AK$351),ROW()-9,"")</f>
        <v>164</v>
      </c>
      <c r="B173" s="99" t="str">
        <f>IF($A173="","",IFERROR(INDEX(Data_Analitik!$B$2:$B$351,MATCH($A173,Data_Analitik!$AL$2:$AL$351,0)),""))</f>
        <v>164</v>
      </c>
      <c r="C173" s="101" t="str">
        <f>IF($A173="","",IFERROR(INDEX(Data_Analitik!$C$2:$C$351,MATCH($A173,Data_Analitik!$AL$2:$AL$351,0)),""))</f>
        <v>Jl. Samping Mesjid Mandapai</v>
      </c>
      <c r="D173" s="101" t="str">
        <f>IF($A173="","",IFERROR(INDEX(Data_Analitik!$D$2:$D$351,MATCH($A173,Data_Analitik!$AL$2:$AL$351,0)),""))</f>
        <v>Padang Batung</v>
      </c>
      <c r="E173" s="100">
        <f>IF($A173="","",IFERROR(INDEX(Data_Analitik!$E$2:$E$351,MATCH($A173,Data_Analitik!$AL$2:$AL$351,0)),""))</f>
        <v>0.24</v>
      </c>
      <c r="F173" s="97">
        <f>IF($A173="","",IFERROR(INDEX(Data_Analitik!$P$2:$P$351,MATCH($A173,Data_Analitik!$AL$2:$AL$351,0)),""))</f>
        <v>0</v>
      </c>
      <c r="G173" s="97">
        <f>IF($A173="","",IFERROR(INDEX(Data_Analitik!$R$2:$R$351,MATCH($A173,Data_Analitik!$AL$2:$AL$351,0)),""))</f>
        <v>0.5833333358168602</v>
      </c>
      <c r="H173" s="97">
        <f>IF($A173="","",IFERROR(INDEX(Data_Analitik!$T$2:$T$351,MATCH($A173,Data_Analitik!$AL$2:$AL$351,0)),""))</f>
        <v>0.41666667287548387</v>
      </c>
      <c r="I173" s="97">
        <f>IF($A173="","",IFERROR(INDEX(Data_Analitik!$V$2:$V$351,MATCH($A173,Data_Analitik!$AL$2:$AL$351,0)),""))</f>
        <v>0</v>
      </c>
      <c r="J173" s="97">
        <f>IF($A173="","",IFERROR(INDEX(Data_Analitik!$X$2:$X$351,MATCH($A173,Data_Analitik!$AL$2:$AL$351,0)),""))</f>
        <v>0.5833333358168602</v>
      </c>
      <c r="K173" s="97">
        <f>IF($A173="","",IFERROR(INDEX(Data_Analitik!$Z$2:$Z$351,MATCH($A173,Data_Analitik!$AL$2:$AL$351,0)),""))</f>
        <v>0.41666667287548387</v>
      </c>
      <c r="L173" s="33" t="str">
        <f>IF($A173="","",IFERROR(INDEX(Data_Analitik!$AB$2:$AB$351,MATCH($A173,Data_Analitik!$AL$2:$AL$351,0)),""))</f>
        <v>Tidak Mantap Sedang</v>
      </c>
    </row>
    <row r="174" spans="1:12" ht="21.95" customHeight="1" x14ac:dyDescent="0.25">
      <c r="A174" s="32">
        <f>IF(ROW()-9&lt;=SUM(Data_Analitik!$AK$2:$AK$351),ROW()-9,"")</f>
        <v>165</v>
      </c>
      <c r="B174" s="99" t="str">
        <f>IF($A174="","",IFERROR(INDEX(Data_Analitik!$B$2:$B$351,MATCH($A174,Data_Analitik!$AL$2:$AL$351,0)),""))</f>
        <v>165</v>
      </c>
      <c r="C174" s="101" t="str">
        <f>IF($A174="","",IFERROR(INDEX(Data_Analitik!$C$2:$C$351,MATCH($A174,Data_Analitik!$AL$2:$AL$351,0)),""))</f>
        <v>Muara Hariang - Bayumbung</v>
      </c>
      <c r="D174" s="101" t="str">
        <f>IF($A174="","",IFERROR(INDEX(Data_Analitik!$D$2:$D$351,MATCH($A174,Data_Analitik!$AL$2:$AL$351,0)),""))</f>
        <v>Padang Batung - Loksado</v>
      </c>
      <c r="E174" s="100">
        <f>IF($A174="","",IFERROR(INDEX(Data_Analitik!$E$2:$E$351,MATCH($A174,Data_Analitik!$AL$2:$AL$351,0)),""))</f>
        <v>4</v>
      </c>
      <c r="F174" s="97">
        <f>IF($A174="","",IFERROR(INDEX(Data_Analitik!$P$2:$P$351,MATCH($A174,Data_Analitik!$AL$2:$AL$351,0)),""))</f>
        <v>0</v>
      </c>
      <c r="G174" s="97">
        <f>IF($A174="","",IFERROR(INDEX(Data_Analitik!$R$2:$R$351,MATCH($A174,Data_Analitik!$AL$2:$AL$351,0)),""))</f>
        <v>7.5000002980232239E-2</v>
      </c>
      <c r="H174" s="97">
        <f>IF($A174="","",IFERROR(INDEX(Data_Analitik!$T$2:$T$351,MATCH($A174,Data_Analitik!$AL$2:$AL$351,0)),""))</f>
        <v>0</v>
      </c>
      <c r="I174" s="97">
        <f>IF($A174="","",IFERROR(INDEX(Data_Analitik!$V$2:$V$351,MATCH($A174,Data_Analitik!$AL$2:$AL$351,0)),""))</f>
        <v>0.92499998956918716</v>
      </c>
      <c r="J174" s="97">
        <f>IF($A174="","",IFERROR(INDEX(Data_Analitik!$X$2:$X$351,MATCH($A174,Data_Analitik!$AL$2:$AL$351,0)),""))</f>
        <v>7.5000002980232239E-2</v>
      </c>
      <c r="K174" s="97">
        <f>IF($A174="","",IFERROR(INDEX(Data_Analitik!$Z$2:$Z$351,MATCH($A174,Data_Analitik!$AL$2:$AL$351,0)),""))</f>
        <v>0.92499998956918716</v>
      </c>
      <c r="L174" s="33" t="str">
        <f>IF($A174="","",IFERROR(INDEX(Data_Analitik!$AB$2:$AB$351,MATCH($A174,Data_Analitik!$AL$2:$AL$351,0)),""))</f>
        <v>Rusak Berat Dominan</v>
      </c>
    </row>
    <row r="175" spans="1:12" ht="21.95" customHeight="1" x14ac:dyDescent="0.25">
      <c r="A175" s="32">
        <f>IF(ROW()-9&lt;=SUM(Data_Analitik!$AK$2:$AK$351),ROW()-9,"")</f>
        <v>166</v>
      </c>
      <c r="B175" s="99" t="str">
        <f>IF($A175="","",IFERROR(INDEX(Data_Analitik!$B$2:$B$351,MATCH($A175,Data_Analitik!$AL$2:$AL$351,0)),""))</f>
        <v>166</v>
      </c>
      <c r="C175" s="101" t="str">
        <f>IF($A175="","",IFERROR(INDEX(Data_Analitik!$C$2:$C$351,MATCH($A175,Data_Analitik!$AL$2:$AL$351,0)),""))</f>
        <v>Tambak Pipii - Batu Ampar</v>
      </c>
      <c r="D175" s="101" t="str">
        <f>IF($A175="","",IFERROR(INDEX(Data_Analitik!$D$2:$D$351,MATCH($A175,Data_Analitik!$AL$2:$AL$351,0)),""))</f>
        <v>Padang Batung</v>
      </c>
      <c r="E175" s="100">
        <f>IF($A175="","",IFERROR(INDEX(Data_Analitik!$E$2:$E$351,MATCH($A175,Data_Analitik!$AL$2:$AL$351,0)),""))</f>
        <v>1.98</v>
      </c>
      <c r="F175" s="97">
        <f>IF($A175="","",IFERROR(INDEX(Data_Analitik!$P$2:$P$351,MATCH($A175,Data_Analitik!$AL$2:$AL$351,0)),""))</f>
        <v>0</v>
      </c>
      <c r="G175" s="97">
        <f>IF($A175="","",IFERROR(INDEX(Data_Analitik!$R$2:$R$351,MATCH($A175,Data_Analitik!$AL$2:$AL$351,0)),""))</f>
        <v>0</v>
      </c>
      <c r="H175" s="97">
        <f>IF($A175="","",IFERROR(INDEX(Data_Analitik!$T$2:$T$351,MATCH($A175,Data_Analitik!$AL$2:$AL$351,0)),""))</f>
        <v>0</v>
      </c>
      <c r="I175" s="97">
        <f>IF($A175="","",IFERROR(INDEX(Data_Analitik!$V$2:$V$351,MATCH($A175,Data_Analitik!$AL$2:$AL$351,0)),""))</f>
        <v>1.0000000096330739</v>
      </c>
      <c r="J175" s="97">
        <f>IF($A175="","",IFERROR(INDEX(Data_Analitik!$X$2:$X$351,MATCH($A175,Data_Analitik!$AL$2:$AL$351,0)),""))</f>
        <v>0</v>
      </c>
      <c r="K175" s="97">
        <f>IF($A175="","",IFERROR(INDEX(Data_Analitik!$Z$2:$Z$351,MATCH($A175,Data_Analitik!$AL$2:$AL$351,0)),""))</f>
        <v>1.0000000096330739</v>
      </c>
      <c r="L175" s="33" t="str">
        <f>IF($A175="","",IFERROR(INDEX(Data_Analitik!$AB$2:$AB$351,MATCH($A175,Data_Analitik!$AL$2:$AL$351,0)),""))</f>
        <v>Rusak Berat Dominan</v>
      </c>
    </row>
    <row r="176" spans="1:12" ht="21.95" customHeight="1" x14ac:dyDescent="0.25">
      <c r="A176" s="32">
        <f>IF(ROW()-9&lt;=SUM(Data_Analitik!$AK$2:$AK$351),ROW()-9,"")</f>
        <v>167</v>
      </c>
      <c r="B176" s="99" t="str">
        <f>IF($A176="","",IFERROR(INDEX(Data_Analitik!$B$2:$B$351,MATCH($A176,Data_Analitik!$AL$2:$AL$351,0)),""))</f>
        <v>167</v>
      </c>
      <c r="C176" s="101" t="str">
        <f>IF($A176="","",IFERROR(INDEX(Data_Analitik!$C$2:$C$351,MATCH($A176,Data_Analitik!$AL$2:$AL$351,0)),""))</f>
        <v>Bakarung - Rantauan</v>
      </c>
      <c r="D176" s="101" t="str">
        <f>IF($A176="","",IFERROR(INDEX(Data_Analitik!$D$2:$D$351,MATCH($A176,Data_Analitik!$AL$2:$AL$351,0)),""))</f>
        <v>Angkinang</v>
      </c>
      <c r="E176" s="100">
        <f>IF($A176="","",IFERROR(INDEX(Data_Analitik!$E$2:$E$351,MATCH($A176,Data_Analitik!$AL$2:$AL$351,0)),""))</f>
        <v>3.03</v>
      </c>
      <c r="F176" s="97">
        <f>IF($A176="","",IFERROR(INDEX(Data_Analitik!$P$2:$P$351,MATCH($A176,Data_Analitik!$AL$2:$AL$351,0)),""))</f>
        <v>0.33003300330033003</v>
      </c>
      <c r="G176" s="97">
        <f>IF($A176="","",IFERROR(INDEX(Data_Analitik!$R$2:$R$351,MATCH($A176,Data_Analitik!$AL$2:$AL$351,0)),""))</f>
        <v>0.37293729215565297</v>
      </c>
      <c r="H176" s="97">
        <f>IF($A176="","",IFERROR(INDEX(Data_Analitik!$T$2:$T$351,MATCH($A176,Data_Analitik!$AL$2:$AL$351,0)),""))</f>
        <v>0.29702969510169708</v>
      </c>
      <c r="I176" s="97">
        <f>IF($A176="","",IFERROR(INDEX(Data_Analitik!$V$2:$V$351,MATCH($A176,Data_Analitik!$AL$2:$AL$351,0)),""))</f>
        <v>0</v>
      </c>
      <c r="J176" s="97">
        <f>IF($A176="","",IFERROR(INDEX(Data_Analitik!$X$2:$X$351,MATCH($A176,Data_Analitik!$AL$2:$AL$351,0)),""))</f>
        <v>0.702970295455983</v>
      </c>
      <c r="K176" s="97">
        <f>IF($A176="","",IFERROR(INDEX(Data_Analitik!$Z$2:$Z$351,MATCH($A176,Data_Analitik!$AL$2:$AL$351,0)),""))</f>
        <v>0.29702969510169708</v>
      </c>
      <c r="L176" s="33" t="str">
        <f>IF($A176="","",IFERROR(INDEX(Data_Analitik!$AB$2:$AB$351,MATCH($A176,Data_Analitik!$AL$2:$AL$351,0)),""))</f>
        <v>Tidak Mantap Sedang</v>
      </c>
    </row>
    <row r="177" spans="1:12" ht="21.95" customHeight="1" x14ac:dyDescent="0.25">
      <c r="A177" s="32">
        <f>IF(ROW()-9&lt;=SUM(Data_Analitik!$AK$2:$AK$351),ROW()-9,"")</f>
        <v>168</v>
      </c>
      <c r="B177" s="99" t="str">
        <f>IF($A177="","",IFERROR(INDEX(Data_Analitik!$B$2:$B$351,MATCH($A177,Data_Analitik!$AL$2:$AL$351,0)),""))</f>
        <v>168</v>
      </c>
      <c r="C177" s="101" t="str">
        <f>IF($A177="","",IFERROR(INDEX(Data_Analitik!$C$2:$C$351,MATCH($A177,Data_Analitik!$AL$2:$AL$351,0)),""))</f>
        <v>Taniran Selatan - Rantauan</v>
      </c>
      <c r="D177" s="101" t="str">
        <f>IF($A177="","",IFERROR(INDEX(Data_Analitik!$D$2:$D$351,MATCH($A177,Data_Analitik!$AL$2:$AL$351,0)),""))</f>
        <v>Angkinang</v>
      </c>
      <c r="E177" s="100">
        <f>IF($A177="","",IFERROR(INDEX(Data_Analitik!$E$2:$E$351,MATCH($A177,Data_Analitik!$AL$2:$AL$351,0)),""))</f>
        <v>1.1100000000000001</v>
      </c>
      <c r="F177" s="97">
        <f>IF($A177="","",IFERROR(INDEX(Data_Analitik!$P$2:$P$351,MATCH($A177,Data_Analitik!$AL$2:$AL$351,0)),""))</f>
        <v>0.81981984344688619</v>
      </c>
      <c r="G177" s="97">
        <f>IF($A177="","",IFERROR(INDEX(Data_Analitik!$R$2:$R$351,MATCH($A177,Data_Analitik!$AL$2:$AL$351,0)),""))</f>
        <v>0.18018018286507406</v>
      </c>
      <c r="H177" s="97">
        <f>IF($A177="","",IFERROR(INDEX(Data_Analitik!$T$2:$T$351,MATCH($A177,Data_Analitik!$AL$2:$AL$351,0)),""))</f>
        <v>0</v>
      </c>
      <c r="I177" s="97">
        <f>IF($A177="","",IFERROR(INDEX(Data_Analitik!$V$2:$V$351,MATCH($A177,Data_Analitik!$AL$2:$AL$351,0)),""))</f>
        <v>0</v>
      </c>
      <c r="J177" s="97">
        <f>IF($A177="","",IFERROR(INDEX(Data_Analitik!$X$2:$X$351,MATCH($A177,Data_Analitik!$AL$2:$AL$351,0)),""))</f>
        <v>1.0000000263119602</v>
      </c>
      <c r="K177" s="97">
        <f>IF($A177="","",IFERROR(INDEX(Data_Analitik!$Z$2:$Z$351,MATCH($A177,Data_Analitik!$AL$2:$AL$351,0)),""))</f>
        <v>0</v>
      </c>
      <c r="L177" s="33" t="str">
        <f>IF($A177="","",IFERROR(INDEX(Data_Analitik!$AB$2:$AB$351,MATCH($A177,Data_Analitik!$AL$2:$AL$351,0)),""))</f>
        <v>Relatif Mantap</v>
      </c>
    </row>
    <row r="178" spans="1:12" ht="21.95" customHeight="1" x14ac:dyDescent="0.25">
      <c r="A178" s="32">
        <f>IF(ROW()-9&lt;=SUM(Data_Analitik!$AK$2:$AK$351),ROW()-9,"")</f>
        <v>169</v>
      </c>
      <c r="B178" s="99" t="str">
        <f>IF($A178="","",IFERROR(INDEX(Data_Analitik!$B$2:$B$351,MATCH($A178,Data_Analitik!$AL$2:$AL$351,0)),""))</f>
        <v>169</v>
      </c>
      <c r="C178" s="101" t="str">
        <f>IF($A178="","",IFERROR(INDEX(Data_Analitik!$C$2:$C$351,MATCH($A178,Data_Analitik!$AL$2:$AL$351,0)),""))</f>
        <v>Bakarung -Tabihi - Karang Jawa</v>
      </c>
      <c r="D178" s="101" t="str">
        <f>IF($A178="","",IFERROR(INDEX(Data_Analitik!$D$2:$D$351,MATCH($A178,Data_Analitik!$AL$2:$AL$351,0)),""))</f>
        <v>Angkinang - Padang Batung</v>
      </c>
      <c r="E178" s="100">
        <f>IF($A178="","",IFERROR(INDEX(Data_Analitik!$E$2:$E$351,MATCH($A178,Data_Analitik!$AL$2:$AL$351,0)),""))</f>
        <v>4.57</v>
      </c>
      <c r="F178" s="97">
        <f>IF($A178="","",IFERROR(INDEX(Data_Analitik!$P$2:$P$351,MATCH($A178,Data_Analitik!$AL$2:$AL$351,0)),""))</f>
        <v>0</v>
      </c>
      <c r="G178" s="97">
        <f>IF($A178="","",IFERROR(INDEX(Data_Analitik!$R$2:$R$351,MATCH($A178,Data_Analitik!$AL$2:$AL$351,0)),""))</f>
        <v>0.56236322390433213</v>
      </c>
      <c r="H178" s="97">
        <f>IF($A178="","",IFERROR(INDEX(Data_Analitik!$T$2:$T$351,MATCH($A178,Data_Analitik!$AL$2:$AL$351,0)),""))</f>
        <v>0.43763676148796499</v>
      </c>
      <c r="I178" s="97">
        <f>IF($A178="","",IFERROR(INDEX(Data_Analitik!$V$2:$V$351,MATCH($A178,Data_Analitik!$AL$2:$AL$351,0)),""))</f>
        <v>0</v>
      </c>
      <c r="J178" s="97">
        <f>IF($A178="","",IFERROR(INDEX(Data_Analitik!$X$2:$X$351,MATCH($A178,Data_Analitik!$AL$2:$AL$351,0)),""))</f>
        <v>0.56236322390433213</v>
      </c>
      <c r="K178" s="97">
        <f>IF($A178="","",IFERROR(INDEX(Data_Analitik!$Z$2:$Z$351,MATCH($A178,Data_Analitik!$AL$2:$AL$351,0)),""))</f>
        <v>0.43763676148796499</v>
      </c>
      <c r="L178" s="33" t="str">
        <f>IF($A178="","",IFERROR(INDEX(Data_Analitik!$AB$2:$AB$351,MATCH($A178,Data_Analitik!$AL$2:$AL$351,0)),""))</f>
        <v>Tidak Mantap Sedang</v>
      </c>
    </row>
    <row r="179" spans="1:12" ht="21.95" customHeight="1" x14ac:dyDescent="0.25">
      <c r="A179" s="32">
        <f>IF(ROW()-9&lt;=SUM(Data_Analitik!$AK$2:$AK$351),ROW()-9,"")</f>
        <v>170</v>
      </c>
      <c r="B179" s="99" t="str">
        <f>IF($A179="","",IFERROR(INDEX(Data_Analitik!$B$2:$B$351,MATCH($A179,Data_Analitik!$AL$2:$AL$351,0)),""))</f>
        <v>170</v>
      </c>
      <c r="C179" s="101" t="str">
        <f>IF($A179="","",IFERROR(INDEX(Data_Analitik!$C$2:$C$351,MATCH($A179,Data_Analitik!$AL$2:$AL$351,0)),""))</f>
        <v>Pandulangan - Kalinduku</v>
      </c>
      <c r="D179" s="101" t="str">
        <f>IF($A179="","",IFERROR(INDEX(Data_Analitik!$D$2:$D$351,MATCH($A179,Data_Analitik!$AL$2:$AL$351,0)),""))</f>
        <v>Angkinang - Padang Batung</v>
      </c>
      <c r="E179" s="100">
        <f>IF($A179="","",IFERROR(INDEX(Data_Analitik!$E$2:$E$351,MATCH($A179,Data_Analitik!$AL$2:$AL$351,0)),""))</f>
        <v>1.07</v>
      </c>
      <c r="F179" s="97">
        <f>IF($A179="","",IFERROR(INDEX(Data_Analitik!$P$2:$P$351,MATCH($A179,Data_Analitik!$AL$2:$AL$351,0)),""))</f>
        <v>0</v>
      </c>
      <c r="G179" s="97">
        <f>IF($A179="","",IFERROR(INDEX(Data_Analitik!$R$2:$R$351,MATCH($A179,Data_Analitik!$AL$2:$AL$351,0)),""))</f>
        <v>6.5420561026189927E-2</v>
      </c>
      <c r="H179" s="97">
        <f>IF($A179="","",IFERROR(INDEX(Data_Analitik!$T$2:$T$351,MATCH($A179,Data_Analitik!$AL$2:$AL$351,0)),""))</f>
        <v>0.46728971962616822</v>
      </c>
      <c r="I179" s="97">
        <f>IF($A179="","",IFERROR(INDEX(Data_Analitik!$V$2:$V$351,MATCH($A179,Data_Analitik!$AL$2:$AL$351,0)),""))</f>
        <v>0.46728971962616822</v>
      </c>
      <c r="J179" s="97">
        <f>IF($A179="","",IFERROR(INDEX(Data_Analitik!$X$2:$X$351,MATCH($A179,Data_Analitik!$AL$2:$AL$351,0)),""))</f>
        <v>6.5420561026189927E-2</v>
      </c>
      <c r="K179" s="97">
        <f>IF($A179="","",IFERROR(INDEX(Data_Analitik!$Z$2:$Z$351,MATCH($A179,Data_Analitik!$AL$2:$AL$351,0)),""))</f>
        <v>0.93457943925233644</v>
      </c>
      <c r="L179" s="33" t="str">
        <f>IF($A179="","",IFERROR(INDEX(Data_Analitik!$AB$2:$AB$351,MATCH($A179,Data_Analitik!$AL$2:$AL$351,0)),""))</f>
        <v>Rusak Berat Dominan</v>
      </c>
    </row>
    <row r="180" spans="1:12" ht="21.95" customHeight="1" x14ac:dyDescent="0.25">
      <c r="A180" s="32">
        <f>IF(ROW()-9&lt;=SUM(Data_Analitik!$AK$2:$AK$351),ROW()-9,"")</f>
        <v>171</v>
      </c>
      <c r="B180" s="99" t="str">
        <f>IF($A180="","",IFERROR(INDEX(Data_Analitik!$B$2:$B$351,MATCH($A180,Data_Analitik!$AL$2:$AL$351,0)),""))</f>
        <v>171</v>
      </c>
      <c r="C180" s="101" t="str">
        <f>IF($A180="","",IFERROR(INDEX(Data_Analitik!$C$2:$C$351,MATCH($A180,Data_Analitik!$AL$2:$AL$351,0)),""))</f>
        <v>Taniran Selatan Kubah - Buntut Taniran / Wawaran</v>
      </c>
      <c r="D180" s="101" t="str">
        <f>IF($A180="","",IFERROR(INDEX(Data_Analitik!$D$2:$D$351,MATCH($A180,Data_Analitik!$AL$2:$AL$351,0)),""))</f>
        <v>Angkinang - Kandangan</v>
      </c>
      <c r="E180" s="100">
        <f>IF($A180="","",IFERROR(INDEX(Data_Analitik!$E$2:$E$351,MATCH($A180,Data_Analitik!$AL$2:$AL$351,0)),""))</f>
        <v>6.74</v>
      </c>
      <c r="F180" s="97">
        <f>IF($A180="","",IFERROR(INDEX(Data_Analitik!$P$2:$P$351,MATCH($A180,Data_Analitik!$AL$2:$AL$351,0)),""))</f>
        <v>0.13353115373266203</v>
      </c>
      <c r="G180" s="97">
        <f>IF($A180="","",IFERROR(INDEX(Data_Analitik!$R$2:$R$351,MATCH($A180,Data_Analitik!$AL$2:$AL$351,0)),""))</f>
        <v>0.31750743396204373</v>
      </c>
      <c r="H180" s="97">
        <f>IF($A180="","",IFERROR(INDEX(Data_Analitik!$T$2:$T$351,MATCH($A180,Data_Analitik!$AL$2:$AL$351,0)),""))</f>
        <v>0.29673590504451036</v>
      </c>
      <c r="I180" s="97">
        <f>IF($A180="","",IFERROR(INDEX(Data_Analitik!$V$2:$V$351,MATCH($A180,Data_Analitik!$AL$2:$AL$351,0)),""))</f>
        <v>0.25222552636256912</v>
      </c>
      <c r="J180" s="97">
        <f>IF($A180="","",IFERROR(INDEX(Data_Analitik!$X$2:$X$351,MATCH($A180,Data_Analitik!$AL$2:$AL$351,0)),""))</f>
        <v>0.45103858769470578</v>
      </c>
      <c r="K180" s="97">
        <f>IF($A180="","",IFERROR(INDEX(Data_Analitik!$Z$2:$Z$351,MATCH($A180,Data_Analitik!$AL$2:$AL$351,0)),""))</f>
        <v>0.54896143140707954</v>
      </c>
      <c r="L180" s="33" t="str">
        <f>IF($A180="","",IFERROR(INDEX(Data_Analitik!$AB$2:$AB$351,MATCH($A180,Data_Analitik!$AL$2:$AL$351,0)),""))</f>
        <v>Rusak Berat Dominan</v>
      </c>
    </row>
    <row r="181" spans="1:12" ht="21.95" customHeight="1" x14ac:dyDescent="0.25">
      <c r="A181" s="32">
        <f>IF(ROW()-9&lt;=SUM(Data_Analitik!$AK$2:$AK$351),ROW()-9,"")</f>
        <v>172</v>
      </c>
      <c r="B181" s="99" t="str">
        <f>IF($A181="","",IFERROR(INDEX(Data_Analitik!$B$2:$B$351,MATCH($A181,Data_Analitik!$AL$2:$AL$351,0)),""))</f>
        <v>172</v>
      </c>
      <c r="C181" s="101" t="str">
        <f>IF($A181="","",IFERROR(INDEX(Data_Analitik!$C$2:$C$351,MATCH($A181,Data_Analitik!$AL$2:$AL$351,0)),""))</f>
        <v>Angkinang Selatan - Tawia - Wawaran</v>
      </c>
      <c r="D181" s="101" t="str">
        <f>IF($A181="","",IFERROR(INDEX(Data_Analitik!$D$2:$D$351,MATCH($A181,Data_Analitik!$AL$2:$AL$351,0)),""))</f>
        <v>Angkinang</v>
      </c>
      <c r="E181" s="100">
        <f>IF($A181="","",IFERROR(INDEX(Data_Analitik!$E$2:$E$351,MATCH($A181,Data_Analitik!$AL$2:$AL$351,0)),""))</f>
        <v>5.88</v>
      </c>
      <c r="F181" s="97">
        <f>IF($A181="","",IFERROR(INDEX(Data_Analitik!$P$2:$P$351,MATCH($A181,Data_Analitik!$AL$2:$AL$351,0)),""))</f>
        <v>0.28911565436797887</v>
      </c>
      <c r="G181" s="97">
        <f>IF($A181="","",IFERROR(INDEX(Data_Analitik!$R$2:$R$351,MATCH($A181,Data_Analitik!$AL$2:$AL$351,0)),""))</f>
        <v>0.55782312438601545</v>
      </c>
      <c r="H181" s="97">
        <f>IF($A181="","",IFERROR(INDEX(Data_Analitik!$T$2:$T$351,MATCH($A181,Data_Analitik!$AL$2:$AL$351,0)),""))</f>
        <v>0.15306122043505818</v>
      </c>
      <c r="I181" s="97">
        <f>IF($A181="","",IFERROR(INDEX(Data_Analitik!$V$2:$V$351,MATCH($A181,Data_Analitik!$AL$2:$AL$351,0)),""))</f>
        <v>0</v>
      </c>
      <c r="J181" s="97">
        <f>IF($A181="","",IFERROR(INDEX(Data_Analitik!$X$2:$X$351,MATCH($A181,Data_Analitik!$AL$2:$AL$351,0)),""))</f>
        <v>0.84693877875399426</v>
      </c>
      <c r="K181" s="97">
        <f>IF($A181="","",IFERROR(INDEX(Data_Analitik!$Z$2:$Z$351,MATCH($A181,Data_Analitik!$AL$2:$AL$351,0)),""))</f>
        <v>0.15306122043505818</v>
      </c>
      <c r="L181" s="33" t="str">
        <f>IF($A181="","",IFERROR(INDEX(Data_Analitik!$AB$2:$AB$351,MATCH($A181,Data_Analitik!$AL$2:$AL$351,0)),""))</f>
        <v>Relatif Mantap</v>
      </c>
    </row>
    <row r="182" spans="1:12" ht="21.95" customHeight="1" x14ac:dyDescent="0.25">
      <c r="A182" s="32">
        <f>IF(ROW()-9&lt;=SUM(Data_Analitik!$AK$2:$AK$351),ROW()-9,"")</f>
        <v>173</v>
      </c>
      <c r="B182" s="99" t="str">
        <f>IF($A182="","",IFERROR(INDEX(Data_Analitik!$B$2:$B$351,MATCH($A182,Data_Analitik!$AL$2:$AL$351,0)),""))</f>
        <v>173</v>
      </c>
      <c r="C182" s="101" t="str">
        <f>IF($A182="","",IFERROR(INDEX(Data_Analitik!$C$2:$C$351,MATCH($A182,Data_Analitik!$AL$2:$AL$351,0)),""))</f>
        <v>Tawia - Kayu Abang</v>
      </c>
      <c r="D182" s="101" t="str">
        <f>IF($A182="","",IFERROR(INDEX(Data_Analitik!$D$2:$D$351,MATCH($A182,Data_Analitik!$AL$2:$AL$351,0)),""))</f>
        <v>Angkinang</v>
      </c>
      <c r="E182" s="100">
        <f>IF($A182="","",IFERROR(INDEX(Data_Analitik!$E$2:$E$351,MATCH($A182,Data_Analitik!$AL$2:$AL$351,0)),""))</f>
        <v>1.49</v>
      </c>
      <c r="F182" s="97">
        <f>IF($A182="","",IFERROR(INDEX(Data_Analitik!$P$2:$P$351,MATCH($A182,Data_Analitik!$AL$2:$AL$351,0)),""))</f>
        <v>1.0000000064004988</v>
      </c>
      <c r="G182" s="97">
        <f>IF($A182="","",IFERROR(INDEX(Data_Analitik!$R$2:$R$351,MATCH($A182,Data_Analitik!$AL$2:$AL$351,0)),""))</f>
        <v>0</v>
      </c>
      <c r="H182" s="97">
        <f>IF($A182="","",IFERROR(INDEX(Data_Analitik!$T$2:$T$351,MATCH($A182,Data_Analitik!$AL$2:$AL$351,0)),""))</f>
        <v>0</v>
      </c>
      <c r="I182" s="97">
        <f>IF($A182="","",IFERROR(INDEX(Data_Analitik!$V$2:$V$351,MATCH($A182,Data_Analitik!$AL$2:$AL$351,0)),""))</f>
        <v>0</v>
      </c>
      <c r="J182" s="97">
        <f>IF($A182="","",IFERROR(INDEX(Data_Analitik!$X$2:$X$351,MATCH($A182,Data_Analitik!$AL$2:$AL$351,0)),""))</f>
        <v>1.0000000064004988</v>
      </c>
      <c r="K182" s="97">
        <f>IF($A182="","",IFERROR(INDEX(Data_Analitik!$Z$2:$Z$351,MATCH($A182,Data_Analitik!$AL$2:$AL$351,0)),""))</f>
        <v>0</v>
      </c>
      <c r="L182" s="33" t="str">
        <f>IF($A182="","",IFERROR(INDEX(Data_Analitik!$AB$2:$AB$351,MATCH($A182,Data_Analitik!$AL$2:$AL$351,0)),""))</f>
        <v>Relatif Mantap</v>
      </c>
    </row>
    <row r="183" spans="1:12" ht="21.95" customHeight="1" x14ac:dyDescent="0.25">
      <c r="A183" s="32">
        <f>IF(ROW()-9&lt;=SUM(Data_Analitik!$AK$2:$AK$351),ROW()-9,"")</f>
        <v>174</v>
      </c>
      <c r="B183" s="99" t="str">
        <f>IF($A183="","",IFERROR(INDEX(Data_Analitik!$B$2:$B$351,MATCH($A183,Data_Analitik!$AL$2:$AL$351,0)),""))</f>
        <v>174</v>
      </c>
      <c r="C183" s="101" t="str">
        <f>IF($A183="","",IFERROR(INDEX(Data_Analitik!$C$2:$C$351,MATCH($A183,Data_Analitik!$AL$2:$AL$351,0)),""))</f>
        <v>Bamban Selatan - Tanggang - Panggang Hijau</v>
      </c>
      <c r="D183" s="101" t="str">
        <f>IF($A183="","",IFERROR(INDEX(Data_Analitik!$D$2:$D$351,MATCH($A183,Data_Analitik!$AL$2:$AL$351,0)),""))</f>
        <v>Angkinang</v>
      </c>
      <c r="E183" s="100">
        <f>IF($A183="","",IFERROR(INDEX(Data_Analitik!$E$2:$E$351,MATCH($A183,Data_Analitik!$AL$2:$AL$351,0)),""))</f>
        <v>3.58</v>
      </c>
      <c r="F183" s="97">
        <f>IF($A183="","",IFERROR(INDEX(Data_Analitik!$P$2:$P$351,MATCH($A183,Data_Analitik!$AL$2:$AL$351,0)),""))</f>
        <v>0</v>
      </c>
      <c r="G183" s="97">
        <f>IF($A183="","",IFERROR(INDEX(Data_Analitik!$R$2:$R$351,MATCH($A183,Data_Analitik!$AL$2:$AL$351,0)),""))</f>
        <v>0.27932960893854747</v>
      </c>
      <c r="H183" s="97">
        <f>IF($A183="","",IFERROR(INDEX(Data_Analitik!$T$2:$T$351,MATCH($A183,Data_Analitik!$AL$2:$AL$351,0)),""))</f>
        <v>2.7932961310088301E-2</v>
      </c>
      <c r="I183" s="97">
        <f>IF($A183="","",IFERROR(INDEX(Data_Analitik!$V$2:$V$351,MATCH($A183,Data_Analitik!$AL$2:$AL$351,0)),""))</f>
        <v>0.69273743549538724</v>
      </c>
      <c r="J183" s="97">
        <f>IF($A183="","",IFERROR(INDEX(Data_Analitik!$X$2:$X$351,MATCH($A183,Data_Analitik!$AL$2:$AL$351,0)),""))</f>
        <v>0.27932960893854747</v>
      </c>
      <c r="K183" s="97">
        <f>IF($A183="","",IFERROR(INDEX(Data_Analitik!$Z$2:$Z$351,MATCH($A183,Data_Analitik!$AL$2:$AL$351,0)),""))</f>
        <v>0.72067039680547551</v>
      </c>
      <c r="L183" s="33" t="str">
        <f>IF($A183="","",IFERROR(INDEX(Data_Analitik!$AB$2:$AB$351,MATCH($A183,Data_Analitik!$AL$2:$AL$351,0)),""))</f>
        <v>Rusak Berat Dominan</v>
      </c>
    </row>
    <row r="184" spans="1:12" ht="21.95" customHeight="1" x14ac:dyDescent="0.25">
      <c r="A184" s="32">
        <f>IF(ROW()-9&lt;=SUM(Data_Analitik!$AK$2:$AK$351),ROW()-9,"")</f>
        <v>175</v>
      </c>
      <c r="B184" s="99" t="str">
        <f>IF($A184="","",IFERROR(INDEX(Data_Analitik!$B$2:$B$351,MATCH($A184,Data_Analitik!$AL$2:$AL$351,0)),""))</f>
        <v>175</v>
      </c>
      <c r="C184" s="101" t="str">
        <f>IF($A184="","",IFERROR(INDEX(Data_Analitik!$C$2:$C$351,MATCH($A184,Data_Analitik!$AL$2:$AL$351,0)),""))</f>
        <v>Angkinang - Telaga Langsat</v>
      </c>
      <c r="D184" s="101" t="str">
        <f>IF($A184="","",IFERROR(INDEX(Data_Analitik!$D$2:$D$351,MATCH($A184,Data_Analitik!$AL$2:$AL$351,0)),""))</f>
        <v>Angkinang - Telaga Langsat</v>
      </c>
      <c r="E184" s="100">
        <f>IF($A184="","",IFERROR(INDEX(Data_Analitik!$E$2:$E$351,MATCH($A184,Data_Analitik!$AL$2:$AL$351,0)),""))</f>
        <v>5.58</v>
      </c>
      <c r="F184" s="97">
        <f>IF($A184="","",IFERROR(INDEX(Data_Analitik!$P$2:$P$351,MATCH($A184,Data_Analitik!$AL$2:$AL$351,0)),""))</f>
        <v>7.1684588881803665E-2</v>
      </c>
      <c r="G184" s="97">
        <f>IF($A184="","",IFERROR(INDEX(Data_Analitik!$R$2:$R$351,MATCH($A184,Data_Analitik!$AL$2:$AL$351,0)),""))</f>
        <v>0.71326165216370718</v>
      </c>
      <c r="H184" s="97">
        <f>IF($A184="","",IFERROR(INDEX(Data_Analitik!$T$2:$T$351,MATCH($A184,Data_Analitik!$AL$2:$AL$351,0)),""))</f>
        <v>0.215053771986329</v>
      </c>
      <c r="I184" s="97">
        <f>IF($A184="","",IFERROR(INDEX(Data_Analitik!$V$2:$V$351,MATCH($A184,Data_Analitik!$AL$2:$AL$351,0)),""))</f>
        <v>0</v>
      </c>
      <c r="J184" s="97">
        <f>IF($A184="","",IFERROR(INDEX(Data_Analitik!$X$2:$X$351,MATCH($A184,Data_Analitik!$AL$2:$AL$351,0)),""))</f>
        <v>0.78494624104551092</v>
      </c>
      <c r="K184" s="97">
        <f>IF($A184="","",IFERROR(INDEX(Data_Analitik!$Z$2:$Z$351,MATCH($A184,Data_Analitik!$AL$2:$AL$351,0)),""))</f>
        <v>0.215053771986329</v>
      </c>
      <c r="L184" s="33" t="str">
        <f>IF($A184="","",IFERROR(INDEX(Data_Analitik!$AB$2:$AB$351,MATCH($A184,Data_Analitik!$AL$2:$AL$351,0)),""))</f>
        <v>Tidak Mantap Sedang</v>
      </c>
    </row>
    <row r="185" spans="1:12" ht="21.95" customHeight="1" x14ac:dyDescent="0.25">
      <c r="A185" s="32">
        <f>IF(ROW()-9&lt;=SUM(Data_Analitik!$AK$2:$AK$351),ROW()-9,"")</f>
        <v>176</v>
      </c>
      <c r="B185" s="99" t="str">
        <f>IF($A185="","",IFERROR(INDEX(Data_Analitik!$B$2:$B$351,MATCH($A185,Data_Analitik!$AL$2:$AL$351,0)),""))</f>
        <v>176</v>
      </c>
      <c r="C185" s="101" t="str">
        <f>IF($A185="","",IFERROR(INDEX(Data_Analitik!$C$2:$C$351,MATCH($A185,Data_Analitik!$AL$2:$AL$351,0)),""))</f>
        <v>Bamban Selatan - Pakuan</v>
      </c>
      <c r="D185" s="101" t="str">
        <f>IF($A185="","",IFERROR(INDEX(Data_Analitik!$D$2:$D$351,MATCH($A185,Data_Analitik!$AL$2:$AL$351,0)),""))</f>
        <v>Angkinang - Telaga Langsat</v>
      </c>
      <c r="E185" s="100">
        <f>IF($A185="","",IFERROR(INDEX(Data_Analitik!$E$2:$E$351,MATCH($A185,Data_Analitik!$AL$2:$AL$351,0)),""))</f>
        <v>2.09</v>
      </c>
      <c r="F185" s="97">
        <f>IF($A185="","",IFERROR(INDEX(Data_Analitik!$P$2:$P$351,MATCH($A185,Data_Analitik!$AL$2:$AL$351,0)),""))</f>
        <v>0</v>
      </c>
      <c r="G185" s="97">
        <f>IF($A185="","",IFERROR(INDEX(Data_Analitik!$R$2:$R$351,MATCH($A185,Data_Analitik!$AL$2:$AL$351,0)),""))</f>
        <v>0.90430621325114136</v>
      </c>
      <c r="H185" s="97">
        <f>IF($A185="","",IFERROR(INDEX(Data_Analitik!$T$2:$T$351,MATCH($A185,Data_Analitik!$AL$2:$AL$351,0)),""))</f>
        <v>9.5693781330254662E-2</v>
      </c>
      <c r="I185" s="97">
        <f>IF($A185="","",IFERROR(INDEX(Data_Analitik!$V$2:$V$351,MATCH($A185,Data_Analitik!$AL$2:$AL$351,0)),""))</f>
        <v>0</v>
      </c>
      <c r="J185" s="97">
        <f>IF($A185="","",IFERROR(INDEX(Data_Analitik!$X$2:$X$351,MATCH($A185,Data_Analitik!$AL$2:$AL$351,0)),""))</f>
        <v>0.90430621325114136</v>
      </c>
      <c r="K185" s="97">
        <f>IF($A185="","",IFERROR(INDEX(Data_Analitik!$Z$2:$Z$351,MATCH($A185,Data_Analitik!$AL$2:$AL$351,0)),""))</f>
        <v>9.5693781330254662E-2</v>
      </c>
      <c r="L185" s="33" t="str">
        <f>IF($A185="","",IFERROR(INDEX(Data_Analitik!$AB$2:$AB$351,MATCH($A185,Data_Analitik!$AL$2:$AL$351,0)),""))</f>
        <v>Relatif Mantap</v>
      </c>
    </row>
    <row r="186" spans="1:12" ht="21.95" customHeight="1" x14ac:dyDescent="0.25">
      <c r="A186" s="32">
        <f>IF(ROW()-9&lt;=SUM(Data_Analitik!$AK$2:$AK$351),ROW()-9,"")</f>
        <v>177</v>
      </c>
      <c r="B186" s="99" t="str">
        <f>IF($A186="","",IFERROR(INDEX(Data_Analitik!$B$2:$B$351,MATCH($A186,Data_Analitik!$AL$2:$AL$351,0)),""))</f>
        <v>177</v>
      </c>
      <c r="C186" s="101" t="str">
        <f>IF($A186="","",IFERROR(INDEX(Data_Analitik!$C$2:$C$351,MATCH($A186,Data_Analitik!$AL$2:$AL$351,0)),""))</f>
        <v>Bamban Utara - Longawang</v>
      </c>
      <c r="D186" s="101" t="str">
        <f>IF($A186="","",IFERROR(INDEX(Data_Analitik!$D$2:$D$351,MATCH($A186,Data_Analitik!$AL$2:$AL$351,0)),""))</f>
        <v>Angkinang - Telaga Langsat</v>
      </c>
      <c r="E186" s="100">
        <f>IF($A186="","",IFERROR(INDEX(Data_Analitik!$E$2:$E$351,MATCH($A186,Data_Analitik!$AL$2:$AL$351,0)),""))</f>
        <v>2.11</v>
      </c>
      <c r="F186" s="97">
        <f>IF($A186="","",IFERROR(INDEX(Data_Analitik!$P$2:$P$351,MATCH($A186,Data_Analitik!$AL$2:$AL$351,0)),""))</f>
        <v>0</v>
      </c>
      <c r="G186" s="97">
        <f>IF($A186="","",IFERROR(INDEX(Data_Analitik!$R$2:$R$351,MATCH($A186,Data_Analitik!$AL$2:$AL$351,0)),""))</f>
        <v>0.95260663055130657</v>
      </c>
      <c r="H186" s="97">
        <f>IF($A186="","",IFERROR(INDEX(Data_Analitik!$T$2:$T$351,MATCH($A186,Data_Analitik!$AL$2:$AL$351,0)),""))</f>
        <v>4.7393365635126125E-2</v>
      </c>
      <c r="I186" s="97">
        <f>IF($A186="","",IFERROR(INDEX(Data_Analitik!$V$2:$V$351,MATCH($A186,Data_Analitik!$AL$2:$AL$351,0)),""))</f>
        <v>0</v>
      </c>
      <c r="J186" s="97">
        <f>IF($A186="","",IFERROR(INDEX(Data_Analitik!$X$2:$X$351,MATCH($A186,Data_Analitik!$AL$2:$AL$351,0)),""))</f>
        <v>0.95260663055130657</v>
      </c>
      <c r="K186" s="97">
        <f>IF($A186="","",IFERROR(INDEX(Data_Analitik!$Z$2:$Z$351,MATCH($A186,Data_Analitik!$AL$2:$AL$351,0)),""))</f>
        <v>4.7393365635126125E-2</v>
      </c>
      <c r="L186" s="33" t="str">
        <f>IF($A186="","",IFERROR(INDEX(Data_Analitik!$AB$2:$AB$351,MATCH($A186,Data_Analitik!$AL$2:$AL$351,0)),""))</f>
        <v>Relatif Mantap</v>
      </c>
    </row>
    <row r="187" spans="1:12" ht="21.95" customHeight="1" x14ac:dyDescent="0.25">
      <c r="A187" s="32">
        <f>IF(ROW()-9&lt;=SUM(Data_Analitik!$AK$2:$AK$351),ROW()-9,"")</f>
        <v>178</v>
      </c>
      <c r="B187" s="99" t="str">
        <f>IF($A187="","",IFERROR(INDEX(Data_Analitik!$B$2:$B$351,MATCH($A187,Data_Analitik!$AL$2:$AL$351,0)),""))</f>
        <v>178</v>
      </c>
      <c r="C187" s="101" t="str">
        <f>IF($A187="","",IFERROR(INDEX(Data_Analitik!$C$2:$C$351,MATCH($A187,Data_Analitik!$AL$2:$AL$351,0)),""))</f>
        <v>Angkinang - Kayu Abang - Panggang Hijau</v>
      </c>
      <c r="D187" s="101" t="str">
        <f>IF($A187="","",IFERROR(INDEX(Data_Analitik!$D$2:$D$351,MATCH($A187,Data_Analitik!$AL$2:$AL$351,0)),""))</f>
        <v>Angkinang</v>
      </c>
      <c r="E187" s="100">
        <f>IF($A187="","",IFERROR(INDEX(Data_Analitik!$E$2:$E$351,MATCH($A187,Data_Analitik!$AL$2:$AL$351,0)),""))</f>
        <v>7</v>
      </c>
      <c r="F187" s="97">
        <f>IF($A187="","",IFERROR(INDEX(Data_Analitik!$P$2:$P$351,MATCH($A187,Data_Analitik!$AL$2:$AL$351,0)),""))</f>
        <v>0.19999999659402029</v>
      </c>
      <c r="G187" s="97">
        <f>IF($A187="","",IFERROR(INDEX(Data_Analitik!$R$2:$R$351,MATCH($A187,Data_Analitik!$AL$2:$AL$351,0)),""))</f>
        <v>0.15714286054883683</v>
      </c>
      <c r="H187" s="97">
        <f>IF($A187="","",IFERROR(INDEX(Data_Analitik!$T$2:$T$351,MATCH($A187,Data_Analitik!$AL$2:$AL$351,0)),""))</f>
        <v>0.18571427890232631</v>
      </c>
      <c r="I187" s="97">
        <f>IF($A187="","",IFERROR(INDEX(Data_Analitik!$V$2:$V$351,MATCH($A187,Data_Analitik!$AL$2:$AL$351,0)),""))</f>
        <v>0.45714286395481657</v>
      </c>
      <c r="J187" s="97">
        <f>IF($A187="","",IFERROR(INDEX(Data_Analitik!$X$2:$X$351,MATCH($A187,Data_Analitik!$AL$2:$AL$351,0)),""))</f>
        <v>0.35714285714285715</v>
      </c>
      <c r="K187" s="97">
        <f>IF($A187="","",IFERROR(INDEX(Data_Analitik!$Z$2:$Z$351,MATCH($A187,Data_Analitik!$AL$2:$AL$351,0)),""))</f>
        <v>0.6428571428571429</v>
      </c>
      <c r="L187" s="33" t="str">
        <f>IF($A187="","",IFERROR(INDEX(Data_Analitik!$AB$2:$AB$351,MATCH($A187,Data_Analitik!$AL$2:$AL$351,0)),""))</f>
        <v>Rusak Berat Dominan</v>
      </c>
    </row>
    <row r="188" spans="1:12" ht="21.95" customHeight="1" x14ac:dyDescent="0.25">
      <c r="A188" s="32">
        <f>IF(ROW()-9&lt;=SUM(Data_Analitik!$AK$2:$AK$351),ROW()-9,"")</f>
        <v>179</v>
      </c>
      <c r="B188" s="99" t="str">
        <f>IF($A188="","",IFERROR(INDEX(Data_Analitik!$B$2:$B$351,MATCH($A188,Data_Analitik!$AL$2:$AL$351,0)),""))</f>
        <v>179</v>
      </c>
      <c r="C188" s="101" t="str">
        <f>IF($A188="","",IFERROR(INDEX(Data_Analitik!$C$2:$C$351,MATCH($A188,Data_Analitik!$AL$2:$AL$351,0)),""))</f>
        <v>Sp. Mandampa Tel. Sili-Sili - Sp. Sei. Bungur</v>
      </c>
      <c r="D188" s="101" t="str">
        <f>IF($A188="","",IFERROR(INDEX(Data_Analitik!$D$2:$D$351,MATCH($A188,Data_Analitik!$AL$2:$AL$351,0)),""))</f>
        <v>Angkinang - Padang Batung</v>
      </c>
      <c r="E188" s="100">
        <f>IF($A188="","",IFERROR(INDEX(Data_Analitik!$E$2:$E$351,MATCH($A188,Data_Analitik!$AL$2:$AL$351,0)),""))</f>
        <v>4.9000000000000004</v>
      </c>
      <c r="F188" s="97">
        <f>IF($A188="","",IFERROR(INDEX(Data_Analitik!$P$2:$P$351,MATCH($A188,Data_Analitik!$AL$2:$AL$351,0)),""))</f>
        <v>0</v>
      </c>
      <c r="G188" s="97">
        <f>IF($A188="","",IFERROR(INDEX(Data_Analitik!$R$2:$R$351,MATCH($A188,Data_Analitik!$AL$2:$AL$351,0)),""))</f>
        <v>0.61224489795918358</v>
      </c>
      <c r="H188" s="97">
        <f>IF($A188="","",IFERROR(INDEX(Data_Analitik!$T$2:$T$351,MATCH($A188,Data_Analitik!$AL$2:$AL$351,0)),""))</f>
        <v>0.38775509717513101</v>
      </c>
      <c r="I188" s="97">
        <f>IF($A188="","",IFERROR(INDEX(Data_Analitik!$V$2:$V$351,MATCH($A188,Data_Analitik!$AL$2:$AL$351,0)),""))</f>
        <v>0</v>
      </c>
      <c r="J188" s="97">
        <f>IF($A188="","",IFERROR(INDEX(Data_Analitik!$X$2:$X$351,MATCH($A188,Data_Analitik!$AL$2:$AL$351,0)),""))</f>
        <v>0.61224489795918358</v>
      </c>
      <c r="K188" s="97">
        <f>IF($A188="","",IFERROR(INDEX(Data_Analitik!$Z$2:$Z$351,MATCH($A188,Data_Analitik!$AL$2:$AL$351,0)),""))</f>
        <v>0.38775509717513101</v>
      </c>
      <c r="L188" s="33" t="str">
        <f>IF($A188="","",IFERROR(INDEX(Data_Analitik!$AB$2:$AB$351,MATCH($A188,Data_Analitik!$AL$2:$AL$351,0)),""))</f>
        <v>Tidak Mantap Sedang</v>
      </c>
    </row>
    <row r="189" spans="1:12" ht="21.95" customHeight="1" x14ac:dyDescent="0.25">
      <c r="A189" s="32">
        <f>IF(ROW()-9&lt;=SUM(Data_Analitik!$AK$2:$AK$351),ROW()-9,"")</f>
        <v>180</v>
      </c>
      <c r="B189" s="99" t="str">
        <f>IF($A189="","",IFERROR(INDEX(Data_Analitik!$B$2:$B$351,MATCH($A189,Data_Analitik!$AL$2:$AL$351,0)),""))</f>
        <v>180</v>
      </c>
      <c r="C189" s="101" t="str">
        <f>IF($A189="","",IFERROR(INDEX(Data_Analitik!$C$2:$C$351,MATCH($A189,Data_Analitik!$AL$2:$AL$351,0)),""))</f>
        <v>Sungai Kudung - Kalinduku</v>
      </c>
      <c r="D189" s="101" t="str">
        <f>IF($A189="","",IFERROR(INDEX(Data_Analitik!$D$2:$D$351,MATCH($A189,Data_Analitik!$AL$2:$AL$351,0)),""))</f>
        <v>Angkinang</v>
      </c>
      <c r="E189" s="100">
        <f>IF($A189="","",IFERROR(INDEX(Data_Analitik!$E$2:$E$351,MATCH($A189,Data_Analitik!$AL$2:$AL$351,0)),""))</f>
        <v>2.95</v>
      </c>
      <c r="F189" s="97">
        <f>IF($A189="","",IFERROR(INDEX(Data_Analitik!$P$2:$P$351,MATCH($A189,Data_Analitik!$AL$2:$AL$351,0)),""))</f>
        <v>0</v>
      </c>
      <c r="G189" s="97">
        <f>IF($A189="","",IFERROR(INDEX(Data_Analitik!$R$2:$R$351,MATCH($A189,Data_Analitik!$AL$2:$AL$351,0)),""))</f>
        <v>0.35593218722585901</v>
      </c>
      <c r="H189" s="97">
        <f>IF($A189="","",IFERROR(INDEX(Data_Analitik!$T$2:$T$351,MATCH($A189,Data_Analitik!$AL$2:$AL$351,0)),""))</f>
        <v>0.54237288943791795</v>
      </c>
      <c r="I189" s="97">
        <f>IF($A189="","",IFERROR(INDEX(Data_Analitik!$V$2:$V$351,MATCH($A189,Data_Analitik!$AL$2:$AL$351,0)),""))</f>
        <v>0.10169491929523015</v>
      </c>
      <c r="J189" s="97">
        <f>IF($A189="","",IFERROR(INDEX(Data_Analitik!$X$2:$X$351,MATCH($A189,Data_Analitik!$AL$2:$AL$351,0)),""))</f>
        <v>0.35593218722585901</v>
      </c>
      <c r="K189" s="97">
        <f>IF($A189="","",IFERROR(INDEX(Data_Analitik!$Z$2:$Z$351,MATCH($A189,Data_Analitik!$AL$2:$AL$351,0)),""))</f>
        <v>0.64406780873314806</v>
      </c>
      <c r="L189" s="33" t="str">
        <f>IF($A189="","",IFERROR(INDEX(Data_Analitik!$AB$2:$AB$351,MATCH($A189,Data_Analitik!$AL$2:$AL$351,0)),""))</f>
        <v>Tidak Mantap Tinggi</v>
      </c>
    </row>
    <row r="190" spans="1:12" ht="21.95" customHeight="1" x14ac:dyDescent="0.25">
      <c r="A190" s="32">
        <f>IF(ROW()-9&lt;=SUM(Data_Analitik!$AK$2:$AK$351),ROW()-9,"")</f>
        <v>181</v>
      </c>
      <c r="B190" s="99" t="str">
        <f>IF($A190="","",IFERROR(INDEX(Data_Analitik!$B$2:$B$351,MATCH($A190,Data_Analitik!$AL$2:$AL$351,0)),""))</f>
        <v>181</v>
      </c>
      <c r="C190" s="101" t="str">
        <f>IF($A190="","",IFERROR(INDEX(Data_Analitik!$C$2:$C$351,MATCH($A190,Data_Analitik!$AL$2:$AL$351,0)),""))</f>
        <v>Bamban Tengah - Lok Nyiur</v>
      </c>
      <c r="D190" s="101" t="str">
        <f>IF($A190="","",IFERROR(INDEX(Data_Analitik!$D$2:$D$351,MATCH($A190,Data_Analitik!$AL$2:$AL$351,0)),""))</f>
        <v>Angkinang</v>
      </c>
      <c r="E190" s="100">
        <f>IF($A190="","",IFERROR(INDEX(Data_Analitik!$E$2:$E$351,MATCH($A190,Data_Analitik!$AL$2:$AL$351,0)),""))</f>
        <v>1.26</v>
      </c>
      <c r="F190" s="97">
        <f>IF($A190="","",IFERROR(INDEX(Data_Analitik!$P$2:$P$351,MATCH($A190,Data_Analitik!$AL$2:$AL$351,0)),""))</f>
        <v>0</v>
      </c>
      <c r="G190" s="97">
        <f>IF($A190="","",IFERROR(INDEX(Data_Analitik!$R$2:$R$351,MATCH($A190,Data_Analitik!$AL$2:$AL$351,0)),""))</f>
        <v>0.55555554609450086</v>
      </c>
      <c r="H190" s="97">
        <f>IF($A190="","",IFERROR(INDEX(Data_Analitik!$T$2:$T$351,MATCH($A190,Data_Analitik!$AL$2:$AL$351,0)),""))</f>
        <v>0.23809524755629283</v>
      </c>
      <c r="I190" s="97">
        <f>IF($A190="","",IFERROR(INDEX(Data_Analitik!$V$2:$V$351,MATCH($A190,Data_Analitik!$AL$2:$AL$351,0)),""))</f>
        <v>0.20634919878036256</v>
      </c>
      <c r="J190" s="97">
        <f>IF($A190="","",IFERROR(INDEX(Data_Analitik!$X$2:$X$351,MATCH($A190,Data_Analitik!$AL$2:$AL$351,0)),""))</f>
        <v>0.55555554609450086</v>
      </c>
      <c r="K190" s="97">
        <f>IF($A190="","",IFERROR(INDEX(Data_Analitik!$Z$2:$Z$351,MATCH($A190,Data_Analitik!$AL$2:$AL$351,0)),""))</f>
        <v>0.44444444633665536</v>
      </c>
      <c r="L190" s="33" t="str">
        <f>IF($A190="","",IFERROR(INDEX(Data_Analitik!$AB$2:$AB$351,MATCH($A190,Data_Analitik!$AL$2:$AL$351,0)),""))</f>
        <v>Rusak Berat Dominan</v>
      </c>
    </row>
    <row r="191" spans="1:12" ht="21.95" customHeight="1" x14ac:dyDescent="0.25">
      <c r="A191" s="32">
        <f>IF(ROW()-9&lt;=SUM(Data_Analitik!$AK$2:$AK$351),ROW()-9,"")</f>
        <v>182</v>
      </c>
      <c r="B191" s="99" t="str">
        <f>IF($A191="","",IFERROR(INDEX(Data_Analitik!$B$2:$B$351,MATCH($A191,Data_Analitik!$AL$2:$AL$351,0)),""))</f>
        <v>182</v>
      </c>
      <c r="C191" s="101" t="str">
        <f>IF($A191="","",IFERROR(INDEX(Data_Analitik!$C$2:$C$351,MATCH($A191,Data_Analitik!$AL$2:$AL$351,0)),""))</f>
        <v>Sp. Bakarung Selatan - Sungai Kudung</v>
      </c>
      <c r="D191" s="101" t="str">
        <f>IF($A191="","",IFERROR(INDEX(Data_Analitik!$D$2:$D$351,MATCH($A191,Data_Analitik!$AL$2:$AL$351,0)),""))</f>
        <v>Angkinang</v>
      </c>
      <c r="E191" s="100">
        <f>IF($A191="","",IFERROR(INDEX(Data_Analitik!$E$2:$E$351,MATCH($A191,Data_Analitik!$AL$2:$AL$351,0)),""))</f>
        <v>0.55000000000000004</v>
      </c>
      <c r="F191" s="97">
        <f>IF($A191="","",IFERROR(INDEX(Data_Analitik!$P$2:$P$351,MATCH($A191,Data_Analitik!$AL$2:$AL$351,0)),""))</f>
        <v>0.18181818452748383</v>
      </c>
      <c r="G191" s="97">
        <f>IF($A191="","",IFERROR(INDEX(Data_Analitik!$R$2:$R$351,MATCH($A191,Data_Analitik!$AL$2:$AL$351,0)),""))</f>
        <v>0.36363636905496766</v>
      </c>
      <c r="H191" s="97">
        <f>IF($A191="","",IFERROR(INDEX(Data_Analitik!$T$2:$T$351,MATCH($A191,Data_Analitik!$AL$2:$AL$351,0)),""))</f>
        <v>0.18181818452748383</v>
      </c>
      <c r="I191" s="97">
        <f>IF($A191="","",IFERROR(INDEX(Data_Analitik!$V$2:$V$351,MATCH($A191,Data_Analitik!$AL$2:$AL$351,0)),""))</f>
        <v>0.27272728356448084</v>
      </c>
      <c r="J191" s="97">
        <f>IF($A191="","",IFERROR(INDEX(Data_Analitik!$X$2:$X$351,MATCH($A191,Data_Analitik!$AL$2:$AL$351,0)),""))</f>
        <v>0.54545455358245154</v>
      </c>
      <c r="K191" s="97">
        <f>IF($A191="","",IFERROR(INDEX(Data_Analitik!$Z$2:$Z$351,MATCH($A191,Data_Analitik!$AL$2:$AL$351,0)),""))</f>
        <v>0.45454546809196467</v>
      </c>
      <c r="L191" s="33" t="str">
        <f>IF($A191="","",IFERROR(INDEX(Data_Analitik!$AB$2:$AB$351,MATCH($A191,Data_Analitik!$AL$2:$AL$351,0)),""))</f>
        <v>Rusak Berat Dominan</v>
      </c>
    </row>
    <row r="192" spans="1:12" ht="21.95" customHeight="1" x14ac:dyDescent="0.25">
      <c r="A192" s="32">
        <f>IF(ROW()-9&lt;=SUM(Data_Analitik!$AK$2:$AK$351),ROW()-9,"")</f>
        <v>183</v>
      </c>
      <c r="B192" s="99" t="str">
        <f>IF($A192="","",IFERROR(INDEX(Data_Analitik!$B$2:$B$351,MATCH($A192,Data_Analitik!$AL$2:$AL$351,0)),""))</f>
        <v>183</v>
      </c>
      <c r="C192" s="101" t="str">
        <f>IF($A192="","",IFERROR(INDEX(Data_Analitik!$C$2:$C$351,MATCH($A192,Data_Analitik!$AL$2:$AL$351,0)),""))</f>
        <v>Panggang Hijau - Ds. Tawar</v>
      </c>
      <c r="D192" s="101" t="str">
        <f>IF($A192="","",IFERROR(INDEX(Data_Analitik!$D$2:$D$351,MATCH($A192,Data_Analitik!$AL$2:$AL$351,0)),""))</f>
        <v>Angkinang - Kandangan</v>
      </c>
      <c r="E192" s="100">
        <f>IF($A192="","",IFERROR(INDEX(Data_Analitik!$E$2:$E$351,MATCH($A192,Data_Analitik!$AL$2:$AL$351,0)),""))</f>
        <v>3.67</v>
      </c>
      <c r="F192" s="97">
        <f>IF($A192="","",IFERROR(INDEX(Data_Analitik!$P$2:$P$351,MATCH($A192,Data_Analitik!$AL$2:$AL$351,0)),""))</f>
        <v>0</v>
      </c>
      <c r="G192" s="97">
        <f>IF($A192="","",IFERROR(INDEX(Data_Analitik!$R$2:$R$351,MATCH($A192,Data_Analitik!$AL$2:$AL$351,0)),""))</f>
        <v>0</v>
      </c>
      <c r="H192" s="97">
        <f>IF($A192="","",IFERROR(INDEX(Data_Analitik!$T$2:$T$351,MATCH($A192,Data_Analitik!$AL$2:$AL$351,0)),""))</f>
        <v>0</v>
      </c>
      <c r="I192" s="97">
        <f>IF($A192="","",IFERROR(INDEX(Data_Analitik!$V$2:$V$351,MATCH($A192,Data_Analitik!$AL$2:$AL$351,0)),""))</f>
        <v>1.0000000207885409</v>
      </c>
      <c r="J192" s="97">
        <f>IF($A192="","",IFERROR(INDEX(Data_Analitik!$X$2:$X$351,MATCH($A192,Data_Analitik!$AL$2:$AL$351,0)),""))</f>
        <v>0</v>
      </c>
      <c r="K192" s="97">
        <f>IF($A192="","",IFERROR(INDEX(Data_Analitik!$Z$2:$Z$351,MATCH($A192,Data_Analitik!$AL$2:$AL$351,0)),""))</f>
        <v>1.0000000207885409</v>
      </c>
      <c r="L192" s="33" t="str">
        <f>IF($A192="","",IFERROR(INDEX(Data_Analitik!$AB$2:$AB$351,MATCH($A192,Data_Analitik!$AL$2:$AL$351,0)),""))</f>
        <v>Rusak Berat Dominan</v>
      </c>
    </row>
    <row r="193" spans="1:12" ht="21.95" customHeight="1" x14ac:dyDescent="0.25">
      <c r="A193" s="32">
        <f>IF(ROW()-9&lt;=SUM(Data_Analitik!$AK$2:$AK$351),ROW()-9,"")</f>
        <v>184</v>
      </c>
      <c r="B193" s="99" t="str">
        <f>IF($A193="","",IFERROR(INDEX(Data_Analitik!$B$2:$B$351,MATCH($A193,Data_Analitik!$AL$2:$AL$351,0)),""))</f>
        <v>184</v>
      </c>
      <c r="C193" s="101" t="str">
        <f>IF($A193="","",IFERROR(INDEX(Data_Analitik!$C$2:$C$351,MATCH($A193,Data_Analitik!$AL$2:$AL$351,0)),""))</f>
        <v>Taniran Tengah - Taniran Selatan</v>
      </c>
      <c r="D193" s="101" t="str">
        <f>IF($A193="","",IFERROR(INDEX(Data_Analitik!$D$2:$D$351,MATCH($A193,Data_Analitik!$AL$2:$AL$351,0)),""))</f>
        <v>Angkinang</v>
      </c>
      <c r="E193" s="100">
        <f>IF($A193="","",IFERROR(INDEX(Data_Analitik!$E$2:$E$351,MATCH($A193,Data_Analitik!$AL$2:$AL$351,0)),""))</f>
        <v>2.2599999999999998</v>
      </c>
      <c r="F193" s="97">
        <f>IF($A193="","",IFERROR(INDEX(Data_Analitik!$P$2:$P$351,MATCH($A193,Data_Analitik!$AL$2:$AL$351,0)),""))</f>
        <v>0.53097347242642301</v>
      </c>
      <c r="G193" s="97">
        <f>IF($A193="","",IFERROR(INDEX(Data_Analitik!$R$2:$R$351,MATCH($A193,Data_Analitik!$AL$2:$AL$351,0)),""))</f>
        <v>0.46902652335377926</v>
      </c>
      <c r="H193" s="97">
        <f>IF($A193="","",IFERROR(INDEX(Data_Analitik!$T$2:$T$351,MATCH($A193,Data_Analitik!$AL$2:$AL$351,0)),""))</f>
        <v>0</v>
      </c>
      <c r="I193" s="97">
        <f>IF($A193="","",IFERROR(INDEX(Data_Analitik!$V$2:$V$351,MATCH($A193,Data_Analitik!$AL$2:$AL$351,0)),""))</f>
        <v>0</v>
      </c>
      <c r="J193" s="97">
        <f>IF($A193="","",IFERROR(INDEX(Data_Analitik!$X$2:$X$351,MATCH($A193,Data_Analitik!$AL$2:$AL$351,0)),""))</f>
        <v>0.99999999578020227</v>
      </c>
      <c r="K193" s="97">
        <f>IF($A193="","",IFERROR(INDEX(Data_Analitik!$Z$2:$Z$351,MATCH($A193,Data_Analitik!$AL$2:$AL$351,0)),""))</f>
        <v>0</v>
      </c>
      <c r="L193" s="33" t="str">
        <f>IF($A193="","",IFERROR(INDEX(Data_Analitik!$AB$2:$AB$351,MATCH($A193,Data_Analitik!$AL$2:$AL$351,0)),""))</f>
        <v>Relatif Mantap</v>
      </c>
    </row>
    <row r="194" spans="1:12" ht="21.95" customHeight="1" x14ac:dyDescent="0.25">
      <c r="A194" s="32">
        <f>IF(ROW()-9&lt;=SUM(Data_Analitik!$AK$2:$AK$351),ROW()-9,"")</f>
        <v>185</v>
      </c>
      <c r="B194" s="99" t="str">
        <f>IF($A194="","",IFERROR(INDEX(Data_Analitik!$B$2:$B$351,MATCH($A194,Data_Analitik!$AL$2:$AL$351,0)),""))</f>
        <v>185</v>
      </c>
      <c r="C194" s="101" t="str">
        <f>IF($A194="","",IFERROR(INDEX(Data_Analitik!$C$2:$C$351,MATCH($A194,Data_Analitik!$AL$2:$AL$351,0)),""))</f>
        <v>Jl. Kayu Abang - Ds. Anjiran</v>
      </c>
      <c r="D194" s="101" t="str">
        <f>IF($A194="","",IFERROR(INDEX(Data_Analitik!$D$2:$D$351,MATCH($A194,Data_Analitik!$AL$2:$AL$351,0)),""))</f>
        <v>Angkinang</v>
      </c>
      <c r="E194" s="100">
        <f>IF($A194="","",IFERROR(INDEX(Data_Analitik!$E$2:$E$351,MATCH($A194,Data_Analitik!$AL$2:$AL$351,0)),""))</f>
        <v>0.98</v>
      </c>
      <c r="F194" s="97">
        <f>IF($A194="","",IFERROR(INDEX(Data_Analitik!$P$2:$P$351,MATCH($A194,Data_Analitik!$AL$2:$AL$351,0)),""))</f>
        <v>0</v>
      </c>
      <c r="G194" s="97">
        <f>IF($A194="","",IFERROR(INDEX(Data_Analitik!$R$2:$R$351,MATCH($A194,Data_Analitik!$AL$2:$AL$351,0)),""))</f>
        <v>0.59183671766397905</v>
      </c>
      <c r="H194" s="97">
        <f>IF($A194="","",IFERROR(INDEX(Data_Analitik!$T$2:$T$351,MATCH($A194,Data_Analitik!$AL$2:$AL$351,0)),""))</f>
        <v>0.10204081784705726</v>
      </c>
      <c r="I194" s="97">
        <f>IF($A194="","",IFERROR(INDEX(Data_Analitik!$V$2:$V$351,MATCH($A194,Data_Analitik!$AL$2:$AL$351,0)),""))</f>
        <v>0.30612246114380504</v>
      </c>
      <c r="J194" s="97">
        <f>IF($A194="","",IFERROR(INDEX(Data_Analitik!$X$2:$X$351,MATCH($A194,Data_Analitik!$AL$2:$AL$351,0)),""))</f>
        <v>0.59183671766397905</v>
      </c>
      <c r="K194" s="97">
        <f>IF($A194="","",IFERROR(INDEX(Data_Analitik!$Z$2:$Z$351,MATCH($A194,Data_Analitik!$AL$2:$AL$351,0)),""))</f>
        <v>0.40816327899086235</v>
      </c>
      <c r="L194" s="33" t="str">
        <f>IF($A194="","",IFERROR(INDEX(Data_Analitik!$AB$2:$AB$351,MATCH($A194,Data_Analitik!$AL$2:$AL$351,0)),""))</f>
        <v>Rusak Berat Dominan</v>
      </c>
    </row>
    <row r="195" spans="1:12" ht="21.95" customHeight="1" x14ac:dyDescent="0.25">
      <c r="A195" s="32">
        <f>IF(ROW()-9&lt;=SUM(Data_Analitik!$AK$2:$AK$351),ROW()-9,"")</f>
        <v>186</v>
      </c>
      <c r="B195" s="99" t="str">
        <f>IF($A195="","",IFERROR(INDEX(Data_Analitik!$B$2:$B$351,MATCH($A195,Data_Analitik!$AL$2:$AL$351,0)),""))</f>
        <v>186</v>
      </c>
      <c r="C195" s="101" t="str">
        <f>IF($A195="","",IFERROR(INDEX(Data_Analitik!$C$2:$C$351,MATCH($A195,Data_Analitik!$AL$2:$AL$351,0)),""))</f>
        <v>Jl. Rel Angkinang - TMMD Angkinang</v>
      </c>
      <c r="D195" s="101" t="str">
        <f>IF($A195="","",IFERROR(INDEX(Data_Analitik!$D$2:$D$351,MATCH($A195,Data_Analitik!$AL$2:$AL$351,0)),""))</f>
        <v>Angkinang</v>
      </c>
      <c r="E195" s="100">
        <f>IF($A195="","",IFERROR(INDEX(Data_Analitik!$E$2:$E$351,MATCH($A195,Data_Analitik!$AL$2:$AL$351,0)),""))</f>
        <v>3.63</v>
      </c>
      <c r="F195" s="97">
        <f>IF($A195="","",IFERROR(INDEX(Data_Analitik!$P$2:$P$351,MATCH($A195,Data_Analitik!$AL$2:$AL$351,0)),""))</f>
        <v>0</v>
      </c>
      <c r="G195" s="97">
        <f>IF($A195="","",IFERROR(INDEX(Data_Analitik!$R$2:$R$351,MATCH($A195,Data_Analitik!$AL$2:$AL$351,0)),""))</f>
        <v>5.5096419553782985E-2</v>
      </c>
      <c r="H195" s="97">
        <f>IF($A195="","",IFERROR(INDEX(Data_Analitik!$T$2:$T$351,MATCH($A195,Data_Analitik!$AL$2:$AL$351,0)),""))</f>
        <v>0.30303030959830796</v>
      </c>
      <c r="I195" s="97">
        <f>IF($A195="","",IFERROR(INDEX(Data_Analitik!$V$2:$V$351,MATCH($A195,Data_Analitik!$AL$2:$AL$351,0)),""))</f>
        <v>0.64187328390181886</v>
      </c>
      <c r="J195" s="97">
        <f>IF($A195="","",IFERROR(INDEX(Data_Analitik!$X$2:$X$351,MATCH($A195,Data_Analitik!$AL$2:$AL$351,0)),""))</f>
        <v>5.5096419553782985E-2</v>
      </c>
      <c r="K195" s="97">
        <f>IF($A195="","",IFERROR(INDEX(Data_Analitik!$Z$2:$Z$351,MATCH($A195,Data_Analitik!$AL$2:$AL$351,0)),""))</f>
        <v>0.94490359350012687</v>
      </c>
      <c r="L195" s="33" t="str">
        <f>IF($A195="","",IFERROR(INDEX(Data_Analitik!$AB$2:$AB$351,MATCH($A195,Data_Analitik!$AL$2:$AL$351,0)),""))</f>
        <v>Rusak Berat Dominan</v>
      </c>
    </row>
    <row r="196" spans="1:12" ht="21.95" customHeight="1" x14ac:dyDescent="0.25">
      <c r="A196" s="32">
        <f>IF(ROW()-9&lt;=SUM(Data_Analitik!$AK$2:$AK$351),ROW()-9,"")</f>
        <v>187</v>
      </c>
      <c r="B196" s="99" t="str">
        <f>IF($A196="","",IFERROR(INDEX(Data_Analitik!$B$2:$B$351,MATCH($A196,Data_Analitik!$AL$2:$AL$351,0)),""))</f>
        <v>187</v>
      </c>
      <c r="C196" s="101" t="str">
        <f>IF($A196="","",IFERROR(INDEX(Data_Analitik!$C$2:$C$351,MATCH($A196,Data_Analitik!$AL$2:$AL$351,0)),""))</f>
        <v>Jl. AMD - Ds. Lok Binuang</v>
      </c>
      <c r="D196" s="101" t="str">
        <f>IF($A196="","",IFERROR(INDEX(Data_Analitik!$D$2:$D$351,MATCH($A196,Data_Analitik!$AL$2:$AL$351,0)),""))</f>
        <v>Angkinang</v>
      </c>
      <c r="E196" s="100">
        <f>IF($A196="","",IFERROR(INDEX(Data_Analitik!$E$2:$E$351,MATCH($A196,Data_Analitik!$AL$2:$AL$351,0)),""))</f>
        <v>1.57</v>
      </c>
      <c r="F196" s="97">
        <f>IF($A196="","",IFERROR(INDEX(Data_Analitik!$P$2:$P$351,MATCH($A196,Data_Analitik!$AL$2:$AL$351,0)),""))</f>
        <v>0</v>
      </c>
      <c r="G196" s="97">
        <f>IF($A196="","",IFERROR(INDEX(Data_Analitik!$R$2:$R$351,MATCH($A196,Data_Analitik!$AL$2:$AL$351,0)),""))</f>
        <v>0</v>
      </c>
      <c r="H196" s="97">
        <f>IF($A196="","",IFERROR(INDEX(Data_Analitik!$T$2:$T$351,MATCH($A196,Data_Analitik!$AL$2:$AL$351,0)),""))</f>
        <v>0</v>
      </c>
      <c r="I196" s="97">
        <f>IF($A196="","",IFERROR(INDEX(Data_Analitik!$V$2:$V$351,MATCH($A196,Data_Analitik!$AL$2:$AL$351,0)),""))</f>
        <v>1.0000000049354163</v>
      </c>
      <c r="J196" s="97">
        <f>IF($A196="","",IFERROR(INDEX(Data_Analitik!$X$2:$X$351,MATCH($A196,Data_Analitik!$AL$2:$AL$351,0)),""))</f>
        <v>0</v>
      </c>
      <c r="K196" s="97">
        <f>IF($A196="","",IFERROR(INDEX(Data_Analitik!$Z$2:$Z$351,MATCH($A196,Data_Analitik!$AL$2:$AL$351,0)),""))</f>
        <v>1.0000000049354163</v>
      </c>
      <c r="L196" s="33" t="str">
        <f>IF($A196="","",IFERROR(INDEX(Data_Analitik!$AB$2:$AB$351,MATCH($A196,Data_Analitik!$AL$2:$AL$351,0)),""))</f>
        <v>Rusak Berat Dominan</v>
      </c>
    </row>
    <row r="197" spans="1:12" ht="21.95" customHeight="1" x14ac:dyDescent="0.25">
      <c r="A197" s="32">
        <f>IF(ROW()-9&lt;=SUM(Data_Analitik!$AK$2:$AK$351),ROW()-9,"")</f>
        <v>188</v>
      </c>
      <c r="B197" s="99" t="str">
        <f>IF($A197="","",IFERROR(INDEX(Data_Analitik!$B$2:$B$351,MATCH($A197,Data_Analitik!$AL$2:$AL$351,0)),""))</f>
        <v>188</v>
      </c>
      <c r="C197" s="101" t="str">
        <f>IF($A197="","",IFERROR(INDEX(Data_Analitik!$C$2:$C$351,MATCH($A197,Data_Analitik!$AL$2:$AL$351,0)),""))</f>
        <v>Jl. Pandan Sari - Ds. Angkinang</v>
      </c>
      <c r="D197" s="101" t="str">
        <f>IF($A197="","",IFERROR(INDEX(Data_Analitik!$D$2:$D$351,MATCH($A197,Data_Analitik!$AL$2:$AL$351,0)),""))</f>
        <v>Angkinang</v>
      </c>
      <c r="E197" s="100">
        <f>IF($A197="","",IFERROR(INDEX(Data_Analitik!$E$2:$E$351,MATCH($A197,Data_Analitik!$AL$2:$AL$351,0)),""))</f>
        <v>0.44</v>
      </c>
      <c r="F197" s="97">
        <f>IF($A197="","",IFERROR(INDEX(Data_Analitik!$P$2:$P$351,MATCH($A197,Data_Analitik!$AL$2:$AL$351,0)),""))</f>
        <v>0.68181820891120215</v>
      </c>
      <c r="G197" s="97">
        <f>IF($A197="","",IFERROR(INDEX(Data_Analitik!$R$2:$R$351,MATCH($A197,Data_Analitik!$AL$2:$AL$351,0)),""))</f>
        <v>9.090908887711438E-2</v>
      </c>
      <c r="H197" s="97">
        <f>IF($A197="","",IFERROR(INDEX(Data_Analitik!$T$2:$T$351,MATCH($A197,Data_Analitik!$AL$2:$AL$351,0)),""))</f>
        <v>0</v>
      </c>
      <c r="I197" s="97">
        <f>IF($A197="","",IFERROR(INDEX(Data_Analitik!$V$2:$V$351,MATCH($A197,Data_Analitik!$AL$2:$AL$351,0)),""))</f>
        <v>0.22727273065935483</v>
      </c>
      <c r="J197" s="97">
        <f>IF($A197="","",IFERROR(INDEX(Data_Analitik!$X$2:$X$351,MATCH($A197,Data_Analitik!$AL$2:$AL$351,0)),""))</f>
        <v>0.7727272977883165</v>
      </c>
      <c r="K197" s="97">
        <f>IF($A197="","",IFERROR(INDEX(Data_Analitik!$Z$2:$Z$351,MATCH($A197,Data_Analitik!$AL$2:$AL$351,0)),""))</f>
        <v>0.22727273065935483</v>
      </c>
      <c r="L197" s="33" t="str">
        <f>IF($A197="","",IFERROR(INDEX(Data_Analitik!$AB$2:$AB$351,MATCH($A197,Data_Analitik!$AL$2:$AL$351,0)),""))</f>
        <v>Rusak Berat Dominan</v>
      </c>
    </row>
    <row r="198" spans="1:12" ht="21.95" customHeight="1" x14ac:dyDescent="0.25">
      <c r="A198" s="32">
        <f>IF(ROW()-9&lt;=SUM(Data_Analitik!$AK$2:$AK$351),ROW()-9,"")</f>
        <v>189</v>
      </c>
      <c r="B198" s="99" t="str">
        <f>IF($A198="","",IFERROR(INDEX(Data_Analitik!$B$2:$B$351,MATCH($A198,Data_Analitik!$AL$2:$AL$351,0)),""))</f>
        <v>189</v>
      </c>
      <c r="C198" s="101" t="str">
        <f>IF($A198="","",IFERROR(INDEX(Data_Analitik!$C$2:$C$351,MATCH($A198,Data_Analitik!$AL$2:$AL$351,0)),""))</f>
        <v>Bamban Selatan - Pakuan Balunan</v>
      </c>
      <c r="D198" s="101" t="str">
        <f>IF($A198="","",IFERROR(INDEX(Data_Analitik!$D$2:$D$351,MATCH($A198,Data_Analitik!$AL$2:$AL$351,0)),""))</f>
        <v>Angkinang</v>
      </c>
      <c r="E198" s="100">
        <f>IF($A198="","",IFERROR(INDEX(Data_Analitik!$E$2:$E$351,MATCH($A198,Data_Analitik!$AL$2:$AL$351,0)),""))</f>
        <v>1.71</v>
      </c>
      <c r="F198" s="97">
        <f>IF($A198="","",IFERROR(INDEX(Data_Analitik!$P$2:$P$351,MATCH($A198,Data_Analitik!$AL$2:$AL$351,0)),""))</f>
        <v>0.29239766081871343</v>
      </c>
      <c r="G198" s="97">
        <f>IF($A198="","",IFERROR(INDEX(Data_Analitik!$R$2:$R$351,MATCH($A198,Data_Analitik!$AL$2:$AL$351,0)),""))</f>
        <v>0.70760236148945765</v>
      </c>
      <c r="H198" s="97">
        <f>IF($A198="","",IFERROR(INDEX(Data_Analitik!$T$2:$T$351,MATCH($A198,Data_Analitik!$AL$2:$AL$351,0)),""))</f>
        <v>0</v>
      </c>
      <c r="I198" s="97">
        <f>IF($A198="","",IFERROR(INDEX(Data_Analitik!$V$2:$V$351,MATCH($A198,Data_Analitik!$AL$2:$AL$351,0)),""))</f>
        <v>0</v>
      </c>
      <c r="J198" s="97">
        <f>IF($A198="","",IFERROR(INDEX(Data_Analitik!$X$2:$X$351,MATCH($A198,Data_Analitik!$AL$2:$AL$351,0)),""))</f>
        <v>1.0000000223081711</v>
      </c>
      <c r="K198" s="97">
        <f>IF($A198="","",IFERROR(INDEX(Data_Analitik!$Z$2:$Z$351,MATCH($A198,Data_Analitik!$AL$2:$AL$351,0)),""))</f>
        <v>0</v>
      </c>
      <c r="L198" s="33" t="str">
        <f>IF($A198="","",IFERROR(INDEX(Data_Analitik!$AB$2:$AB$351,MATCH($A198,Data_Analitik!$AL$2:$AL$351,0)),""))</f>
        <v>Relatif Mantap</v>
      </c>
    </row>
    <row r="199" spans="1:12" ht="21.95" customHeight="1" x14ac:dyDescent="0.25">
      <c r="A199" s="32">
        <f>IF(ROW()-9&lt;=SUM(Data_Analitik!$AK$2:$AK$351),ROW()-9,"")</f>
        <v>190</v>
      </c>
      <c r="B199" s="99" t="str">
        <f>IF($A199="","",IFERROR(INDEX(Data_Analitik!$B$2:$B$351,MATCH($A199,Data_Analitik!$AL$2:$AL$351,0)),""))</f>
        <v>190</v>
      </c>
      <c r="C199" s="101" t="str">
        <f>IF($A199="","",IFERROR(INDEX(Data_Analitik!$C$2:$C$351,MATCH($A199,Data_Analitik!$AL$2:$AL$351,0)),""))</f>
        <v>Kayu Abang - Paya</v>
      </c>
      <c r="D199" s="101" t="str">
        <f>IF($A199="","",IFERROR(INDEX(Data_Analitik!$D$2:$D$351,MATCH($A199,Data_Analitik!$AL$2:$AL$351,0)),""))</f>
        <v>Angkinang</v>
      </c>
      <c r="E199" s="100">
        <f>IF($A199="","",IFERROR(INDEX(Data_Analitik!$E$2:$E$351,MATCH($A199,Data_Analitik!$AL$2:$AL$351,0)),""))</f>
        <v>0.7</v>
      </c>
      <c r="F199" s="97">
        <f>IF($A199="","",IFERROR(INDEX(Data_Analitik!$P$2:$P$351,MATCH($A199,Data_Analitik!$AL$2:$AL$351,0)),""))</f>
        <v>0.14285714498588017</v>
      </c>
      <c r="G199" s="97">
        <f>IF($A199="","",IFERROR(INDEX(Data_Analitik!$R$2:$R$351,MATCH($A199,Data_Analitik!$AL$2:$AL$351,0)),""))</f>
        <v>0.42857144560132709</v>
      </c>
      <c r="H199" s="97">
        <f>IF($A199="","",IFERROR(INDEX(Data_Analitik!$T$2:$T$351,MATCH($A199,Data_Analitik!$AL$2:$AL$351,0)),""))</f>
        <v>0.28571428997176035</v>
      </c>
      <c r="I199" s="97">
        <f>IF($A199="","",IFERROR(INDEX(Data_Analitik!$V$2:$V$351,MATCH($A199,Data_Analitik!$AL$2:$AL$351,0)),""))</f>
        <v>0.14285714498588017</v>
      </c>
      <c r="J199" s="97">
        <f>IF($A199="","",IFERROR(INDEX(Data_Analitik!$X$2:$X$351,MATCH($A199,Data_Analitik!$AL$2:$AL$351,0)),""))</f>
        <v>0.5714285905872073</v>
      </c>
      <c r="K199" s="97">
        <f>IF($A199="","",IFERROR(INDEX(Data_Analitik!$Z$2:$Z$351,MATCH($A199,Data_Analitik!$AL$2:$AL$351,0)),""))</f>
        <v>0.42857143495764055</v>
      </c>
      <c r="L199" s="33" t="str">
        <f>IF($A199="","",IFERROR(INDEX(Data_Analitik!$AB$2:$AB$351,MATCH($A199,Data_Analitik!$AL$2:$AL$351,0)),""))</f>
        <v>Tidak Mantap Sedang</v>
      </c>
    </row>
    <row r="200" spans="1:12" ht="21.95" customHeight="1" x14ac:dyDescent="0.25">
      <c r="A200" s="32">
        <f>IF(ROW()-9&lt;=SUM(Data_Analitik!$AK$2:$AK$351),ROW()-9,"")</f>
        <v>191</v>
      </c>
      <c r="B200" s="99" t="str">
        <f>IF($A200="","",IFERROR(INDEX(Data_Analitik!$B$2:$B$351,MATCH($A200,Data_Analitik!$AL$2:$AL$351,0)),""))</f>
        <v>191</v>
      </c>
      <c r="C200" s="101" t="str">
        <f>IF($A200="","",IFERROR(INDEX(Data_Analitik!$C$2:$C$351,MATCH($A200,Data_Analitik!$AL$2:$AL$351,0)),""))</f>
        <v>Bamban (Tibung) - Martajiwa</v>
      </c>
      <c r="D200" s="101" t="str">
        <f>IF($A200="","",IFERROR(INDEX(Data_Analitik!$D$2:$D$351,MATCH($A200,Data_Analitik!$AL$2:$AL$351,0)),""))</f>
        <v>Angkinang</v>
      </c>
      <c r="E200" s="100">
        <f>IF($A200="","",IFERROR(INDEX(Data_Analitik!$E$2:$E$351,MATCH($A200,Data_Analitik!$AL$2:$AL$351,0)),""))</f>
        <v>0.66</v>
      </c>
      <c r="F200" s="97">
        <f>IF($A200="","",IFERROR(INDEX(Data_Analitik!$P$2:$P$351,MATCH($A200,Data_Analitik!$AL$2:$AL$351,0)),""))</f>
        <v>0</v>
      </c>
      <c r="G200" s="97">
        <f>IF($A200="","",IFERROR(INDEX(Data_Analitik!$R$2:$R$351,MATCH($A200,Data_Analitik!$AL$2:$AL$351,0)),""))</f>
        <v>0</v>
      </c>
      <c r="H200" s="97">
        <f>IF($A200="","",IFERROR(INDEX(Data_Analitik!$T$2:$T$351,MATCH($A200,Data_Analitik!$AL$2:$AL$351,0)),""))</f>
        <v>0.1515151537729032</v>
      </c>
      <c r="I200" s="97">
        <f>IF($A200="","",IFERROR(INDEX(Data_Analitik!$V$2:$V$351,MATCH($A200,Data_Analitik!$AL$2:$AL$351,0)),""))</f>
        <v>0.84848485209725111</v>
      </c>
      <c r="J200" s="97">
        <f>IF($A200="","",IFERROR(INDEX(Data_Analitik!$X$2:$X$351,MATCH($A200,Data_Analitik!$AL$2:$AL$351,0)),""))</f>
        <v>0</v>
      </c>
      <c r="K200" s="97">
        <f>IF($A200="","",IFERROR(INDEX(Data_Analitik!$Z$2:$Z$351,MATCH($A200,Data_Analitik!$AL$2:$AL$351,0)),""))</f>
        <v>1.0000000058701544</v>
      </c>
      <c r="L200" s="33" t="str">
        <f>IF($A200="","",IFERROR(INDEX(Data_Analitik!$AB$2:$AB$351,MATCH($A200,Data_Analitik!$AL$2:$AL$351,0)),""))</f>
        <v>Rusak Berat Dominan</v>
      </c>
    </row>
    <row r="201" spans="1:12" ht="21.95" customHeight="1" x14ac:dyDescent="0.25">
      <c r="A201" s="32">
        <f>IF(ROW()-9&lt;=SUM(Data_Analitik!$AK$2:$AK$351),ROW()-9,"")</f>
        <v>192</v>
      </c>
      <c r="B201" s="99" t="str">
        <f>IF($A201="","",IFERROR(INDEX(Data_Analitik!$B$2:$B$351,MATCH($A201,Data_Analitik!$AL$2:$AL$351,0)),""))</f>
        <v>192</v>
      </c>
      <c r="C201" s="101" t="str">
        <f>IF($A201="","",IFERROR(INDEX(Data_Analitik!$C$2:$C$351,MATCH($A201,Data_Analitik!$AL$2:$AL$351,0)),""))</f>
        <v>Rantauan - Sungai Baru (Jl. Pulau)</v>
      </c>
      <c r="D201" s="101" t="str">
        <f>IF($A201="","",IFERROR(INDEX(Data_Analitik!$D$2:$D$351,MATCH($A201,Data_Analitik!$AL$2:$AL$351,0)),""))</f>
        <v>Angkinang</v>
      </c>
      <c r="E201" s="100">
        <f>IF($A201="","",IFERROR(INDEX(Data_Analitik!$E$2:$E$351,MATCH($A201,Data_Analitik!$AL$2:$AL$351,0)),""))</f>
        <v>1.18</v>
      </c>
      <c r="F201" s="97">
        <f>IF($A201="","",IFERROR(INDEX(Data_Analitik!$P$2:$P$351,MATCH($A201,Data_Analitik!$AL$2:$AL$351,0)),""))</f>
        <v>0.83050849074024269</v>
      </c>
      <c r="G201" s="97">
        <f>IF($A201="","",IFERROR(INDEX(Data_Analitik!$R$2:$R$351,MATCH($A201,Data_Analitik!$AL$2:$AL$351,0)),""))</f>
        <v>8.4745763974674676E-2</v>
      </c>
      <c r="H201" s="97">
        <f>IF($A201="","",IFERROR(INDEX(Data_Analitik!$T$2:$T$351,MATCH($A201,Data_Analitik!$AL$2:$AL$351,0)),""))</f>
        <v>8.4745763974674676E-2</v>
      </c>
      <c r="I201" s="97">
        <f>IF($A201="","",IFERROR(INDEX(Data_Analitik!$V$2:$V$351,MATCH($A201,Data_Analitik!$AL$2:$AL$351,0)),""))</f>
        <v>0</v>
      </c>
      <c r="J201" s="97">
        <f>IF($A201="","",IFERROR(INDEX(Data_Analitik!$X$2:$X$351,MATCH($A201,Data_Analitik!$AL$2:$AL$351,0)),""))</f>
        <v>0.91525425471491739</v>
      </c>
      <c r="K201" s="97">
        <f>IF($A201="","",IFERROR(INDEX(Data_Analitik!$Z$2:$Z$351,MATCH($A201,Data_Analitik!$AL$2:$AL$351,0)),""))</f>
        <v>8.4745763974674676E-2</v>
      </c>
      <c r="L201" s="33" t="str">
        <f>IF($A201="","",IFERROR(INDEX(Data_Analitik!$AB$2:$AB$351,MATCH($A201,Data_Analitik!$AL$2:$AL$351,0)),""))</f>
        <v>Relatif Mantap</v>
      </c>
    </row>
    <row r="202" spans="1:12" ht="21.95" customHeight="1" x14ac:dyDescent="0.25">
      <c r="A202" s="32">
        <f>IF(ROW()-9&lt;=SUM(Data_Analitik!$AK$2:$AK$351),ROW()-9,"")</f>
        <v>193</v>
      </c>
      <c r="B202" s="99" t="str">
        <f>IF($A202="","",IFERROR(INDEX(Data_Analitik!$B$2:$B$351,MATCH($A202,Data_Analitik!$AL$2:$AL$351,0)),""))</f>
        <v>193</v>
      </c>
      <c r="C202" s="101" t="str">
        <f>IF($A202="","",IFERROR(INDEX(Data_Analitik!$C$2:$C$351,MATCH($A202,Data_Analitik!$AL$2:$AL$351,0)),""))</f>
        <v>Telaga Langsat - Pakuan Timur</v>
      </c>
      <c r="D202" s="101" t="str">
        <f>IF($A202="","",IFERROR(INDEX(Data_Analitik!$D$2:$D$351,MATCH($A202,Data_Analitik!$AL$2:$AL$351,0)),""))</f>
        <v>Telaga Langsat</v>
      </c>
      <c r="E202" s="100">
        <f>IF($A202="","",IFERROR(INDEX(Data_Analitik!$E$2:$E$351,MATCH($A202,Data_Analitik!$AL$2:$AL$351,0)),""))</f>
        <v>2.82</v>
      </c>
      <c r="F202" s="97">
        <f>IF($A202="","",IFERROR(INDEX(Data_Analitik!$P$2:$P$351,MATCH($A202,Data_Analitik!$AL$2:$AL$351,0)),""))</f>
        <v>0</v>
      </c>
      <c r="G202" s="97">
        <f>IF($A202="","",IFERROR(INDEX(Data_Analitik!$R$2:$R$351,MATCH($A202,Data_Analitik!$AL$2:$AL$351,0)),""))</f>
        <v>0.31914892771565323</v>
      </c>
      <c r="H202" s="97">
        <f>IF($A202="","",IFERROR(INDEX(Data_Analitik!$T$2:$T$351,MATCH($A202,Data_Analitik!$AL$2:$AL$351,0)),""))</f>
        <v>0.36170212089592685</v>
      </c>
      <c r="I202" s="97">
        <f>IF($A202="","",IFERROR(INDEX(Data_Analitik!$V$2:$V$351,MATCH($A202,Data_Analitik!$AL$2:$AL$351,0)),""))</f>
        <v>0.31914892771565323</v>
      </c>
      <c r="J202" s="97">
        <f>IF($A202="","",IFERROR(INDEX(Data_Analitik!$X$2:$X$351,MATCH($A202,Data_Analitik!$AL$2:$AL$351,0)),""))</f>
        <v>0.31914892771565323</v>
      </c>
      <c r="K202" s="97">
        <f>IF($A202="","",IFERROR(INDEX(Data_Analitik!$Z$2:$Z$351,MATCH($A202,Data_Analitik!$AL$2:$AL$351,0)),""))</f>
        <v>0.68085104861158008</v>
      </c>
      <c r="L202" s="33" t="str">
        <f>IF($A202="","",IFERROR(INDEX(Data_Analitik!$AB$2:$AB$351,MATCH($A202,Data_Analitik!$AL$2:$AL$351,0)),""))</f>
        <v>Rusak Berat Dominan</v>
      </c>
    </row>
    <row r="203" spans="1:12" ht="21.95" customHeight="1" x14ac:dyDescent="0.25">
      <c r="A203" s="32">
        <f>IF(ROW()-9&lt;=SUM(Data_Analitik!$AK$2:$AK$351),ROW()-9,"")</f>
        <v>194</v>
      </c>
      <c r="B203" s="99" t="str">
        <f>IF($A203="","",IFERROR(INDEX(Data_Analitik!$B$2:$B$351,MATCH($A203,Data_Analitik!$AL$2:$AL$351,0)),""))</f>
        <v>194</v>
      </c>
      <c r="C203" s="101" t="str">
        <f>IF($A203="","",IFERROR(INDEX(Data_Analitik!$C$2:$C$351,MATCH($A203,Data_Analitik!$AL$2:$AL$351,0)),""))</f>
        <v>Longawang - Gumbil</v>
      </c>
      <c r="D203" s="101" t="str">
        <f>IF($A203="","",IFERROR(INDEX(Data_Analitik!$D$2:$D$351,MATCH($A203,Data_Analitik!$AL$2:$AL$351,0)),""))</f>
        <v>Telaga Langsat</v>
      </c>
      <c r="E203" s="100">
        <f>IF($A203="","",IFERROR(INDEX(Data_Analitik!$E$2:$E$351,MATCH($A203,Data_Analitik!$AL$2:$AL$351,0)),""))</f>
        <v>1.66</v>
      </c>
      <c r="F203" s="97">
        <f>IF($A203="","",IFERROR(INDEX(Data_Analitik!$P$2:$P$351,MATCH($A203,Data_Analitik!$AL$2:$AL$351,0)),""))</f>
        <v>6.0240964753082001E-2</v>
      </c>
      <c r="G203" s="97">
        <f>IF($A203="","",IFERROR(INDEX(Data_Analitik!$R$2:$R$351,MATCH($A203,Data_Analitik!$AL$2:$AL$351,0)),""))</f>
        <v>0.93975900167442239</v>
      </c>
      <c r="H203" s="97">
        <f>IF($A203="","",IFERROR(INDEX(Data_Analitik!$T$2:$T$351,MATCH($A203,Data_Analitik!$AL$2:$AL$351,0)),""))</f>
        <v>0</v>
      </c>
      <c r="I203" s="97">
        <f>IF($A203="","",IFERROR(INDEX(Data_Analitik!$V$2:$V$351,MATCH($A203,Data_Analitik!$AL$2:$AL$351,0)),""))</f>
        <v>0</v>
      </c>
      <c r="J203" s="97">
        <f>IF($A203="","",IFERROR(INDEX(Data_Analitik!$X$2:$X$351,MATCH($A203,Data_Analitik!$AL$2:$AL$351,0)),""))</f>
        <v>0.99999996642750433</v>
      </c>
      <c r="K203" s="97">
        <f>IF($A203="","",IFERROR(INDEX(Data_Analitik!$Z$2:$Z$351,MATCH($A203,Data_Analitik!$AL$2:$AL$351,0)),""))</f>
        <v>0</v>
      </c>
      <c r="L203" s="33" t="str">
        <f>IF($A203="","",IFERROR(INDEX(Data_Analitik!$AB$2:$AB$351,MATCH($A203,Data_Analitik!$AL$2:$AL$351,0)),""))</f>
        <v>Relatif Mantap</v>
      </c>
    </row>
    <row r="204" spans="1:12" ht="21.95" customHeight="1" x14ac:dyDescent="0.25">
      <c r="A204" s="32">
        <f>IF(ROW()-9&lt;=SUM(Data_Analitik!$AK$2:$AK$351),ROW()-9,"")</f>
        <v>195</v>
      </c>
      <c r="B204" s="99" t="str">
        <f>IF($A204="","",IFERROR(INDEX(Data_Analitik!$B$2:$B$351,MATCH($A204,Data_Analitik!$AL$2:$AL$351,0)),""))</f>
        <v>195</v>
      </c>
      <c r="C204" s="101" t="str">
        <f>IF($A204="","",IFERROR(INDEX(Data_Analitik!$C$2:$C$351,MATCH($A204,Data_Analitik!$AL$2:$AL$351,0)),""))</f>
        <v>Mandampa - Longawang</v>
      </c>
      <c r="D204" s="101" t="str">
        <f>IF($A204="","",IFERROR(INDEX(Data_Analitik!$D$2:$D$351,MATCH($A204,Data_Analitik!$AL$2:$AL$351,0)),""))</f>
        <v>Telaga Langsat</v>
      </c>
      <c r="E204" s="100">
        <f>IF($A204="","",IFERROR(INDEX(Data_Analitik!$E$2:$E$351,MATCH($A204,Data_Analitik!$AL$2:$AL$351,0)),""))</f>
        <v>2.86</v>
      </c>
      <c r="F204" s="97">
        <f>IF($A204="","",IFERROR(INDEX(Data_Analitik!$P$2:$P$351,MATCH($A204,Data_Analitik!$AL$2:$AL$351,0)),""))</f>
        <v>0</v>
      </c>
      <c r="G204" s="97">
        <f>IF($A204="","",IFERROR(INDEX(Data_Analitik!$R$2:$R$351,MATCH($A204,Data_Analitik!$AL$2:$AL$351,0)),""))</f>
        <v>0.90909087574565328</v>
      </c>
      <c r="H204" s="97">
        <f>IF($A204="","",IFERROR(INDEX(Data_Analitik!$T$2:$T$351,MATCH($A204,Data_Analitik!$AL$2:$AL$351,0)),""))</f>
        <v>9.0909087574565325E-2</v>
      </c>
      <c r="I204" s="97">
        <f>IF($A204="","",IFERROR(INDEX(Data_Analitik!$V$2:$V$351,MATCH($A204,Data_Analitik!$AL$2:$AL$351,0)),""))</f>
        <v>0</v>
      </c>
      <c r="J204" s="97">
        <f>IF($A204="","",IFERROR(INDEX(Data_Analitik!$X$2:$X$351,MATCH($A204,Data_Analitik!$AL$2:$AL$351,0)),""))</f>
        <v>0.90909087574565328</v>
      </c>
      <c r="K204" s="97">
        <f>IF($A204="","",IFERROR(INDEX(Data_Analitik!$Z$2:$Z$351,MATCH($A204,Data_Analitik!$AL$2:$AL$351,0)),""))</f>
        <v>9.0909087574565325E-2</v>
      </c>
      <c r="L204" s="33" t="str">
        <f>IF($A204="","",IFERROR(INDEX(Data_Analitik!$AB$2:$AB$351,MATCH($A204,Data_Analitik!$AL$2:$AL$351,0)),""))</f>
        <v>Relatif Mantap</v>
      </c>
    </row>
    <row r="205" spans="1:12" ht="21.95" customHeight="1" x14ac:dyDescent="0.25">
      <c r="A205" s="32">
        <f>IF(ROW()-9&lt;=SUM(Data_Analitik!$AK$2:$AK$351),ROW()-9,"")</f>
        <v>196</v>
      </c>
      <c r="B205" s="99" t="str">
        <f>IF($A205="","",IFERROR(INDEX(Data_Analitik!$B$2:$B$351,MATCH($A205,Data_Analitik!$AL$2:$AL$351,0)),""))</f>
        <v>196</v>
      </c>
      <c r="C205" s="101" t="str">
        <f>IF($A205="","",IFERROR(INDEX(Data_Analitik!$C$2:$C$351,MATCH($A205,Data_Analitik!$AL$2:$AL$351,0)),""))</f>
        <v>Gumbil - Masimpan</v>
      </c>
      <c r="D205" s="101" t="str">
        <f>IF($A205="","",IFERROR(INDEX(Data_Analitik!$D$2:$D$351,MATCH($A205,Data_Analitik!$AL$2:$AL$351,0)),""))</f>
        <v>Telaga Langsat</v>
      </c>
      <c r="E205" s="100">
        <f>IF($A205="","",IFERROR(INDEX(Data_Analitik!$E$2:$E$351,MATCH($A205,Data_Analitik!$AL$2:$AL$351,0)),""))</f>
        <v>5</v>
      </c>
      <c r="F205" s="97">
        <f>IF($A205="","",IFERROR(INDEX(Data_Analitik!$P$2:$P$351,MATCH($A205,Data_Analitik!$AL$2:$AL$351,0)),""))</f>
        <v>0</v>
      </c>
      <c r="G205" s="97">
        <f>IF($A205="","",IFERROR(INDEX(Data_Analitik!$R$2:$R$351,MATCH($A205,Data_Analitik!$AL$2:$AL$351,0)),""))</f>
        <v>0.75999999046325684</v>
      </c>
      <c r="H205" s="97">
        <f>IF($A205="","",IFERROR(INDEX(Data_Analitik!$T$2:$T$351,MATCH($A205,Data_Analitik!$AL$2:$AL$351,0)),""))</f>
        <v>0.22000000476837159</v>
      </c>
      <c r="I205" s="97">
        <f>IF($A205="","",IFERROR(INDEX(Data_Analitik!$V$2:$V$351,MATCH($A205,Data_Analitik!$AL$2:$AL$351,0)),""))</f>
        <v>2.0000000298023225E-2</v>
      </c>
      <c r="J205" s="97">
        <f>IF($A205="","",IFERROR(INDEX(Data_Analitik!$X$2:$X$351,MATCH($A205,Data_Analitik!$AL$2:$AL$351,0)),""))</f>
        <v>0.75999999046325684</v>
      </c>
      <c r="K205" s="97">
        <f>IF($A205="","",IFERROR(INDEX(Data_Analitik!$Z$2:$Z$351,MATCH($A205,Data_Analitik!$AL$2:$AL$351,0)),""))</f>
        <v>0.24000000506639479</v>
      </c>
      <c r="L205" s="33" t="str">
        <f>IF($A205="","",IFERROR(INDEX(Data_Analitik!$AB$2:$AB$351,MATCH($A205,Data_Analitik!$AL$2:$AL$351,0)),""))</f>
        <v>Tidak Mantap Sedang</v>
      </c>
    </row>
    <row r="206" spans="1:12" ht="21.95" customHeight="1" x14ac:dyDescent="0.25">
      <c r="A206" s="32">
        <f>IF(ROW()-9&lt;=SUM(Data_Analitik!$AK$2:$AK$351),ROW()-9,"")</f>
        <v>197</v>
      </c>
      <c r="B206" s="99" t="str">
        <f>IF($A206="","",IFERROR(INDEX(Data_Analitik!$B$2:$B$351,MATCH($A206,Data_Analitik!$AL$2:$AL$351,0)),""))</f>
        <v>197</v>
      </c>
      <c r="C206" s="101" t="str">
        <f>IF($A206="","",IFERROR(INDEX(Data_Analitik!$C$2:$C$351,MATCH($A206,Data_Analitik!$AL$2:$AL$351,0)),""))</f>
        <v>Hamak Timur - Umpaya</v>
      </c>
      <c r="D206" s="101" t="str">
        <f>IF($A206="","",IFERROR(INDEX(Data_Analitik!$D$2:$D$351,MATCH($A206,Data_Analitik!$AL$2:$AL$351,0)),""))</f>
        <v>Telaga Langsat</v>
      </c>
      <c r="E206" s="100">
        <f>IF($A206="","",IFERROR(INDEX(Data_Analitik!$E$2:$E$351,MATCH($A206,Data_Analitik!$AL$2:$AL$351,0)),""))</f>
        <v>4.1900000000000004</v>
      </c>
      <c r="F206" s="97">
        <f>IF($A206="","",IFERROR(INDEX(Data_Analitik!$P$2:$P$351,MATCH($A206,Data_Analitik!$AL$2:$AL$351,0)),""))</f>
        <v>0.16706443629572099</v>
      </c>
      <c r="G206" s="97">
        <f>IF($A206="","",IFERROR(INDEX(Data_Analitik!$R$2:$R$351,MATCH($A206,Data_Analitik!$AL$2:$AL$351,0)),""))</f>
        <v>0.59427207864838738</v>
      </c>
      <c r="H206" s="97">
        <f>IF($A206="","",IFERROR(INDEX(Data_Analitik!$T$2:$T$351,MATCH($A206,Data_Analitik!$AL$2:$AL$351,0)),""))</f>
        <v>0.2386634844868735</v>
      </c>
      <c r="I206" s="97">
        <f>IF($A206="","",IFERROR(INDEX(Data_Analitik!$V$2:$V$351,MATCH($A206,Data_Analitik!$AL$2:$AL$351,0)),""))</f>
        <v>0</v>
      </c>
      <c r="J206" s="97">
        <f>IF($A206="","",IFERROR(INDEX(Data_Analitik!$X$2:$X$351,MATCH($A206,Data_Analitik!$AL$2:$AL$351,0)),""))</f>
        <v>0.76133651494410837</v>
      </c>
      <c r="K206" s="97">
        <f>IF($A206="","",IFERROR(INDEX(Data_Analitik!$Z$2:$Z$351,MATCH($A206,Data_Analitik!$AL$2:$AL$351,0)),""))</f>
        <v>0.2386634844868735</v>
      </c>
      <c r="L206" s="33" t="str">
        <f>IF($A206="","",IFERROR(INDEX(Data_Analitik!$AB$2:$AB$351,MATCH($A206,Data_Analitik!$AL$2:$AL$351,0)),""))</f>
        <v>Tidak Mantap Sedang</v>
      </c>
    </row>
    <row r="207" spans="1:12" ht="21.95" customHeight="1" x14ac:dyDescent="0.25">
      <c r="A207" s="32">
        <f>IF(ROW()-9&lt;=SUM(Data_Analitik!$AK$2:$AK$351),ROW()-9,"")</f>
        <v>198</v>
      </c>
      <c r="B207" s="99" t="str">
        <f>IF($A207="","",IFERROR(INDEX(Data_Analitik!$B$2:$B$351,MATCH($A207,Data_Analitik!$AL$2:$AL$351,0)),""))</f>
        <v>198</v>
      </c>
      <c r="C207" s="101" t="str">
        <f>IF($A207="","",IFERROR(INDEX(Data_Analitik!$C$2:$C$351,MATCH($A207,Data_Analitik!$AL$2:$AL$351,0)),""))</f>
        <v>Hamak - Umbai</v>
      </c>
      <c r="D207" s="101" t="str">
        <f>IF($A207="","",IFERROR(INDEX(Data_Analitik!$D$2:$D$351,MATCH($A207,Data_Analitik!$AL$2:$AL$351,0)),""))</f>
        <v>Telaga Langsat</v>
      </c>
      <c r="E207" s="100">
        <f>IF($A207="","",IFERROR(INDEX(Data_Analitik!$E$2:$E$351,MATCH($A207,Data_Analitik!$AL$2:$AL$351,0)),""))</f>
        <v>0.97</v>
      </c>
      <c r="F207" s="97">
        <f>IF($A207="","",IFERROR(INDEX(Data_Analitik!$P$2:$P$351,MATCH($A207,Data_Analitik!$AL$2:$AL$351,0)),""))</f>
        <v>0</v>
      </c>
      <c r="G207" s="97">
        <f>IF($A207="","",IFERROR(INDEX(Data_Analitik!$R$2:$R$351,MATCH($A207,Data_Analitik!$AL$2:$AL$351,0)),""))</f>
        <v>0.10309278504135683</v>
      </c>
      <c r="H207" s="97">
        <f>IF($A207="","",IFERROR(INDEX(Data_Analitik!$T$2:$T$351,MATCH($A207,Data_Analitik!$AL$2:$AL$351,0)),""))</f>
        <v>0.30927836280508142</v>
      </c>
      <c r="I207" s="97">
        <f>IF($A207="","",IFERROR(INDEX(Data_Analitik!$V$2:$V$351,MATCH($A207,Data_Analitik!$AL$2:$AL$351,0)),""))</f>
        <v>0.58762885860561098</v>
      </c>
      <c r="J207" s="97">
        <f>IF($A207="","",IFERROR(INDEX(Data_Analitik!$X$2:$X$351,MATCH($A207,Data_Analitik!$AL$2:$AL$351,0)),""))</f>
        <v>0.10309278504135683</v>
      </c>
      <c r="K207" s="97">
        <f>IF($A207="","",IFERROR(INDEX(Data_Analitik!$Z$2:$Z$351,MATCH($A207,Data_Analitik!$AL$2:$AL$351,0)),""))</f>
        <v>0.89690722141069235</v>
      </c>
      <c r="L207" s="33" t="str">
        <f>IF($A207="","",IFERROR(INDEX(Data_Analitik!$AB$2:$AB$351,MATCH($A207,Data_Analitik!$AL$2:$AL$351,0)),""))</f>
        <v>Rusak Berat Dominan</v>
      </c>
    </row>
    <row r="208" spans="1:12" ht="21.95" customHeight="1" x14ac:dyDescent="0.25">
      <c r="A208" s="32">
        <f>IF(ROW()-9&lt;=SUM(Data_Analitik!$AK$2:$AK$351),ROW()-9,"")</f>
        <v>199</v>
      </c>
      <c r="B208" s="99" t="str">
        <f>IF($A208="","",IFERROR(INDEX(Data_Analitik!$B$2:$B$351,MATCH($A208,Data_Analitik!$AL$2:$AL$351,0)),""))</f>
        <v>199</v>
      </c>
      <c r="C208" s="101" t="str">
        <f>IF($A208="","",IFERROR(INDEX(Data_Analitik!$C$2:$C$351,MATCH($A208,Data_Analitik!$AL$2:$AL$351,0)),""))</f>
        <v>Hamak Utara - Samaragi</v>
      </c>
      <c r="D208" s="101" t="str">
        <f>IF($A208="","",IFERROR(INDEX(Data_Analitik!$D$2:$D$351,MATCH($A208,Data_Analitik!$AL$2:$AL$351,0)),""))</f>
        <v>Telaga Langsat</v>
      </c>
      <c r="E208" s="100">
        <f>IF($A208="","",IFERROR(INDEX(Data_Analitik!$E$2:$E$351,MATCH($A208,Data_Analitik!$AL$2:$AL$351,0)),""))</f>
        <v>0.3</v>
      </c>
      <c r="F208" s="97">
        <f>IF($A208="","",IFERROR(INDEX(Data_Analitik!$P$2:$P$351,MATCH($A208,Data_Analitik!$AL$2:$AL$351,0)),""))</f>
        <v>0</v>
      </c>
      <c r="G208" s="97">
        <f>IF($A208="","",IFERROR(INDEX(Data_Analitik!$R$2:$R$351,MATCH($A208,Data_Analitik!$AL$2:$AL$351,0)),""))</f>
        <v>0</v>
      </c>
      <c r="H208" s="97">
        <f>IF($A208="","",IFERROR(INDEX(Data_Analitik!$T$2:$T$351,MATCH($A208,Data_Analitik!$AL$2:$AL$351,0)),""))</f>
        <v>0.66666667660077417</v>
      </c>
      <c r="I208" s="97">
        <f>IF($A208="","",IFERROR(INDEX(Data_Analitik!$V$2:$V$351,MATCH($A208,Data_Analitik!$AL$2:$AL$351,0)),""))</f>
        <v>0.33333333830038708</v>
      </c>
      <c r="J208" s="97">
        <f>IF($A208="","",IFERROR(INDEX(Data_Analitik!$X$2:$X$351,MATCH($A208,Data_Analitik!$AL$2:$AL$351,0)),""))</f>
        <v>0</v>
      </c>
      <c r="K208" s="97">
        <f>IF($A208="","",IFERROR(INDEX(Data_Analitik!$Z$2:$Z$351,MATCH($A208,Data_Analitik!$AL$2:$AL$351,0)),""))</f>
        <v>1.0000000149011612</v>
      </c>
      <c r="L208" s="33" t="str">
        <f>IF($A208="","",IFERROR(INDEX(Data_Analitik!$AB$2:$AB$351,MATCH($A208,Data_Analitik!$AL$2:$AL$351,0)),""))</f>
        <v>Rusak Berat Dominan</v>
      </c>
    </row>
    <row r="209" spans="1:12" ht="21.95" customHeight="1" x14ac:dyDescent="0.25">
      <c r="A209" s="32">
        <f>IF(ROW()-9&lt;=SUM(Data_Analitik!$AK$2:$AK$351),ROW()-9,"")</f>
        <v>200</v>
      </c>
      <c r="B209" s="99" t="str">
        <f>IF($A209="","",IFERROR(INDEX(Data_Analitik!$B$2:$B$351,MATCH($A209,Data_Analitik!$AL$2:$AL$351,0)),""))</f>
        <v>200</v>
      </c>
      <c r="C209" s="101" t="str">
        <f>IF($A209="","",IFERROR(INDEX(Data_Analitik!$C$2:$C$351,MATCH($A209,Data_Analitik!$AL$2:$AL$351,0)),""))</f>
        <v>Umpaya - Tumarin</v>
      </c>
      <c r="D209" s="101" t="str">
        <f>IF($A209="","",IFERROR(INDEX(Data_Analitik!$D$2:$D$351,MATCH($A209,Data_Analitik!$AL$2:$AL$351,0)),""))</f>
        <v>Telaga Langsat</v>
      </c>
      <c r="E209" s="100">
        <f>IF($A209="","",IFERROR(INDEX(Data_Analitik!$E$2:$E$351,MATCH($A209,Data_Analitik!$AL$2:$AL$351,0)),""))</f>
        <v>0.56000000000000005</v>
      </c>
      <c r="F209" s="97">
        <f>IF($A209="","",IFERROR(INDEX(Data_Analitik!$P$2:$P$351,MATCH($A209,Data_Analitik!$AL$2:$AL$351,0)),""))</f>
        <v>0.64285716840199059</v>
      </c>
      <c r="G209" s="97">
        <f>IF($A209="","",IFERROR(INDEX(Data_Analitik!$R$2:$R$351,MATCH($A209,Data_Analitik!$AL$2:$AL$351,0)),""))</f>
        <v>0.35714286246470039</v>
      </c>
      <c r="H209" s="97">
        <f>IF($A209="","",IFERROR(INDEX(Data_Analitik!$T$2:$T$351,MATCH($A209,Data_Analitik!$AL$2:$AL$351,0)),""))</f>
        <v>0</v>
      </c>
      <c r="I209" s="97">
        <f>IF($A209="","",IFERROR(INDEX(Data_Analitik!$V$2:$V$351,MATCH($A209,Data_Analitik!$AL$2:$AL$351,0)),""))</f>
        <v>0</v>
      </c>
      <c r="J209" s="97">
        <f>IF($A209="","",IFERROR(INDEX(Data_Analitik!$X$2:$X$351,MATCH($A209,Data_Analitik!$AL$2:$AL$351,0)),""))</f>
        <v>1.000000030866691</v>
      </c>
      <c r="K209" s="97">
        <f>IF($A209="","",IFERROR(INDEX(Data_Analitik!$Z$2:$Z$351,MATCH($A209,Data_Analitik!$AL$2:$AL$351,0)),""))</f>
        <v>0</v>
      </c>
      <c r="L209" s="33" t="str">
        <f>IF($A209="","",IFERROR(INDEX(Data_Analitik!$AB$2:$AB$351,MATCH($A209,Data_Analitik!$AL$2:$AL$351,0)),""))</f>
        <v>Relatif Mantap</v>
      </c>
    </row>
    <row r="210" spans="1:12" ht="21.95" customHeight="1" x14ac:dyDescent="0.25">
      <c r="A210" s="32">
        <f>IF(ROW()-9&lt;=SUM(Data_Analitik!$AK$2:$AK$351),ROW()-9,"")</f>
        <v>201</v>
      </c>
      <c r="B210" s="99" t="str">
        <f>IF($A210="","",IFERROR(INDEX(Data_Analitik!$B$2:$B$351,MATCH($A210,Data_Analitik!$AL$2:$AL$351,0)),""))</f>
        <v>201</v>
      </c>
      <c r="C210" s="101" t="str">
        <f>IF($A210="","",IFERROR(INDEX(Data_Analitik!$C$2:$C$351,MATCH($A210,Data_Analitik!$AL$2:$AL$351,0)),""))</f>
        <v>Jl. Sungai Durian - Ds. Gumbil</v>
      </c>
      <c r="D210" s="101" t="str">
        <f>IF($A210="","",IFERROR(INDEX(Data_Analitik!$D$2:$D$351,MATCH($A210,Data_Analitik!$AL$2:$AL$351,0)),""))</f>
        <v>Telaga Langsat</v>
      </c>
      <c r="E210" s="100">
        <f>IF($A210="","",IFERROR(INDEX(Data_Analitik!$E$2:$E$351,MATCH($A210,Data_Analitik!$AL$2:$AL$351,0)),""))</f>
        <v>0.95</v>
      </c>
      <c r="F210" s="97">
        <f>IF($A210="","",IFERROR(INDEX(Data_Analitik!$P$2:$P$351,MATCH($A210,Data_Analitik!$AL$2:$AL$351,0)),""))</f>
        <v>0</v>
      </c>
      <c r="G210" s="97">
        <f>IF($A210="","",IFERROR(INDEX(Data_Analitik!$R$2:$R$351,MATCH($A210,Data_Analitik!$AL$2:$AL$351,0)),""))</f>
        <v>0.94736839595593914</v>
      </c>
      <c r="H210" s="97">
        <f>IF($A210="","",IFERROR(INDEX(Data_Analitik!$T$2:$T$351,MATCH($A210,Data_Analitik!$AL$2:$AL$351,0)),""))</f>
        <v>0</v>
      </c>
      <c r="I210" s="97">
        <f>IF($A210="","",IFERROR(INDEX(Data_Analitik!$V$2:$V$351,MATCH($A210,Data_Analitik!$AL$2:$AL$351,0)),""))</f>
        <v>5.2631579731640066E-2</v>
      </c>
      <c r="J210" s="97">
        <f>IF($A210="","",IFERROR(INDEX(Data_Analitik!$X$2:$X$351,MATCH($A210,Data_Analitik!$AL$2:$AL$351,0)),""))</f>
        <v>0.94736839595593914</v>
      </c>
      <c r="K210" s="97">
        <f>IF($A210="","",IFERROR(INDEX(Data_Analitik!$Z$2:$Z$351,MATCH($A210,Data_Analitik!$AL$2:$AL$351,0)),""))</f>
        <v>5.2631579731640066E-2</v>
      </c>
      <c r="L210" s="33" t="str">
        <f>IF($A210="","",IFERROR(INDEX(Data_Analitik!$AB$2:$AB$351,MATCH($A210,Data_Analitik!$AL$2:$AL$351,0)),""))</f>
        <v>Relatif Mantap</v>
      </c>
    </row>
    <row r="211" spans="1:12" ht="21.95" customHeight="1" x14ac:dyDescent="0.25">
      <c r="A211" s="32">
        <f>IF(ROW()-9&lt;=SUM(Data_Analitik!$AK$2:$AK$351),ROW()-9,"")</f>
        <v>202</v>
      </c>
      <c r="B211" s="99" t="str">
        <f>IF($A211="","",IFERROR(INDEX(Data_Analitik!$B$2:$B$351,MATCH($A211,Data_Analitik!$AL$2:$AL$351,0)),""))</f>
        <v>202</v>
      </c>
      <c r="C211" s="101" t="str">
        <f>IF($A211="","",IFERROR(INDEX(Data_Analitik!$C$2:$C$351,MATCH($A211,Data_Analitik!$AL$2:$AL$351,0)),""))</f>
        <v>Pantai Langsat - Umpaya</v>
      </c>
      <c r="D211" s="101" t="str">
        <f>IF($A211="","",IFERROR(INDEX(Data_Analitik!$D$2:$D$351,MATCH($A211,Data_Analitik!$AL$2:$AL$351,0)),""))</f>
        <v>Telaga Langsat</v>
      </c>
      <c r="E211" s="100">
        <f>IF($A211="","",IFERROR(INDEX(Data_Analitik!$E$2:$E$351,MATCH($A211,Data_Analitik!$AL$2:$AL$351,0)),""))</f>
        <v>4.45</v>
      </c>
      <c r="F211" s="97">
        <f>IF($A211="","",IFERROR(INDEX(Data_Analitik!$P$2:$P$351,MATCH($A211,Data_Analitik!$AL$2:$AL$351,0)),""))</f>
        <v>0</v>
      </c>
      <c r="G211" s="97">
        <f>IF($A211="","",IFERROR(INDEX(Data_Analitik!$R$2:$R$351,MATCH($A211,Data_Analitik!$AL$2:$AL$351,0)),""))</f>
        <v>0.99999995713823298</v>
      </c>
      <c r="H211" s="97">
        <f>IF($A211="","",IFERROR(INDEX(Data_Analitik!$T$2:$T$351,MATCH($A211,Data_Analitik!$AL$2:$AL$351,0)),""))</f>
        <v>0</v>
      </c>
      <c r="I211" s="97">
        <f>IF($A211="","",IFERROR(INDEX(Data_Analitik!$V$2:$V$351,MATCH($A211,Data_Analitik!$AL$2:$AL$351,0)),""))</f>
        <v>0</v>
      </c>
      <c r="J211" s="97">
        <f>IF($A211="","",IFERROR(INDEX(Data_Analitik!$X$2:$X$351,MATCH($A211,Data_Analitik!$AL$2:$AL$351,0)),""))</f>
        <v>0.99999995713823298</v>
      </c>
      <c r="K211" s="97">
        <f>IF($A211="","",IFERROR(INDEX(Data_Analitik!$Z$2:$Z$351,MATCH($A211,Data_Analitik!$AL$2:$AL$351,0)),""))</f>
        <v>0</v>
      </c>
      <c r="L211" s="33" t="str">
        <f>IF($A211="","",IFERROR(INDEX(Data_Analitik!$AB$2:$AB$351,MATCH($A211,Data_Analitik!$AL$2:$AL$351,0)),""))</f>
        <v>Relatif Mantap</v>
      </c>
    </row>
    <row r="212" spans="1:12" ht="21.95" customHeight="1" x14ac:dyDescent="0.25">
      <c r="A212" s="32">
        <f>IF(ROW()-9&lt;=SUM(Data_Analitik!$AK$2:$AK$351),ROW()-9,"")</f>
        <v>203</v>
      </c>
      <c r="B212" s="99" t="str">
        <f>IF($A212="","",IFERROR(INDEX(Data_Analitik!$B$2:$B$351,MATCH($A212,Data_Analitik!$AL$2:$AL$351,0)),""))</f>
        <v>203</v>
      </c>
      <c r="C212" s="101" t="str">
        <f>IF($A212="","",IFERROR(INDEX(Data_Analitik!$C$2:$C$351,MATCH($A212,Data_Analitik!$AL$2:$AL$351,0)),""))</f>
        <v>Halayung - Hantarukung</v>
      </c>
      <c r="D212" s="101" t="str">
        <f>IF($A212="","",IFERROR(INDEX(Data_Analitik!$D$2:$D$351,MATCH($A212,Data_Analitik!$AL$2:$AL$351,0)),""))</f>
        <v>Simpur</v>
      </c>
      <c r="E212" s="100">
        <f>IF($A212="","",IFERROR(INDEX(Data_Analitik!$E$2:$E$351,MATCH($A212,Data_Analitik!$AL$2:$AL$351,0)),""))</f>
        <v>1.91</v>
      </c>
      <c r="F212" s="97">
        <f>IF($A212="","",IFERROR(INDEX(Data_Analitik!$P$2:$P$351,MATCH($A212,Data_Analitik!$AL$2:$AL$351,0)),""))</f>
        <v>0.94764394909923622</v>
      </c>
      <c r="G212" s="97">
        <f>IF($A212="","",IFERROR(INDEX(Data_Analitik!$R$2:$R$351,MATCH($A212,Data_Analitik!$AL$2:$AL$351,0)),""))</f>
        <v>5.2356021722573885E-2</v>
      </c>
      <c r="H212" s="97">
        <f>IF($A212="","",IFERROR(INDEX(Data_Analitik!$T$2:$T$351,MATCH($A212,Data_Analitik!$AL$2:$AL$351,0)),""))</f>
        <v>0</v>
      </c>
      <c r="I212" s="97">
        <f>IF($A212="","",IFERROR(INDEX(Data_Analitik!$V$2:$V$351,MATCH($A212,Data_Analitik!$AL$2:$AL$351,0)),""))</f>
        <v>0</v>
      </c>
      <c r="J212" s="97">
        <f>IF($A212="","",IFERROR(INDEX(Data_Analitik!$X$2:$X$351,MATCH($A212,Data_Analitik!$AL$2:$AL$351,0)),""))</f>
        <v>0.99999997082181002</v>
      </c>
      <c r="K212" s="97">
        <f>IF($A212="","",IFERROR(INDEX(Data_Analitik!$Z$2:$Z$351,MATCH($A212,Data_Analitik!$AL$2:$AL$351,0)),""))</f>
        <v>0</v>
      </c>
      <c r="L212" s="33" t="str">
        <f>IF($A212="","",IFERROR(INDEX(Data_Analitik!$AB$2:$AB$351,MATCH($A212,Data_Analitik!$AL$2:$AL$351,0)),""))</f>
        <v>Relatif Mantap</v>
      </c>
    </row>
    <row r="213" spans="1:12" ht="21.95" customHeight="1" x14ac:dyDescent="0.25">
      <c r="A213" s="32">
        <f>IF(ROW()-9&lt;=SUM(Data_Analitik!$AK$2:$AK$351),ROW()-9,"")</f>
        <v>204</v>
      </c>
      <c r="B213" s="99" t="str">
        <f>IF($A213="","",IFERROR(INDEX(Data_Analitik!$B$2:$B$351,MATCH($A213,Data_Analitik!$AL$2:$AL$351,0)),""))</f>
        <v>204</v>
      </c>
      <c r="C213" s="101" t="str">
        <f>IF($A213="","",IFERROR(INDEX(Data_Analitik!$C$2:$C$351,MATCH($A213,Data_Analitik!$AL$2:$AL$351,0)),""))</f>
        <v>Wasah Hulu - Amparaya - Simpur</v>
      </c>
      <c r="D213" s="101" t="str">
        <f>IF($A213="","",IFERROR(INDEX(Data_Analitik!$D$2:$D$351,MATCH($A213,Data_Analitik!$AL$2:$AL$351,0)),""))</f>
        <v>Simpur</v>
      </c>
      <c r="E213" s="100">
        <f>IF($A213="","",IFERROR(INDEX(Data_Analitik!$E$2:$E$351,MATCH($A213,Data_Analitik!$AL$2:$AL$351,0)),""))</f>
        <v>6.36</v>
      </c>
      <c r="F213" s="97">
        <f>IF($A213="","",IFERROR(INDEX(Data_Analitik!$P$2:$P$351,MATCH($A213,Data_Analitik!$AL$2:$AL$351,0)),""))</f>
        <v>6.2893082698186234E-2</v>
      </c>
      <c r="G213" s="97">
        <f>IF($A213="","",IFERROR(INDEX(Data_Analitik!$R$2:$R$351,MATCH($A213,Data_Analitik!$AL$2:$AL$351,0)),""))</f>
        <v>0.12578616539637247</v>
      </c>
      <c r="H213" s="97">
        <f>IF($A213="","",IFERROR(INDEX(Data_Analitik!$T$2:$T$351,MATCH($A213,Data_Analitik!$AL$2:$AL$351,0)),""))</f>
        <v>0.33018866425040383</v>
      </c>
      <c r="I213" s="97">
        <f>IF($A213="","",IFERROR(INDEX(Data_Analitik!$V$2:$V$351,MATCH($A213,Data_Analitik!$AL$2:$AL$351,0)),""))</f>
        <v>0.48113206647477058</v>
      </c>
      <c r="J213" s="97">
        <f>IF($A213="","",IFERROR(INDEX(Data_Analitik!$X$2:$X$351,MATCH($A213,Data_Analitik!$AL$2:$AL$351,0)),""))</f>
        <v>0.18867924809455872</v>
      </c>
      <c r="K213" s="97">
        <f>IF($A213="","",IFERROR(INDEX(Data_Analitik!$Z$2:$Z$351,MATCH($A213,Data_Analitik!$AL$2:$AL$351,0)),""))</f>
        <v>0.81132073072517441</v>
      </c>
      <c r="L213" s="33" t="str">
        <f>IF($A213="","",IFERROR(INDEX(Data_Analitik!$AB$2:$AB$351,MATCH($A213,Data_Analitik!$AL$2:$AL$351,0)),""))</f>
        <v>Rusak Berat Dominan</v>
      </c>
    </row>
    <row r="214" spans="1:12" ht="21.95" customHeight="1" x14ac:dyDescent="0.25">
      <c r="A214" s="32">
        <f>IF(ROW()-9&lt;=SUM(Data_Analitik!$AK$2:$AK$351),ROW()-9,"")</f>
        <v>205</v>
      </c>
      <c r="B214" s="99" t="str">
        <f>IF($A214="","",IFERROR(INDEX(Data_Analitik!$B$2:$B$351,MATCH($A214,Data_Analitik!$AL$2:$AL$351,0)),""))</f>
        <v>205</v>
      </c>
      <c r="C214" s="101" t="str">
        <f>IF($A214="","",IFERROR(INDEX(Data_Analitik!$C$2:$C$351,MATCH($A214,Data_Analitik!$AL$2:$AL$351,0)),""))</f>
        <v>Wasah Hilir - Sarang Halang</v>
      </c>
      <c r="D214" s="101" t="str">
        <f>IF($A214="","",IFERROR(INDEX(Data_Analitik!$D$2:$D$351,MATCH($A214,Data_Analitik!$AL$2:$AL$351,0)),""))</f>
        <v>Simpur - Sungai Raya</v>
      </c>
      <c r="E214" s="100">
        <f>IF($A214="","",IFERROR(INDEX(Data_Analitik!$E$2:$E$351,MATCH($A214,Data_Analitik!$AL$2:$AL$351,0)),""))</f>
        <v>3.13</v>
      </c>
      <c r="F214" s="97">
        <f>IF($A214="","",IFERROR(INDEX(Data_Analitik!$P$2:$P$351,MATCH($A214,Data_Analitik!$AL$2:$AL$351,0)),""))</f>
        <v>0.36102236269381099</v>
      </c>
      <c r="G214" s="97">
        <f>IF($A214="","",IFERROR(INDEX(Data_Analitik!$R$2:$R$351,MATCH($A214,Data_Analitik!$AL$2:$AL$351,0)),""))</f>
        <v>0.44728433743071633</v>
      </c>
      <c r="H214" s="97">
        <f>IF($A214="","",IFERROR(INDEX(Data_Analitik!$T$2:$T$351,MATCH($A214,Data_Analitik!$AL$2:$AL$351,0)),""))</f>
        <v>0.19169329835203128</v>
      </c>
      <c r="I214" s="97">
        <f>IF($A214="","",IFERROR(INDEX(Data_Analitik!$V$2:$V$351,MATCH($A214,Data_Analitik!$AL$2:$AL$351,0)),""))</f>
        <v>0</v>
      </c>
      <c r="J214" s="97">
        <f>IF($A214="","",IFERROR(INDEX(Data_Analitik!$X$2:$X$351,MATCH($A214,Data_Analitik!$AL$2:$AL$351,0)),""))</f>
        <v>0.80830670012452732</v>
      </c>
      <c r="K214" s="97">
        <f>IF($A214="","",IFERROR(INDEX(Data_Analitik!$Z$2:$Z$351,MATCH($A214,Data_Analitik!$AL$2:$AL$351,0)),""))</f>
        <v>0.19169329835203128</v>
      </c>
      <c r="L214" s="33" t="str">
        <f>IF($A214="","",IFERROR(INDEX(Data_Analitik!$AB$2:$AB$351,MATCH($A214,Data_Analitik!$AL$2:$AL$351,0)),""))</f>
        <v>Relatif Mantap</v>
      </c>
    </row>
    <row r="215" spans="1:12" ht="21.95" customHeight="1" x14ac:dyDescent="0.25">
      <c r="A215" s="32">
        <f>IF(ROW()-9&lt;=SUM(Data_Analitik!$AK$2:$AK$351),ROW()-9,"")</f>
        <v>206</v>
      </c>
      <c r="B215" s="99" t="str">
        <f>IF($A215="","",IFERROR(INDEX(Data_Analitik!$B$2:$B$351,MATCH($A215,Data_Analitik!$AL$2:$AL$351,0)),""))</f>
        <v>206</v>
      </c>
      <c r="C215" s="101" t="str">
        <f>IF($A215="","",IFERROR(INDEX(Data_Analitik!$C$2:$C$351,MATCH($A215,Data_Analitik!$AL$2:$AL$351,0)),""))</f>
        <v>Simpur - Simp. Bilui</v>
      </c>
      <c r="D215" s="101" t="str">
        <f>IF($A215="","",IFERROR(INDEX(Data_Analitik!$D$2:$D$351,MATCH($A215,Data_Analitik!$AL$2:$AL$351,0)),""))</f>
        <v>Simpur</v>
      </c>
      <c r="E215" s="100">
        <f>IF($A215="","",IFERROR(INDEX(Data_Analitik!$E$2:$E$351,MATCH($A215,Data_Analitik!$AL$2:$AL$351,0)),""))</f>
        <v>1.03</v>
      </c>
      <c r="F215" s="97">
        <f>IF($A215="","",IFERROR(INDEX(Data_Analitik!$P$2:$P$351,MATCH($A215,Data_Analitik!$AL$2:$AL$351,0)),""))</f>
        <v>0.2233009749245875</v>
      </c>
      <c r="G215" s="97">
        <f>IF($A215="","",IFERROR(INDEX(Data_Analitik!$R$2:$R$351,MATCH($A215,Data_Analitik!$AL$2:$AL$351,0)),""))</f>
        <v>0.58252429499209502</v>
      </c>
      <c r="H215" s="97">
        <f>IF($A215="","",IFERROR(INDEX(Data_Analitik!$T$2:$T$351,MATCH($A215,Data_Analitik!$AL$2:$AL$351,0)),""))</f>
        <v>0.19417476017498275</v>
      </c>
      <c r="I215" s="97">
        <f>IF($A215="","",IFERROR(INDEX(Data_Analitik!$V$2:$V$351,MATCH($A215,Data_Analitik!$AL$2:$AL$351,0)),""))</f>
        <v>0</v>
      </c>
      <c r="J215" s="97">
        <f>IF($A215="","",IFERROR(INDEX(Data_Analitik!$X$2:$X$351,MATCH($A215,Data_Analitik!$AL$2:$AL$351,0)),""))</f>
        <v>0.80582526991668257</v>
      </c>
      <c r="K215" s="97">
        <f>IF($A215="","",IFERROR(INDEX(Data_Analitik!$Z$2:$Z$351,MATCH($A215,Data_Analitik!$AL$2:$AL$351,0)),""))</f>
        <v>0.19417476017498275</v>
      </c>
      <c r="L215" s="33" t="str">
        <f>IF($A215="","",IFERROR(INDEX(Data_Analitik!$AB$2:$AB$351,MATCH($A215,Data_Analitik!$AL$2:$AL$351,0)),""))</f>
        <v>Relatif Mantap</v>
      </c>
    </row>
    <row r="216" spans="1:12" ht="21.95" customHeight="1" x14ac:dyDescent="0.25">
      <c r="A216" s="32">
        <f>IF(ROW()-9&lt;=SUM(Data_Analitik!$AK$2:$AK$351),ROW()-9,"")</f>
        <v>207</v>
      </c>
      <c r="B216" s="99" t="str">
        <f>IF($A216="","",IFERROR(INDEX(Data_Analitik!$B$2:$B$351,MATCH($A216,Data_Analitik!$AL$2:$AL$351,0)),""))</f>
        <v>207</v>
      </c>
      <c r="C216" s="101" t="str">
        <f>IF($A216="","",IFERROR(INDEX(Data_Analitik!$C$2:$C$351,MATCH($A216,Data_Analitik!$AL$2:$AL$351,0)),""))</f>
        <v>Simpur - Sp. 3 Muara Paring Agung</v>
      </c>
      <c r="D216" s="101" t="str">
        <f>IF($A216="","",IFERROR(INDEX(Data_Analitik!$D$2:$D$351,MATCH($A216,Data_Analitik!$AL$2:$AL$351,0)),""))</f>
        <v>Simpur - Sungai Raya</v>
      </c>
      <c r="E216" s="100">
        <f>IF($A216="","",IFERROR(INDEX(Data_Analitik!$E$2:$E$351,MATCH($A216,Data_Analitik!$AL$2:$AL$351,0)),""))</f>
        <v>2.73</v>
      </c>
      <c r="F216" s="97">
        <f>IF($A216="","",IFERROR(INDEX(Data_Analitik!$P$2:$P$351,MATCH($A216,Data_Analitik!$AL$2:$AL$351,0)),""))</f>
        <v>0.37728936680943975</v>
      </c>
      <c r="G216" s="97">
        <f>IF($A216="","",IFERROR(INDEX(Data_Analitik!$R$2:$R$351,MATCH($A216,Data_Analitik!$AL$2:$AL$351,0)),""))</f>
        <v>0.5494505494505495</v>
      </c>
      <c r="H216" s="97">
        <f>IF($A216="","",IFERROR(INDEX(Data_Analitik!$T$2:$T$351,MATCH($A216,Data_Analitik!$AL$2:$AL$351,0)),""))</f>
        <v>7.3260074351733415E-2</v>
      </c>
      <c r="I216" s="97">
        <f>IF($A216="","",IFERROR(INDEX(Data_Analitik!$V$2:$V$351,MATCH($A216,Data_Analitik!$AL$2:$AL$351,0)),""))</f>
        <v>0</v>
      </c>
      <c r="J216" s="97">
        <f>IF($A216="","",IFERROR(INDEX(Data_Analitik!$X$2:$X$351,MATCH($A216,Data_Analitik!$AL$2:$AL$351,0)),""))</f>
        <v>0.92673991625998919</v>
      </c>
      <c r="K216" s="97">
        <f>IF($A216="","",IFERROR(INDEX(Data_Analitik!$Z$2:$Z$351,MATCH($A216,Data_Analitik!$AL$2:$AL$351,0)),""))</f>
        <v>7.3260074351733415E-2</v>
      </c>
      <c r="L216" s="33" t="str">
        <f>IF($A216="","",IFERROR(INDEX(Data_Analitik!$AB$2:$AB$351,MATCH($A216,Data_Analitik!$AL$2:$AL$351,0)),""))</f>
        <v>Relatif Mantap</v>
      </c>
    </row>
    <row r="217" spans="1:12" ht="21.95" customHeight="1" x14ac:dyDescent="0.25">
      <c r="A217" s="32">
        <f>IF(ROW()-9&lt;=SUM(Data_Analitik!$AK$2:$AK$351),ROW()-9,"")</f>
        <v>208</v>
      </c>
      <c r="B217" s="99" t="str">
        <f>IF($A217="","",IFERROR(INDEX(Data_Analitik!$B$2:$B$351,MATCH($A217,Data_Analitik!$AL$2:$AL$351,0)),""))</f>
        <v>208</v>
      </c>
      <c r="C217" s="101" t="str">
        <f>IF($A217="","",IFERROR(INDEX(Data_Analitik!$C$2:$C$351,MATCH($A217,Data_Analitik!$AL$2:$AL$351,0)),""))</f>
        <v>Wasah Tengah - Sungai Tarap</v>
      </c>
      <c r="D217" s="101" t="str">
        <f>IF($A217="","",IFERROR(INDEX(Data_Analitik!$D$2:$D$351,MATCH($A217,Data_Analitik!$AL$2:$AL$351,0)),""))</f>
        <v>Simpur</v>
      </c>
      <c r="E217" s="100">
        <f>IF($A217="","",IFERROR(INDEX(Data_Analitik!$E$2:$E$351,MATCH($A217,Data_Analitik!$AL$2:$AL$351,0)),""))</f>
        <v>3.35</v>
      </c>
      <c r="F217" s="97">
        <f>IF($A217="","",IFERROR(INDEX(Data_Analitik!$P$2:$P$351,MATCH($A217,Data_Analitik!$AL$2:$AL$351,0)),""))</f>
        <v>0.99999997153210995</v>
      </c>
      <c r="G217" s="97">
        <f>IF($A217="","",IFERROR(INDEX(Data_Analitik!$R$2:$R$351,MATCH($A217,Data_Analitik!$AL$2:$AL$351,0)),""))</f>
        <v>0</v>
      </c>
      <c r="H217" s="97">
        <f>IF($A217="","",IFERROR(INDEX(Data_Analitik!$T$2:$T$351,MATCH($A217,Data_Analitik!$AL$2:$AL$351,0)),""))</f>
        <v>0</v>
      </c>
      <c r="I217" s="97">
        <f>IF($A217="","",IFERROR(INDEX(Data_Analitik!$V$2:$V$351,MATCH($A217,Data_Analitik!$AL$2:$AL$351,0)),""))</f>
        <v>0</v>
      </c>
      <c r="J217" s="97">
        <f>IF($A217="","",IFERROR(INDEX(Data_Analitik!$X$2:$X$351,MATCH($A217,Data_Analitik!$AL$2:$AL$351,0)),""))</f>
        <v>0.99999997153210995</v>
      </c>
      <c r="K217" s="97">
        <f>IF($A217="","",IFERROR(INDEX(Data_Analitik!$Z$2:$Z$351,MATCH($A217,Data_Analitik!$AL$2:$AL$351,0)),""))</f>
        <v>0</v>
      </c>
      <c r="L217" s="33" t="str">
        <f>IF($A217="","",IFERROR(INDEX(Data_Analitik!$AB$2:$AB$351,MATCH($A217,Data_Analitik!$AL$2:$AL$351,0)),""))</f>
        <v>Relatif Mantap</v>
      </c>
    </row>
    <row r="218" spans="1:12" ht="21.95" customHeight="1" x14ac:dyDescent="0.25">
      <c r="A218" s="32">
        <f>IF(ROW()-9&lt;=SUM(Data_Analitik!$AK$2:$AK$351),ROW()-9,"")</f>
        <v>209</v>
      </c>
      <c r="B218" s="99" t="str">
        <f>IF($A218="","",IFERROR(INDEX(Data_Analitik!$B$2:$B$351,MATCH($A218,Data_Analitik!$AL$2:$AL$351,0)),""))</f>
        <v>209</v>
      </c>
      <c r="C218" s="101" t="str">
        <f>IF($A218="","",IFERROR(INDEX(Data_Analitik!$C$2:$C$351,MATCH($A218,Data_Analitik!$AL$2:$AL$351,0)),""))</f>
        <v>Wasah Hilir - Amparaya</v>
      </c>
      <c r="D218" s="101" t="str">
        <f>IF($A218="","",IFERROR(INDEX(Data_Analitik!$D$2:$D$351,MATCH($A218,Data_Analitik!$AL$2:$AL$351,0)),""))</f>
        <v>Simpur</v>
      </c>
      <c r="E218" s="100">
        <f>IF($A218="","",IFERROR(INDEX(Data_Analitik!$E$2:$E$351,MATCH($A218,Data_Analitik!$AL$2:$AL$351,0)),""))</f>
        <v>2.93</v>
      </c>
      <c r="F218" s="97">
        <f>IF($A218="","",IFERROR(INDEX(Data_Analitik!$P$2:$P$351,MATCH($A218,Data_Analitik!$AL$2:$AL$351,0)),""))</f>
        <v>0.34129692832764502</v>
      </c>
      <c r="G218" s="97">
        <f>IF($A218="","",IFERROR(INDEX(Data_Analitik!$R$2:$R$351,MATCH($A218,Data_Analitik!$AL$2:$AL$351,0)),""))</f>
        <v>3.4129693341336559E-2</v>
      </c>
      <c r="H218" s="97">
        <f>IF($A218="","",IFERROR(INDEX(Data_Analitik!$T$2:$T$351,MATCH($A218,Data_Analitik!$AL$2:$AL$351,0)),""))</f>
        <v>0.18088736224906843</v>
      </c>
      <c r="I218" s="97">
        <f>IF($A218="","",IFERROR(INDEX(Data_Analitik!$V$2:$V$351,MATCH($A218,Data_Analitik!$AL$2:$AL$351,0)),""))</f>
        <v>0.44368599055163283</v>
      </c>
      <c r="J218" s="97">
        <f>IF($A218="","",IFERROR(INDEX(Data_Analitik!$X$2:$X$351,MATCH($A218,Data_Analitik!$AL$2:$AL$351,0)),""))</f>
        <v>0.37542662166898161</v>
      </c>
      <c r="K218" s="97">
        <f>IF($A218="","",IFERROR(INDEX(Data_Analitik!$Z$2:$Z$351,MATCH($A218,Data_Analitik!$AL$2:$AL$351,0)),""))</f>
        <v>0.62457335280070125</v>
      </c>
      <c r="L218" s="33" t="str">
        <f>IF($A218="","",IFERROR(INDEX(Data_Analitik!$AB$2:$AB$351,MATCH($A218,Data_Analitik!$AL$2:$AL$351,0)),""))</f>
        <v>Rusak Berat Dominan</v>
      </c>
    </row>
    <row r="219" spans="1:12" ht="21.95" customHeight="1" x14ac:dyDescent="0.25">
      <c r="A219" s="32">
        <f>IF(ROW()-9&lt;=SUM(Data_Analitik!$AK$2:$AK$351),ROW()-9,"")</f>
        <v>210</v>
      </c>
      <c r="B219" s="99" t="str">
        <f>IF($A219="","",IFERROR(INDEX(Data_Analitik!$B$2:$B$351,MATCH($A219,Data_Analitik!$AL$2:$AL$351,0)),""))</f>
        <v>210</v>
      </c>
      <c r="C219" s="101" t="str">
        <f>IF($A219="","",IFERROR(INDEX(Data_Analitik!$C$2:$C$351,MATCH($A219,Data_Analitik!$AL$2:$AL$351,0)),""))</f>
        <v>Panjampang  Bahagia - Bayur</v>
      </c>
      <c r="D219" s="101" t="str">
        <f>IF($A219="","",IFERROR(INDEX(Data_Analitik!$D$2:$D$351,MATCH($A219,Data_Analitik!$AL$2:$AL$351,0)),""))</f>
        <v>Simpur</v>
      </c>
      <c r="E219" s="100">
        <f>IF($A219="","",IFERROR(INDEX(Data_Analitik!$E$2:$E$351,MATCH($A219,Data_Analitik!$AL$2:$AL$351,0)),""))</f>
        <v>1.56</v>
      </c>
      <c r="F219" s="97">
        <f>IF($A219="","",IFERROR(INDEX(Data_Analitik!$P$2:$P$351,MATCH($A219,Data_Analitik!$AL$2:$AL$351,0)),""))</f>
        <v>6.4102565057766736E-2</v>
      </c>
      <c r="G219" s="97">
        <f>IF($A219="","",IFERROR(INDEX(Data_Analitik!$R$2:$R$351,MATCH($A219,Data_Analitik!$AL$2:$AL$351,0)),""))</f>
        <v>0.74358972219320441</v>
      </c>
      <c r="H219" s="97">
        <f>IF($A219="","",IFERROR(INDEX(Data_Analitik!$T$2:$T$351,MATCH($A219,Data_Analitik!$AL$2:$AL$351,0)),""))</f>
        <v>0.19230769994931343</v>
      </c>
      <c r="I219" s="97">
        <f>IF($A219="","",IFERROR(INDEX(Data_Analitik!$V$2:$V$351,MATCH($A219,Data_Analitik!$AL$2:$AL$351,0)),""))</f>
        <v>0</v>
      </c>
      <c r="J219" s="97">
        <f>IF($A219="","",IFERROR(INDEX(Data_Analitik!$X$2:$X$351,MATCH($A219,Data_Analitik!$AL$2:$AL$351,0)),""))</f>
        <v>0.8076922872509712</v>
      </c>
      <c r="K219" s="97">
        <f>IF($A219="","",IFERROR(INDEX(Data_Analitik!$Z$2:$Z$351,MATCH($A219,Data_Analitik!$AL$2:$AL$351,0)),""))</f>
        <v>0.19230769994931343</v>
      </c>
      <c r="L219" s="33" t="str">
        <f>IF($A219="","",IFERROR(INDEX(Data_Analitik!$AB$2:$AB$351,MATCH($A219,Data_Analitik!$AL$2:$AL$351,0)),""))</f>
        <v>Relatif Mantap</v>
      </c>
    </row>
    <row r="220" spans="1:12" ht="21.95" customHeight="1" x14ac:dyDescent="0.25">
      <c r="A220" s="32">
        <f>IF(ROW()-9&lt;=SUM(Data_Analitik!$AK$2:$AK$351),ROW()-9,"")</f>
        <v>211</v>
      </c>
      <c r="B220" s="99" t="str">
        <f>IF($A220="","",IFERROR(INDEX(Data_Analitik!$B$2:$B$351,MATCH($A220,Data_Analitik!$AL$2:$AL$351,0)),""))</f>
        <v>211</v>
      </c>
      <c r="C220" s="101" t="str">
        <f>IF($A220="","",IFERROR(INDEX(Data_Analitik!$C$2:$C$351,MATCH($A220,Data_Analitik!$AL$2:$AL$351,0)),""))</f>
        <v>Ulin - Tanggul (Balai Mas)</v>
      </c>
      <c r="D220" s="101" t="str">
        <f>IF($A220="","",IFERROR(INDEX(Data_Analitik!$D$2:$D$351,MATCH($A220,Data_Analitik!$AL$2:$AL$351,0)),""))</f>
        <v>Simpur</v>
      </c>
      <c r="E220" s="100">
        <f>IF($A220="","",IFERROR(INDEX(Data_Analitik!$E$2:$E$351,MATCH($A220,Data_Analitik!$AL$2:$AL$351,0)),""))</f>
        <v>3.91</v>
      </c>
      <c r="F220" s="97">
        <f>IF($A220="","",IFERROR(INDEX(Data_Analitik!$P$2:$P$351,MATCH($A220,Data_Analitik!$AL$2:$AL$351,0)),""))</f>
        <v>0</v>
      </c>
      <c r="G220" s="97">
        <f>IF($A220="","",IFERROR(INDEX(Data_Analitik!$R$2:$R$351,MATCH($A220,Data_Analitik!$AL$2:$AL$351,0)),""))</f>
        <v>0.43478262089097591</v>
      </c>
      <c r="H220" s="97">
        <f>IF($A220="","",IFERROR(INDEX(Data_Analitik!$T$2:$T$351,MATCH($A220,Data_Analitik!$AL$2:$AL$351,0)),""))</f>
        <v>0.23017902203533044</v>
      </c>
      <c r="I220" s="97">
        <f>IF($A220="","",IFERROR(INDEX(Data_Analitik!$V$2:$V$351,MATCH($A220,Data_Analitik!$AL$2:$AL$351,0)),""))</f>
        <v>0.33503834853696701</v>
      </c>
      <c r="J220" s="97">
        <f>IF($A220="","",IFERROR(INDEX(Data_Analitik!$X$2:$X$351,MATCH($A220,Data_Analitik!$AL$2:$AL$351,0)),""))</f>
        <v>0.43478262089097591</v>
      </c>
      <c r="K220" s="97">
        <f>IF($A220="","",IFERROR(INDEX(Data_Analitik!$Z$2:$Z$351,MATCH($A220,Data_Analitik!$AL$2:$AL$351,0)),""))</f>
        <v>0.56521737057229748</v>
      </c>
      <c r="L220" s="33" t="str">
        <f>IF($A220="","",IFERROR(INDEX(Data_Analitik!$AB$2:$AB$351,MATCH($A220,Data_Analitik!$AL$2:$AL$351,0)),""))</f>
        <v>Rusak Berat Dominan</v>
      </c>
    </row>
    <row r="221" spans="1:12" ht="21.95" customHeight="1" x14ac:dyDescent="0.25">
      <c r="A221" s="32">
        <f>IF(ROW()-9&lt;=SUM(Data_Analitik!$AK$2:$AK$351),ROW()-9,"")</f>
        <v>212</v>
      </c>
      <c r="B221" s="99" t="str">
        <f>IF($A221="","",IFERROR(INDEX(Data_Analitik!$B$2:$B$351,MATCH($A221,Data_Analitik!$AL$2:$AL$351,0)),""))</f>
        <v>212</v>
      </c>
      <c r="C221" s="101" t="str">
        <f>IF($A221="","",IFERROR(INDEX(Data_Analitik!$C$2:$C$351,MATCH($A221,Data_Analitik!$AL$2:$AL$351,0)),""))</f>
        <v>Panjampang Bahagia - Hanau</v>
      </c>
      <c r="D221" s="101" t="str">
        <f>IF($A221="","",IFERROR(INDEX(Data_Analitik!$D$2:$D$351,MATCH($A221,Data_Analitik!$AL$2:$AL$351,0)),""))</f>
        <v>Simpur</v>
      </c>
      <c r="E221" s="100">
        <f>IF($A221="","",IFERROR(INDEX(Data_Analitik!$E$2:$E$351,MATCH($A221,Data_Analitik!$AL$2:$AL$351,0)),""))</f>
        <v>4.78</v>
      </c>
      <c r="F221" s="97">
        <f>IF($A221="","",IFERROR(INDEX(Data_Analitik!$P$2:$P$351,MATCH($A221,Data_Analitik!$AL$2:$AL$351,0)),""))</f>
        <v>0</v>
      </c>
      <c r="G221" s="97">
        <f>IF($A221="","",IFERROR(INDEX(Data_Analitik!$R$2:$R$351,MATCH($A221,Data_Analitik!$AL$2:$AL$351,0)),""))</f>
        <v>0.481171538141482</v>
      </c>
      <c r="H221" s="97">
        <f>IF($A221="","",IFERROR(INDEX(Data_Analitik!$T$2:$T$351,MATCH($A221,Data_Analitik!$AL$2:$AL$351,0)),""))</f>
        <v>6.2761508770068822E-2</v>
      </c>
      <c r="I221" s="97">
        <f>IF($A221="","",IFERROR(INDEX(Data_Analitik!$V$2:$V$351,MATCH($A221,Data_Analitik!$AL$2:$AL$351,0)),""))</f>
        <v>0.45606693463345449</v>
      </c>
      <c r="J221" s="97">
        <f>IF($A221="","",IFERROR(INDEX(Data_Analitik!$X$2:$X$351,MATCH($A221,Data_Analitik!$AL$2:$AL$351,0)),""))</f>
        <v>0.481171538141482</v>
      </c>
      <c r="K221" s="97">
        <f>IF($A221="","",IFERROR(INDEX(Data_Analitik!$Z$2:$Z$351,MATCH($A221,Data_Analitik!$AL$2:$AL$351,0)),""))</f>
        <v>0.5188284434035233</v>
      </c>
      <c r="L221" s="33" t="str">
        <f>IF($A221="","",IFERROR(INDEX(Data_Analitik!$AB$2:$AB$351,MATCH($A221,Data_Analitik!$AL$2:$AL$351,0)),""))</f>
        <v>Rusak Berat Dominan</v>
      </c>
    </row>
    <row r="222" spans="1:12" ht="21.95" customHeight="1" x14ac:dyDescent="0.25">
      <c r="A222" s="32">
        <f>IF(ROW()-9&lt;=SUM(Data_Analitik!$AK$2:$AK$351),ROW()-9,"")</f>
        <v>213</v>
      </c>
      <c r="B222" s="99" t="str">
        <f>IF($A222="","",IFERROR(INDEX(Data_Analitik!$B$2:$B$351,MATCH($A222,Data_Analitik!$AL$2:$AL$351,0)),""))</f>
        <v>213</v>
      </c>
      <c r="C222" s="101" t="str">
        <f>IF($A222="","",IFERROR(INDEX(Data_Analitik!$C$2:$C$351,MATCH($A222,Data_Analitik!$AL$2:$AL$351,0)),""))</f>
        <v>Jl. Halaban</v>
      </c>
      <c r="D222" s="101" t="str">
        <f>IF($A222="","",IFERROR(INDEX(Data_Analitik!$D$2:$D$351,MATCH($A222,Data_Analitik!$AL$2:$AL$351,0)),""))</f>
        <v>Simpur</v>
      </c>
      <c r="E222" s="100">
        <f>IF($A222="","",IFERROR(INDEX(Data_Analitik!$E$2:$E$351,MATCH($A222,Data_Analitik!$AL$2:$AL$351,0)),""))</f>
        <v>2.12</v>
      </c>
      <c r="F222" s="97">
        <f>IF($A222="","",IFERROR(INDEX(Data_Analitik!$P$2:$P$351,MATCH($A222,Data_Analitik!$AL$2:$AL$351,0)),""))</f>
        <v>0</v>
      </c>
      <c r="G222" s="97">
        <f>IF($A222="","",IFERROR(INDEX(Data_Analitik!$R$2:$R$351,MATCH($A222,Data_Analitik!$AL$2:$AL$351,0)),""))</f>
        <v>4.7169812023639679E-2</v>
      </c>
      <c r="H222" s="97">
        <f>IF($A222="","",IFERROR(INDEX(Data_Analitik!$T$2:$T$351,MATCH($A222,Data_Analitik!$AL$2:$AL$351,0)),""))</f>
        <v>0.14150943958534384</v>
      </c>
      <c r="I222" s="97">
        <f>IF($A222="","",IFERROR(INDEX(Data_Analitik!$V$2:$V$351,MATCH($A222,Data_Analitik!$AL$2:$AL$351,0)),""))</f>
        <v>0.81132076821237231</v>
      </c>
      <c r="J222" s="97">
        <f>IF($A222="","",IFERROR(INDEX(Data_Analitik!$X$2:$X$351,MATCH($A222,Data_Analitik!$AL$2:$AL$351,0)),""))</f>
        <v>4.7169812023639679E-2</v>
      </c>
      <c r="K222" s="97">
        <f>IF($A222="","",IFERROR(INDEX(Data_Analitik!$Z$2:$Z$351,MATCH($A222,Data_Analitik!$AL$2:$AL$351,0)),""))</f>
        <v>0.95283020779771621</v>
      </c>
      <c r="L222" s="33" t="str">
        <f>IF($A222="","",IFERROR(INDEX(Data_Analitik!$AB$2:$AB$351,MATCH($A222,Data_Analitik!$AL$2:$AL$351,0)),""))</f>
        <v>Rusak Berat Dominan</v>
      </c>
    </row>
    <row r="223" spans="1:12" ht="21.95" customHeight="1" x14ac:dyDescent="0.25">
      <c r="A223" s="32">
        <f>IF(ROW()-9&lt;=SUM(Data_Analitik!$AK$2:$AK$351),ROW()-9,"")</f>
        <v>214</v>
      </c>
      <c r="B223" s="99" t="str">
        <f>IF($A223="","",IFERROR(INDEX(Data_Analitik!$B$2:$B$351,MATCH($A223,Data_Analitik!$AL$2:$AL$351,0)),""))</f>
        <v>214</v>
      </c>
      <c r="C223" s="101" t="str">
        <f>IF($A223="","",IFERROR(INDEX(Data_Analitik!$C$2:$C$351,MATCH($A223,Data_Analitik!$AL$2:$AL$351,0)),""))</f>
        <v>Amparaya - Karangan - Hanau</v>
      </c>
      <c r="D223" s="101" t="str">
        <f>IF($A223="","",IFERROR(INDEX(Data_Analitik!$D$2:$D$351,MATCH($A223,Data_Analitik!$AL$2:$AL$351,0)),""))</f>
        <v>Simpur</v>
      </c>
      <c r="E223" s="100">
        <f>IF($A223="","",IFERROR(INDEX(Data_Analitik!$E$2:$E$351,MATCH($A223,Data_Analitik!$AL$2:$AL$351,0)),""))</f>
        <v>4.3600000000000003</v>
      </c>
      <c r="F223" s="97">
        <f>IF($A223="","",IFERROR(INDEX(Data_Analitik!$P$2:$P$351,MATCH($A223,Data_Analitik!$AL$2:$AL$351,0)),""))</f>
        <v>0.4587155963302752</v>
      </c>
      <c r="G223" s="97">
        <f>IF($A223="","",IFERROR(INDEX(Data_Analitik!$R$2:$R$351,MATCH($A223,Data_Analitik!$AL$2:$AL$351,0)),""))</f>
        <v>0.49541286372263493</v>
      </c>
      <c r="H223" s="97">
        <f>IF($A223="","",IFERROR(INDEX(Data_Analitik!$T$2:$T$351,MATCH($A223,Data_Analitik!$AL$2:$AL$351,0)),""))</f>
        <v>4.5871560316567021E-2</v>
      </c>
      <c r="I223" s="97">
        <f>IF($A223="","",IFERROR(INDEX(Data_Analitik!$V$2:$V$351,MATCH($A223,Data_Analitik!$AL$2:$AL$351,0)),""))</f>
        <v>0</v>
      </c>
      <c r="J223" s="97">
        <f>IF($A223="","",IFERROR(INDEX(Data_Analitik!$X$2:$X$351,MATCH($A223,Data_Analitik!$AL$2:$AL$351,0)),""))</f>
        <v>0.95412846005291008</v>
      </c>
      <c r="K223" s="97">
        <f>IF($A223="","",IFERROR(INDEX(Data_Analitik!$Z$2:$Z$351,MATCH($A223,Data_Analitik!$AL$2:$AL$351,0)),""))</f>
        <v>4.5871560316567021E-2</v>
      </c>
      <c r="L223" s="33" t="str">
        <f>IF($A223="","",IFERROR(INDEX(Data_Analitik!$AB$2:$AB$351,MATCH($A223,Data_Analitik!$AL$2:$AL$351,0)),""))</f>
        <v>Relatif Mantap</v>
      </c>
    </row>
    <row r="224" spans="1:12" ht="21.95" customHeight="1" x14ac:dyDescent="0.25">
      <c r="A224" s="32">
        <f>IF(ROW()-9&lt;=SUM(Data_Analitik!$AK$2:$AK$351),ROW()-9,"")</f>
        <v>215</v>
      </c>
      <c r="B224" s="99" t="str">
        <f>IF($A224="","",IFERROR(INDEX(Data_Analitik!$B$2:$B$351,MATCH($A224,Data_Analitik!$AL$2:$AL$351,0)),""))</f>
        <v>215</v>
      </c>
      <c r="C224" s="101" t="str">
        <f>IF($A224="","",IFERROR(INDEX(Data_Analitik!$C$2:$C$351,MATCH($A224,Data_Analitik!$AL$2:$AL$351,0)),""))</f>
        <v>Jl. Kalimput Desa Wasah Hilir</v>
      </c>
      <c r="D224" s="101" t="str">
        <f>IF($A224="","",IFERROR(INDEX(Data_Analitik!$D$2:$D$351,MATCH($A224,Data_Analitik!$AL$2:$AL$351,0)),""))</f>
        <v>Simpur</v>
      </c>
      <c r="E224" s="100">
        <f>IF($A224="","",IFERROR(INDEX(Data_Analitik!$E$2:$E$351,MATCH($A224,Data_Analitik!$AL$2:$AL$351,0)),""))</f>
        <v>0.9</v>
      </c>
      <c r="F224" s="97">
        <f>IF($A224="","",IFERROR(INDEX(Data_Analitik!$P$2:$P$351,MATCH($A224,Data_Analitik!$AL$2:$AL$351,0)),""))</f>
        <v>0</v>
      </c>
      <c r="G224" s="97">
        <f>IF($A224="","",IFERROR(INDEX(Data_Analitik!$R$2:$R$351,MATCH($A224,Data_Analitik!$AL$2:$AL$351,0)),""))</f>
        <v>0.44444445106718272</v>
      </c>
      <c r="H224" s="97">
        <f>IF($A224="","",IFERROR(INDEX(Data_Analitik!$T$2:$T$351,MATCH($A224,Data_Analitik!$AL$2:$AL$351,0)),""))</f>
        <v>0.55555555555555558</v>
      </c>
      <c r="I224" s="97">
        <f>IF($A224="","",IFERROR(INDEX(Data_Analitik!$V$2:$V$351,MATCH($A224,Data_Analitik!$AL$2:$AL$351,0)),""))</f>
        <v>0</v>
      </c>
      <c r="J224" s="97">
        <f>IF($A224="","",IFERROR(INDEX(Data_Analitik!$X$2:$X$351,MATCH($A224,Data_Analitik!$AL$2:$AL$351,0)),""))</f>
        <v>0.44444445106718272</v>
      </c>
      <c r="K224" s="97">
        <f>IF($A224="","",IFERROR(INDEX(Data_Analitik!$Z$2:$Z$351,MATCH($A224,Data_Analitik!$AL$2:$AL$351,0)),""))</f>
        <v>0.55555555555555558</v>
      </c>
      <c r="L224" s="33" t="str">
        <f>IF($A224="","",IFERROR(INDEX(Data_Analitik!$AB$2:$AB$351,MATCH($A224,Data_Analitik!$AL$2:$AL$351,0)),""))</f>
        <v>Tidak Mantap Tinggi</v>
      </c>
    </row>
    <row r="225" spans="1:12" ht="21.95" customHeight="1" x14ac:dyDescent="0.25">
      <c r="A225" s="32">
        <f>IF(ROW()-9&lt;=SUM(Data_Analitik!$AK$2:$AK$351),ROW()-9,"")</f>
        <v>216</v>
      </c>
      <c r="B225" s="99" t="str">
        <f>IF($A225="","",IFERROR(INDEX(Data_Analitik!$B$2:$B$351,MATCH($A225,Data_Analitik!$AL$2:$AL$351,0)),""))</f>
        <v>216</v>
      </c>
      <c r="C225" s="101" t="str">
        <f>IF($A225="","",IFERROR(INDEX(Data_Analitik!$C$2:$C$351,MATCH($A225,Data_Analitik!$AL$2:$AL$351,0)),""))</f>
        <v>Jl. Sungai Kacil I - Kapuh Padang</v>
      </c>
      <c r="D225" s="101" t="str">
        <f>IF($A225="","",IFERROR(INDEX(Data_Analitik!$D$2:$D$351,MATCH($A225,Data_Analitik!$AL$2:$AL$351,0)),""))</f>
        <v>Simpur</v>
      </c>
      <c r="E225" s="100">
        <f>IF($A225="","",IFERROR(INDEX(Data_Analitik!$E$2:$E$351,MATCH($A225,Data_Analitik!$AL$2:$AL$351,0)),""))</f>
        <v>1.32</v>
      </c>
      <c r="F225" s="97">
        <f>IF($A225="","",IFERROR(INDEX(Data_Analitik!$P$2:$P$351,MATCH($A225,Data_Analitik!$AL$2:$AL$351,0)),""))</f>
        <v>1.0000000397364297</v>
      </c>
      <c r="G225" s="97">
        <f>IF($A225="","",IFERROR(INDEX(Data_Analitik!$R$2:$R$351,MATCH($A225,Data_Analitik!$AL$2:$AL$351,0)),""))</f>
        <v>0</v>
      </c>
      <c r="H225" s="97">
        <f>IF($A225="","",IFERROR(INDEX(Data_Analitik!$T$2:$T$351,MATCH($A225,Data_Analitik!$AL$2:$AL$351,0)),""))</f>
        <v>0</v>
      </c>
      <c r="I225" s="97">
        <f>IF($A225="","",IFERROR(INDEX(Data_Analitik!$V$2:$V$351,MATCH($A225,Data_Analitik!$AL$2:$AL$351,0)),""))</f>
        <v>0</v>
      </c>
      <c r="J225" s="97">
        <f>IF($A225="","",IFERROR(INDEX(Data_Analitik!$X$2:$X$351,MATCH($A225,Data_Analitik!$AL$2:$AL$351,0)),""))</f>
        <v>1.0000000397364297</v>
      </c>
      <c r="K225" s="97">
        <f>IF($A225="","",IFERROR(INDEX(Data_Analitik!$Z$2:$Z$351,MATCH($A225,Data_Analitik!$AL$2:$AL$351,0)),""))</f>
        <v>0</v>
      </c>
      <c r="L225" s="33" t="str">
        <f>IF($A225="","",IFERROR(INDEX(Data_Analitik!$AB$2:$AB$351,MATCH($A225,Data_Analitik!$AL$2:$AL$351,0)),""))</f>
        <v>Relatif Mantap</v>
      </c>
    </row>
    <row r="226" spans="1:12" ht="21.95" customHeight="1" x14ac:dyDescent="0.25">
      <c r="A226" s="32">
        <f>IF(ROW()-9&lt;=SUM(Data_Analitik!$AK$2:$AK$351),ROW()-9,"")</f>
        <v>217</v>
      </c>
      <c r="B226" s="99" t="str">
        <f>IF($A226="","",IFERROR(INDEX(Data_Analitik!$B$2:$B$351,MATCH($A226,Data_Analitik!$AL$2:$AL$351,0)),""))</f>
        <v>217</v>
      </c>
      <c r="C226" s="101" t="str">
        <f>IF($A226="","",IFERROR(INDEX(Data_Analitik!$C$2:$C$351,MATCH($A226,Data_Analitik!$AL$2:$AL$351,0)),""))</f>
        <v>Jl. Sungai Kacil II</v>
      </c>
      <c r="D226" s="101" t="str">
        <f>IF($A226="","",IFERROR(INDEX(Data_Analitik!$D$2:$D$351,MATCH($A226,Data_Analitik!$AL$2:$AL$351,0)),""))</f>
        <v>Simpur</v>
      </c>
      <c r="E226" s="100">
        <f>IF($A226="","",IFERROR(INDEX(Data_Analitik!$E$2:$E$351,MATCH($A226,Data_Analitik!$AL$2:$AL$351,0)),""))</f>
        <v>0.39</v>
      </c>
      <c r="F226" s="97">
        <f>IF($A226="","",IFERROR(INDEX(Data_Analitik!$P$2:$P$351,MATCH($A226,Data_Analitik!$AL$2:$AL$351,0)),""))</f>
        <v>0.74358972219320441</v>
      </c>
      <c r="G226" s="97">
        <f>IF($A226="","",IFERROR(INDEX(Data_Analitik!$R$2:$R$351,MATCH($A226,Data_Analitik!$AL$2:$AL$351,0)),""))</f>
        <v>0.25641026023106694</v>
      </c>
      <c r="H226" s="97">
        <f>IF($A226="","",IFERROR(INDEX(Data_Analitik!$T$2:$T$351,MATCH($A226,Data_Analitik!$AL$2:$AL$351,0)),""))</f>
        <v>0</v>
      </c>
      <c r="I226" s="97">
        <f>IF($A226="","",IFERROR(INDEX(Data_Analitik!$V$2:$V$351,MATCH($A226,Data_Analitik!$AL$2:$AL$351,0)),""))</f>
        <v>0</v>
      </c>
      <c r="J226" s="97">
        <f>IF($A226="","",IFERROR(INDEX(Data_Analitik!$X$2:$X$351,MATCH($A226,Data_Analitik!$AL$2:$AL$351,0)),""))</f>
        <v>0.99999998242427135</v>
      </c>
      <c r="K226" s="97">
        <f>IF($A226="","",IFERROR(INDEX(Data_Analitik!$Z$2:$Z$351,MATCH($A226,Data_Analitik!$AL$2:$AL$351,0)),""))</f>
        <v>0</v>
      </c>
      <c r="L226" s="33" t="str">
        <f>IF($A226="","",IFERROR(INDEX(Data_Analitik!$AB$2:$AB$351,MATCH($A226,Data_Analitik!$AL$2:$AL$351,0)),""))</f>
        <v>Relatif Mantap</v>
      </c>
    </row>
    <row r="227" spans="1:12" ht="21.95" customHeight="1" x14ac:dyDescent="0.25">
      <c r="A227" s="32">
        <f>IF(ROW()-9&lt;=SUM(Data_Analitik!$AK$2:$AK$351),ROW()-9,"")</f>
        <v>218</v>
      </c>
      <c r="B227" s="99" t="str">
        <f>IF($A227="","",IFERROR(INDEX(Data_Analitik!$B$2:$B$351,MATCH($A227,Data_Analitik!$AL$2:$AL$351,0)),""))</f>
        <v>218</v>
      </c>
      <c r="C227" s="101" t="str">
        <f>IF($A227="","",IFERROR(INDEX(Data_Analitik!$C$2:$C$351,MATCH($A227,Data_Analitik!$AL$2:$AL$351,0)),""))</f>
        <v>Jl. Papagaran - Ds. Amawang Kanan</v>
      </c>
      <c r="D227" s="101" t="str">
        <f>IF($A227="","",IFERROR(INDEX(Data_Analitik!$D$2:$D$351,MATCH($A227,Data_Analitik!$AL$2:$AL$351,0)),""))</f>
        <v>Simpur</v>
      </c>
      <c r="E227" s="100">
        <f>IF($A227="","",IFERROR(INDEX(Data_Analitik!$E$2:$E$351,MATCH($A227,Data_Analitik!$AL$2:$AL$351,0)),""))</f>
        <v>0.54</v>
      </c>
      <c r="F227" s="97">
        <f>IF($A227="","",IFERROR(INDEX(Data_Analitik!$P$2:$P$351,MATCH($A227,Data_Analitik!$AL$2:$AL$351,0)),""))</f>
        <v>0</v>
      </c>
      <c r="G227" s="97">
        <f>IF($A227="","",IFERROR(INDEX(Data_Analitik!$R$2:$R$351,MATCH($A227,Data_Analitik!$AL$2:$AL$351,0)),""))</f>
        <v>1.0000000397364297</v>
      </c>
      <c r="H227" s="97">
        <f>IF($A227="","",IFERROR(INDEX(Data_Analitik!$T$2:$T$351,MATCH($A227,Data_Analitik!$AL$2:$AL$351,0)),""))</f>
        <v>0</v>
      </c>
      <c r="I227" s="97">
        <f>IF($A227="","",IFERROR(INDEX(Data_Analitik!$V$2:$V$351,MATCH($A227,Data_Analitik!$AL$2:$AL$351,0)),""))</f>
        <v>0</v>
      </c>
      <c r="J227" s="97">
        <f>IF($A227="","",IFERROR(INDEX(Data_Analitik!$X$2:$X$351,MATCH($A227,Data_Analitik!$AL$2:$AL$351,0)),""))</f>
        <v>1.0000000397364297</v>
      </c>
      <c r="K227" s="97">
        <f>IF($A227="","",IFERROR(INDEX(Data_Analitik!$Z$2:$Z$351,MATCH($A227,Data_Analitik!$AL$2:$AL$351,0)),""))</f>
        <v>0</v>
      </c>
      <c r="L227" s="33" t="str">
        <f>IF($A227="","",IFERROR(INDEX(Data_Analitik!$AB$2:$AB$351,MATCH($A227,Data_Analitik!$AL$2:$AL$351,0)),""))</f>
        <v>Relatif Mantap</v>
      </c>
    </row>
    <row r="228" spans="1:12" ht="21.95" customHeight="1" x14ac:dyDescent="0.25">
      <c r="A228" s="32">
        <f>IF(ROW()-9&lt;=SUM(Data_Analitik!$AK$2:$AK$351),ROW()-9,"")</f>
        <v>219</v>
      </c>
      <c r="B228" s="99" t="str">
        <f>IF($A228="","",IFERROR(INDEX(Data_Analitik!$B$2:$B$351,MATCH($A228,Data_Analitik!$AL$2:$AL$351,0)),""))</f>
        <v>219</v>
      </c>
      <c r="C228" s="101" t="str">
        <f>IF($A228="","",IFERROR(INDEX(Data_Analitik!$C$2:$C$351,MATCH($A228,Data_Analitik!$AL$2:$AL$351,0)),""))</f>
        <v>Balaimas - Hanau</v>
      </c>
      <c r="D228" s="101" t="str">
        <f>IF($A228="","",IFERROR(INDEX(Data_Analitik!$D$2:$D$351,MATCH($A228,Data_Analitik!$AL$2:$AL$351,0)),""))</f>
        <v>Simpur</v>
      </c>
      <c r="E228" s="100">
        <f>IF($A228="","",IFERROR(INDEX(Data_Analitik!$E$2:$E$351,MATCH($A228,Data_Analitik!$AL$2:$AL$351,0)),""))</f>
        <v>2.33</v>
      </c>
      <c r="F228" s="97">
        <f>IF($A228="","",IFERROR(INDEX(Data_Analitik!$P$2:$P$351,MATCH($A228,Data_Analitik!$AL$2:$AL$351,0)),""))</f>
        <v>0</v>
      </c>
      <c r="G228" s="97">
        <f>IF($A228="","",IFERROR(INDEX(Data_Analitik!$R$2:$R$351,MATCH($A228,Data_Analitik!$AL$2:$AL$351,0)),""))</f>
        <v>0.99999996725581741</v>
      </c>
      <c r="H228" s="97">
        <f>IF($A228="","",IFERROR(INDEX(Data_Analitik!$T$2:$T$351,MATCH($A228,Data_Analitik!$AL$2:$AL$351,0)),""))</f>
        <v>0</v>
      </c>
      <c r="I228" s="97">
        <f>IF($A228="","",IFERROR(INDEX(Data_Analitik!$V$2:$V$351,MATCH($A228,Data_Analitik!$AL$2:$AL$351,0)),""))</f>
        <v>0</v>
      </c>
      <c r="J228" s="97">
        <f>IF($A228="","",IFERROR(INDEX(Data_Analitik!$X$2:$X$351,MATCH($A228,Data_Analitik!$AL$2:$AL$351,0)),""))</f>
        <v>0.99999996725581741</v>
      </c>
      <c r="K228" s="97">
        <f>IF($A228="","",IFERROR(INDEX(Data_Analitik!$Z$2:$Z$351,MATCH($A228,Data_Analitik!$AL$2:$AL$351,0)),""))</f>
        <v>0</v>
      </c>
      <c r="L228" s="33" t="str">
        <f>IF($A228="","",IFERROR(INDEX(Data_Analitik!$AB$2:$AB$351,MATCH($A228,Data_Analitik!$AL$2:$AL$351,0)),""))</f>
        <v>Relatif Mantap</v>
      </c>
    </row>
    <row r="229" spans="1:12" ht="21.95" customHeight="1" x14ac:dyDescent="0.25">
      <c r="A229" s="32">
        <f>IF(ROW()-9&lt;=SUM(Data_Analitik!$AK$2:$AK$351),ROW()-9,"")</f>
        <v>220</v>
      </c>
      <c r="B229" s="99" t="str">
        <f>IF($A229="","",IFERROR(INDEX(Data_Analitik!$B$2:$B$351,MATCH($A229,Data_Analitik!$AL$2:$AL$351,0)),""))</f>
        <v>220</v>
      </c>
      <c r="C229" s="101" t="str">
        <f>IF($A229="","",IFERROR(INDEX(Data_Analitik!$C$2:$C$351,MATCH($A229,Data_Analitik!$AL$2:$AL$351,0)),""))</f>
        <v>Garunggang - Hantamangu</v>
      </c>
      <c r="D229" s="101" t="str">
        <f>IF($A229="","",IFERROR(INDEX(Data_Analitik!$D$2:$D$351,MATCH($A229,Data_Analitik!$AL$2:$AL$351,0)),""))</f>
        <v>Simpur</v>
      </c>
      <c r="E229" s="100">
        <f>IF($A229="","",IFERROR(INDEX(Data_Analitik!$E$2:$E$351,MATCH($A229,Data_Analitik!$AL$2:$AL$351,0)),""))</f>
        <v>1.1599999999999999</v>
      </c>
      <c r="F229" s="97">
        <f>IF($A229="","",IFERROR(INDEX(Data_Analitik!$P$2:$P$351,MATCH($A229,Data_Analitik!$AL$2:$AL$351,0)),""))</f>
        <v>0</v>
      </c>
      <c r="G229" s="97">
        <f>IF($A229="","",IFERROR(INDEX(Data_Analitik!$R$2:$R$351,MATCH($A229,Data_Analitik!$AL$2:$AL$351,0)),""))</f>
        <v>0.689655182690456</v>
      </c>
      <c r="H229" s="97">
        <f>IF($A229="","",IFERROR(INDEX(Data_Analitik!$T$2:$T$351,MATCH($A229,Data_Analitik!$AL$2:$AL$351,0)),""))</f>
        <v>0.172413795672614</v>
      </c>
      <c r="I229" s="97">
        <f>IF($A229="","",IFERROR(INDEX(Data_Analitik!$V$2:$V$351,MATCH($A229,Data_Analitik!$AL$2:$AL$351,0)),""))</f>
        <v>0.13793103139975976</v>
      </c>
      <c r="J229" s="97">
        <f>IF($A229="","",IFERROR(INDEX(Data_Analitik!$X$2:$X$351,MATCH($A229,Data_Analitik!$AL$2:$AL$351,0)),""))</f>
        <v>0.689655182690456</v>
      </c>
      <c r="K229" s="97">
        <f>IF($A229="","",IFERROR(INDEX(Data_Analitik!$Z$2:$Z$351,MATCH($A229,Data_Analitik!$AL$2:$AL$351,0)),""))</f>
        <v>0.31034482707237376</v>
      </c>
      <c r="L229" s="33" t="str">
        <f>IF($A229="","",IFERROR(INDEX(Data_Analitik!$AB$2:$AB$351,MATCH($A229,Data_Analitik!$AL$2:$AL$351,0)),""))</f>
        <v>Tidak Mantap Sedang</v>
      </c>
    </row>
    <row r="230" spans="1:12" ht="21.95" customHeight="1" x14ac:dyDescent="0.25">
      <c r="A230" s="32">
        <f>IF(ROW()-9&lt;=SUM(Data_Analitik!$AK$2:$AK$351),ROW()-9,"")</f>
        <v>221</v>
      </c>
      <c r="B230" s="99" t="str">
        <f>IF($A230="","",IFERROR(INDEX(Data_Analitik!$B$2:$B$351,MATCH($A230,Data_Analitik!$AL$2:$AL$351,0)),""))</f>
        <v>221</v>
      </c>
      <c r="C230" s="101" t="str">
        <f>IF($A230="","",IFERROR(INDEX(Data_Analitik!$C$2:$C$351,MATCH($A230,Data_Analitik!$AL$2:$AL$351,0)),""))</f>
        <v>Jl. KH. Ramli - DS. Amparaya</v>
      </c>
      <c r="D230" s="101" t="str">
        <f>IF($A230="","",IFERROR(INDEX(Data_Analitik!$D$2:$D$351,MATCH($A230,Data_Analitik!$AL$2:$AL$351,0)),""))</f>
        <v>Simpur</v>
      </c>
      <c r="E230" s="100">
        <f>IF($A230="","",IFERROR(INDEX(Data_Analitik!$E$2:$E$351,MATCH($A230,Data_Analitik!$AL$2:$AL$351,0)),""))</f>
        <v>0.34</v>
      </c>
      <c r="F230" s="97">
        <f>IF($A230="","",IFERROR(INDEX(Data_Analitik!$P$2:$P$351,MATCH($A230,Data_Analitik!$AL$2:$AL$351,0)),""))</f>
        <v>0.41176470763543072</v>
      </c>
      <c r="G230" s="97">
        <f>IF($A230="","",IFERROR(INDEX(Data_Analitik!$R$2:$R$351,MATCH($A230,Data_Analitik!$AL$2:$AL$351,0)),""))</f>
        <v>0.58823530288303594</v>
      </c>
      <c r="H230" s="97">
        <f>IF($A230="","",IFERROR(INDEX(Data_Analitik!$T$2:$T$351,MATCH($A230,Data_Analitik!$AL$2:$AL$351,0)),""))</f>
        <v>0</v>
      </c>
      <c r="I230" s="97">
        <f>IF($A230="","",IFERROR(INDEX(Data_Analitik!$V$2:$V$351,MATCH($A230,Data_Analitik!$AL$2:$AL$351,0)),""))</f>
        <v>0</v>
      </c>
      <c r="J230" s="97">
        <f>IF($A230="","",IFERROR(INDEX(Data_Analitik!$X$2:$X$351,MATCH($A230,Data_Analitik!$AL$2:$AL$351,0)),""))</f>
        <v>1.0000000105184665</v>
      </c>
      <c r="K230" s="97">
        <f>IF($A230="","",IFERROR(INDEX(Data_Analitik!$Z$2:$Z$351,MATCH($A230,Data_Analitik!$AL$2:$AL$351,0)),""))</f>
        <v>0</v>
      </c>
      <c r="L230" s="33" t="str">
        <f>IF($A230="","",IFERROR(INDEX(Data_Analitik!$AB$2:$AB$351,MATCH($A230,Data_Analitik!$AL$2:$AL$351,0)),""))</f>
        <v>Relatif Mantap</v>
      </c>
    </row>
    <row r="231" spans="1:12" ht="21.95" customHeight="1" x14ac:dyDescent="0.25">
      <c r="A231" s="32">
        <f>IF(ROW()-9&lt;=SUM(Data_Analitik!$AK$2:$AK$351),ROW()-9,"")</f>
        <v>222</v>
      </c>
      <c r="B231" s="99" t="str">
        <f>IF($A231="","",IFERROR(INDEX(Data_Analitik!$B$2:$B$351,MATCH($A231,Data_Analitik!$AL$2:$AL$351,0)),""))</f>
        <v>222</v>
      </c>
      <c r="C231" s="101" t="str">
        <f>IF($A231="","",IFERROR(INDEX(Data_Analitik!$C$2:$C$351,MATCH($A231,Data_Analitik!$AL$2:$AL$351,0)),""))</f>
        <v>Jl. Tungkaran - Ds. Ulin</v>
      </c>
      <c r="D231" s="101" t="str">
        <f>IF($A231="","",IFERROR(INDEX(Data_Analitik!$D$2:$D$351,MATCH($A231,Data_Analitik!$AL$2:$AL$351,0)),""))</f>
        <v>Simpur</v>
      </c>
      <c r="E231" s="100">
        <f>IF($A231="","",IFERROR(INDEX(Data_Analitik!$E$2:$E$351,MATCH($A231,Data_Analitik!$AL$2:$AL$351,0)),""))</f>
        <v>1.24</v>
      </c>
      <c r="F231" s="97">
        <f>IF($A231="","",IFERROR(INDEX(Data_Analitik!$P$2:$P$351,MATCH($A231,Data_Analitik!$AL$2:$AL$351,0)),""))</f>
        <v>0</v>
      </c>
      <c r="G231" s="97">
        <f>IF($A231="","",IFERROR(INDEX(Data_Analitik!$R$2:$R$351,MATCH($A231,Data_Analitik!$AL$2:$AL$351,0)),""))</f>
        <v>0.51612902072168165</v>
      </c>
      <c r="H231" s="97">
        <f>IF($A231="","",IFERROR(INDEX(Data_Analitik!$T$2:$T$351,MATCH($A231,Data_Analitik!$AL$2:$AL$351,0)),""))</f>
        <v>0</v>
      </c>
      <c r="I231" s="97">
        <f>IF($A231="","",IFERROR(INDEX(Data_Analitik!$V$2:$V$351,MATCH($A231,Data_Analitik!$AL$2:$AL$351,0)),""))</f>
        <v>0.48387098696924025</v>
      </c>
      <c r="J231" s="97">
        <f>IF($A231="","",IFERROR(INDEX(Data_Analitik!$X$2:$X$351,MATCH($A231,Data_Analitik!$AL$2:$AL$351,0)),""))</f>
        <v>0.51612902072168165</v>
      </c>
      <c r="K231" s="97">
        <f>IF($A231="","",IFERROR(INDEX(Data_Analitik!$Z$2:$Z$351,MATCH($A231,Data_Analitik!$AL$2:$AL$351,0)),""))</f>
        <v>0.48387098696924025</v>
      </c>
      <c r="L231" s="33" t="str">
        <f>IF($A231="","",IFERROR(INDEX(Data_Analitik!$AB$2:$AB$351,MATCH($A231,Data_Analitik!$AL$2:$AL$351,0)),""))</f>
        <v>Rusak Berat Dominan</v>
      </c>
    </row>
    <row r="232" spans="1:12" ht="21.95" customHeight="1" x14ac:dyDescent="0.25">
      <c r="A232" s="32">
        <f>IF(ROW()-9&lt;=SUM(Data_Analitik!$AK$2:$AK$351),ROW()-9,"")</f>
        <v>223</v>
      </c>
      <c r="B232" s="99" t="str">
        <f>IF($A232="","",IFERROR(INDEX(Data_Analitik!$B$2:$B$351,MATCH($A232,Data_Analitik!$AL$2:$AL$351,0)),""))</f>
        <v>223</v>
      </c>
      <c r="C232" s="101" t="str">
        <f>IF($A232="","",IFERROR(INDEX(Data_Analitik!$C$2:$C$351,MATCH($A232,Data_Analitik!$AL$2:$AL$351,0)),""))</f>
        <v>Jl. Mondar (Ulin-Pantai Ulin) - Ds. Ulin</v>
      </c>
      <c r="D232" s="101" t="str">
        <f>IF($A232="","",IFERROR(INDEX(Data_Analitik!$D$2:$D$351,MATCH($A232,Data_Analitik!$AL$2:$AL$351,0)),""))</f>
        <v>Simpur - Kandangan</v>
      </c>
      <c r="E232" s="100">
        <f>IF($A232="","",IFERROR(INDEX(Data_Analitik!$E$2:$E$351,MATCH($A232,Data_Analitik!$AL$2:$AL$351,0)),""))</f>
        <v>1.86</v>
      </c>
      <c r="F232" s="97">
        <f>IF($A232="","",IFERROR(INDEX(Data_Analitik!$P$2:$P$351,MATCH($A232,Data_Analitik!$AL$2:$AL$351,0)),""))</f>
        <v>0</v>
      </c>
      <c r="G232" s="97">
        <f>IF($A232="","",IFERROR(INDEX(Data_Analitik!$R$2:$R$351,MATCH($A232,Data_Analitik!$AL$2:$AL$351,0)),""))</f>
        <v>1.0000000076909219</v>
      </c>
      <c r="H232" s="97">
        <f>IF($A232="","",IFERROR(INDEX(Data_Analitik!$T$2:$T$351,MATCH($A232,Data_Analitik!$AL$2:$AL$351,0)),""))</f>
        <v>0</v>
      </c>
      <c r="I232" s="97">
        <f>IF($A232="","",IFERROR(INDEX(Data_Analitik!$V$2:$V$351,MATCH($A232,Data_Analitik!$AL$2:$AL$351,0)),""))</f>
        <v>0</v>
      </c>
      <c r="J232" s="97">
        <f>IF($A232="","",IFERROR(INDEX(Data_Analitik!$X$2:$X$351,MATCH($A232,Data_Analitik!$AL$2:$AL$351,0)),""))</f>
        <v>1.0000000076909219</v>
      </c>
      <c r="K232" s="97">
        <f>IF($A232="","",IFERROR(INDEX(Data_Analitik!$Z$2:$Z$351,MATCH($A232,Data_Analitik!$AL$2:$AL$351,0)),""))</f>
        <v>0</v>
      </c>
      <c r="L232" s="33" t="str">
        <f>IF($A232="","",IFERROR(INDEX(Data_Analitik!$AB$2:$AB$351,MATCH($A232,Data_Analitik!$AL$2:$AL$351,0)),""))</f>
        <v>Relatif Mantap</v>
      </c>
    </row>
    <row r="233" spans="1:12" ht="21.95" customHeight="1" x14ac:dyDescent="0.25">
      <c r="A233" s="32">
        <f>IF(ROW()-9&lt;=SUM(Data_Analitik!$AK$2:$AK$351),ROW()-9,"")</f>
        <v>224</v>
      </c>
      <c r="B233" s="99" t="str">
        <f>IF($A233="","",IFERROR(INDEX(Data_Analitik!$B$2:$B$351,MATCH($A233,Data_Analitik!$AL$2:$AL$351,0)),""))</f>
        <v>224</v>
      </c>
      <c r="C233" s="101" t="str">
        <f>IF($A233="","",IFERROR(INDEX(Data_Analitik!$C$2:$C$351,MATCH($A233,Data_Analitik!$AL$2:$AL$351,0)),""))</f>
        <v>Jl. Pendawa - Ds. Tebing Tinggi</v>
      </c>
      <c r="D233" s="101" t="str">
        <f>IF($A233="","",IFERROR(INDEX(Data_Analitik!$D$2:$D$351,MATCH($A233,Data_Analitik!$AL$2:$AL$351,0)),""))</f>
        <v>Simpur</v>
      </c>
      <c r="E233" s="100">
        <f>IF($A233="","",IFERROR(INDEX(Data_Analitik!$E$2:$E$351,MATCH($A233,Data_Analitik!$AL$2:$AL$351,0)),""))</f>
        <v>0.82</v>
      </c>
      <c r="F233" s="97">
        <f>IF($A233="","",IFERROR(INDEX(Data_Analitik!$P$2:$P$351,MATCH($A233,Data_Analitik!$AL$2:$AL$351,0)),""))</f>
        <v>0.24390244265881983</v>
      </c>
      <c r="G233" s="97">
        <f>IF($A233="","",IFERROR(INDEX(Data_Analitik!$R$2:$R$351,MATCH($A233,Data_Analitik!$AL$2:$AL$351,0)),""))</f>
        <v>0.6097560975609756</v>
      </c>
      <c r="H233" s="97">
        <f>IF($A233="","",IFERROR(INDEX(Data_Analitik!$T$2:$T$351,MATCH($A233,Data_Analitik!$AL$2:$AL$351,0)),""))</f>
        <v>0</v>
      </c>
      <c r="I233" s="97">
        <f>IF($A233="","",IFERROR(INDEX(Data_Analitik!$V$2:$V$351,MATCH($A233,Data_Analitik!$AL$2:$AL$351,0)),""))</f>
        <v>0.14634146014364754</v>
      </c>
      <c r="J233" s="97">
        <f>IF($A233="","",IFERROR(INDEX(Data_Analitik!$X$2:$X$351,MATCH($A233,Data_Analitik!$AL$2:$AL$351,0)),""))</f>
        <v>0.85365854021979548</v>
      </c>
      <c r="K233" s="97">
        <f>IF($A233="","",IFERROR(INDEX(Data_Analitik!$Z$2:$Z$351,MATCH($A233,Data_Analitik!$AL$2:$AL$351,0)),""))</f>
        <v>0.14634146014364754</v>
      </c>
      <c r="L233" s="33" t="str">
        <f>IF($A233="","",IFERROR(INDEX(Data_Analitik!$AB$2:$AB$351,MATCH($A233,Data_Analitik!$AL$2:$AL$351,0)),""))</f>
        <v>Relatif Mantap</v>
      </c>
    </row>
    <row r="234" spans="1:12" ht="21.95" customHeight="1" x14ac:dyDescent="0.25">
      <c r="A234" s="32">
        <f>IF(ROW()-9&lt;=SUM(Data_Analitik!$AK$2:$AK$351),ROW()-9,"")</f>
        <v>225</v>
      </c>
      <c r="B234" s="99" t="str">
        <f>IF($A234="","",IFERROR(INDEX(Data_Analitik!$B$2:$B$351,MATCH($A234,Data_Analitik!$AL$2:$AL$351,0)),""))</f>
        <v>225</v>
      </c>
      <c r="C234" s="101" t="str">
        <f>IF($A234="","",IFERROR(INDEX(Data_Analitik!$C$2:$C$351,MATCH($A234,Data_Analitik!$AL$2:$AL$351,0)),""))</f>
        <v>Jl. Mangamol - Ds. Pantai Ulin</v>
      </c>
      <c r="D234" s="101" t="str">
        <f>IF($A234="","",IFERROR(INDEX(Data_Analitik!$D$2:$D$351,MATCH($A234,Data_Analitik!$AL$2:$AL$351,0)),""))</f>
        <v>Simpur</v>
      </c>
      <c r="E234" s="100">
        <f>IF($A234="","",IFERROR(INDEX(Data_Analitik!$E$2:$E$351,MATCH($A234,Data_Analitik!$AL$2:$AL$351,0)),""))</f>
        <v>0.69</v>
      </c>
      <c r="F234" s="97">
        <f>IF($A234="","",IFERROR(INDEX(Data_Analitik!$P$2:$P$351,MATCH($A234,Data_Analitik!$AL$2:$AL$351,0)),""))</f>
        <v>0.99999999654465832</v>
      </c>
      <c r="G234" s="97">
        <f>IF($A234="","",IFERROR(INDEX(Data_Analitik!$R$2:$R$351,MATCH($A234,Data_Analitik!$AL$2:$AL$351,0)),""))</f>
        <v>0</v>
      </c>
      <c r="H234" s="97">
        <f>IF($A234="","",IFERROR(INDEX(Data_Analitik!$T$2:$T$351,MATCH($A234,Data_Analitik!$AL$2:$AL$351,0)),""))</f>
        <v>0</v>
      </c>
      <c r="I234" s="97">
        <f>IF($A234="","",IFERROR(INDEX(Data_Analitik!$V$2:$V$351,MATCH($A234,Data_Analitik!$AL$2:$AL$351,0)),""))</f>
        <v>0</v>
      </c>
      <c r="J234" s="97">
        <f>IF($A234="","",IFERROR(INDEX(Data_Analitik!$X$2:$X$351,MATCH($A234,Data_Analitik!$AL$2:$AL$351,0)),""))</f>
        <v>0.99999999654465832</v>
      </c>
      <c r="K234" s="97">
        <f>IF($A234="","",IFERROR(INDEX(Data_Analitik!$Z$2:$Z$351,MATCH($A234,Data_Analitik!$AL$2:$AL$351,0)),""))</f>
        <v>0</v>
      </c>
      <c r="L234" s="33" t="str">
        <f>IF($A234="","",IFERROR(INDEX(Data_Analitik!$AB$2:$AB$351,MATCH($A234,Data_Analitik!$AL$2:$AL$351,0)),""))</f>
        <v>Relatif Mantap</v>
      </c>
    </row>
    <row r="235" spans="1:12" ht="21.95" customHeight="1" x14ac:dyDescent="0.25">
      <c r="A235" s="32">
        <f>IF(ROW()-9&lt;=SUM(Data_Analitik!$AK$2:$AK$351),ROW()-9,"")</f>
        <v>226</v>
      </c>
      <c r="B235" s="99" t="str">
        <f>IF($A235="","",IFERROR(INDEX(Data_Analitik!$B$2:$B$351,MATCH($A235,Data_Analitik!$AL$2:$AL$351,0)),""))</f>
        <v>226</v>
      </c>
      <c r="C235" s="101" t="str">
        <f>IF($A235="","",IFERROR(INDEX(Data_Analitik!$C$2:$C$351,MATCH($A235,Data_Analitik!$AL$2:$AL$351,0)),""))</f>
        <v>Jl. Guru H. Izim - Ds. Pantai Ulin</v>
      </c>
      <c r="D235" s="101" t="str">
        <f>IF($A235="","",IFERROR(INDEX(Data_Analitik!$D$2:$D$351,MATCH($A235,Data_Analitik!$AL$2:$AL$351,0)),""))</f>
        <v>Simpur</v>
      </c>
      <c r="E235" s="100">
        <f>IF($A235="","",IFERROR(INDEX(Data_Analitik!$E$2:$E$351,MATCH($A235,Data_Analitik!$AL$2:$AL$351,0)),""))</f>
        <v>0.62</v>
      </c>
      <c r="F235" s="97">
        <f>IF($A235="","",IFERROR(INDEX(Data_Analitik!$P$2:$P$351,MATCH($A235,Data_Analitik!$AL$2:$AL$351,0)),""))</f>
        <v>0</v>
      </c>
      <c r="G235" s="97">
        <f>IF($A235="","",IFERROR(INDEX(Data_Analitik!$R$2:$R$351,MATCH($A235,Data_Analitik!$AL$2:$AL$351,0)),""))</f>
        <v>0</v>
      </c>
      <c r="H235" s="97">
        <f>IF($A235="","",IFERROR(INDEX(Data_Analitik!$T$2:$T$351,MATCH($A235,Data_Analitik!$AL$2:$AL$351,0)),""))</f>
        <v>0</v>
      </c>
      <c r="I235" s="97">
        <f>IF($A235="","",IFERROR(INDEX(Data_Analitik!$V$2:$V$351,MATCH($A235,Data_Analitik!$AL$2:$AL$351,0)),""))</f>
        <v>1.0000000076909219</v>
      </c>
      <c r="J235" s="97">
        <f>IF($A235="","",IFERROR(INDEX(Data_Analitik!$X$2:$X$351,MATCH($A235,Data_Analitik!$AL$2:$AL$351,0)),""))</f>
        <v>0</v>
      </c>
      <c r="K235" s="97">
        <f>IF($A235="","",IFERROR(INDEX(Data_Analitik!$Z$2:$Z$351,MATCH($A235,Data_Analitik!$AL$2:$AL$351,0)),""))</f>
        <v>1.0000000076909219</v>
      </c>
      <c r="L235" s="33" t="str">
        <f>IF($A235="","",IFERROR(INDEX(Data_Analitik!$AB$2:$AB$351,MATCH($A235,Data_Analitik!$AL$2:$AL$351,0)),""))</f>
        <v>Rusak Berat Dominan</v>
      </c>
    </row>
    <row r="236" spans="1:12" ht="21.95" customHeight="1" x14ac:dyDescent="0.25">
      <c r="A236" s="32">
        <f>IF(ROW()-9&lt;=SUM(Data_Analitik!$AK$2:$AK$351),ROW()-9,"")</f>
        <v>227</v>
      </c>
      <c r="B236" s="99" t="str">
        <f>IF($A236="","",IFERROR(INDEX(Data_Analitik!$B$2:$B$351,MATCH($A236,Data_Analitik!$AL$2:$AL$351,0)),""))</f>
        <v>227</v>
      </c>
      <c r="C236" s="101" t="str">
        <f>IF($A236="","",IFERROR(INDEX(Data_Analitik!$C$2:$C$351,MATCH($A236,Data_Analitik!$AL$2:$AL$351,0)),""))</f>
        <v>Jl. Rawati - Ds. Panjampang Bahagia</v>
      </c>
      <c r="D236" s="101" t="str">
        <f>IF($A236="","",IFERROR(INDEX(Data_Analitik!$D$2:$D$351,MATCH($A236,Data_Analitik!$AL$2:$AL$351,0)),""))</f>
        <v>Simpur</v>
      </c>
      <c r="E236" s="100">
        <f>IF($A236="","",IFERROR(INDEX(Data_Analitik!$E$2:$E$351,MATCH($A236,Data_Analitik!$AL$2:$AL$351,0)),""))</f>
        <v>1.21</v>
      </c>
      <c r="F236" s="97">
        <f>IF($A236="","",IFERROR(INDEX(Data_Analitik!$P$2:$P$351,MATCH($A236,Data_Analitik!$AL$2:$AL$351,0)),""))</f>
        <v>1.0000000315264237</v>
      </c>
      <c r="G236" s="97">
        <f>IF($A236="","",IFERROR(INDEX(Data_Analitik!$R$2:$R$351,MATCH($A236,Data_Analitik!$AL$2:$AL$351,0)),""))</f>
        <v>0</v>
      </c>
      <c r="H236" s="97">
        <f>IF($A236="","",IFERROR(INDEX(Data_Analitik!$T$2:$T$351,MATCH($A236,Data_Analitik!$AL$2:$AL$351,0)),""))</f>
        <v>0</v>
      </c>
      <c r="I236" s="97">
        <f>IF($A236="","",IFERROR(INDEX(Data_Analitik!$V$2:$V$351,MATCH($A236,Data_Analitik!$AL$2:$AL$351,0)),""))</f>
        <v>0</v>
      </c>
      <c r="J236" s="97">
        <f>IF($A236="","",IFERROR(INDEX(Data_Analitik!$X$2:$X$351,MATCH($A236,Data_Analitik!$AL$2:$AL$351,0)),""))</f>
        <v>1.0000000315264237</v>
      </c>
      <c r="K236" s="97">
        <f>IF($A236="","",IFERROR(INDEX(Data_Analitik!$Z$2:$Z$351,MATCH($A236,Data_Analitik!$AL$2:$AL$351,0)),""))</f>
        <v>0</v>
      </c>
      <c r="L236" s="33" t="str">
        <f>IF($A236="","",IFERROR(INDEX(Data_Analitik!$AB$2:$AB$351,MATCH($A236,Data_Analitik!$AL$2:$AL$351,0)),""))</f>
        <v>Relatif Mantap</v>
      </c>
    </row>
    <row r="237" spans="1:12" ht="21.95" customHeight="1" x14ac:dyDescent="0.25">
      <c r="A237" s="32">
        <f>IF(ROW()-9&lt;=SUM(Data_Analitik!$AK$2:$AK$351),ROW()-9,"")</f>
        <v>228</v>
      </c>
      <c r="B237" s="99" t="str">
        <f>IF($A237="","",IFERROR(INDEX(Data_Analitik!$B$2:$B$351,MATCH($A237,Data_Analitik!$AL$2:$AL$351,0)),""))</f>
        <v>228</v>
      </c>
      <c r="C237" s="101" t="str">
        <f>IF($A237="","",IFERROR(INDEX(Data_Analitik!$C$2:$C$351,MATCH($A237,Data_Analitik!$AL$2:$AL$351,0)),""))</f>
        <v>Jl. Pianggu</v>
      </c>
      <c r="D237" s="101" t="str">
        <f>IF($A237="","",IFERROR(INDEX(Data_Analitik!$D$2:$D$351,MATCH($A237,Data_Analitik!$AL$2:$AL$351,0)),""))</f>
        <v>Simpur</v>
      </c>
      <c r="E237" s="100">
        <f>IF($A237="","",IFERROR(INDEX(Data_Analitik!$E$2:$E$351,MATCH($A237,Data_Analitik!$AL$2:$AL$351,0)),""))</f>
        <v>0.82</v>
      </c>
      <c r="F237" s="97">
        <f>IF($A237="","",IFERROR(INDEX(Data_Analitik!$P$2:$P$351,MATCH($A237,Data_Analitik!$AL$2:$AL$351,0)),""))</f>
        <v>0.99999999127736916</v>
      </c>
      <c r="G237" s="97">
        <f>IF($A237="","",IFERROR(INDEX(Data_Analitik!$R$2:$R$351,MATCH($A237,Data_Analitik!$AL$2:$AL$351,0)),""))</f>
        <v>0</v>
      </c>
      <c r="H237" s="97">
        <f>IF($A237="","",IFERROR(INDEX(Data_Analitik!$T$2:$T$351,MATCH($A237,Data_Analitik!$AL$2:$AL$351,0)),""))</f>
        <v>0</v>
      </c>
      <c r="I237" s="97">
        <f>IF($A237="","",IFERROR(INDEX(Data_Analitik!$V$2:$V$351,MATCH($A237,Data_Analitik!$AL$2:$AL$351,0)),""))</f>
        <v>0</v>
      </c>
      <c r="J237" s="97">
        <f>IF($A237="","",IFERROR(INDEX(Data_Analitik!$X$2:$X$351,MATCH($A237,Data_Analitik!$AL$2:$AL$351,0)),""))</f>
        <v>0.99999999127736916</v>
      </c>
      <c r="K237" s="97">
        <f>IF($A237="","",IFERROR(INDEX(Data_Analitik!$Z$2:$Z$351,MATCH($A237,Data_Analitik!$AL$2:$AL$351,0)),""))</f>
        <v>0</v>
      </c>
      <c r="L237" s="33" t="str">
        <f>IF($A237="","",IFERROR(INDEX(Data_Analitik!$AB$2:$AB$351,MATCH($A237,Data_Analitik!$AL$2:$AL$351,0)),""))</f>
        <v>Relatif Mantap</v>
      </c>
    </row>
    <row r="238" spans="1:12" ht="21.95" customHeight="1" x14ac:dyDescent="0.25">
      <c r="A238" s="32">
        <f>IF(ROW()-9&lt;=SUM(Data_Analitik!$AK$2:$AK$351),ROW()-9,"")</f>
        <v>229</v>
      </c>
      <c r="B238" s="99" t="str">
        <f>IF($A238="","",IFERROR(INDEX(Data_Analitik!$B$2:$B$351,MATCH($A238,Data_Analitik!$AL$2:$AL$351,0)),""))</f>
        <v>229</v>
      </c>
      <c r="C238" s="101" t="str">
        <f>IF($A238="","",IFERROR(INDEX(Data_Analitik!$C$2:$C$351,MATCH($A238,Data_Analitik!$AL$2:$AL$351,0)),""))</f>
        <v>Jl. Buluh - Ds. Tebing Tinggi</v>
      </c>
      <c r="D238" s="101" t="str">
        <f>IF($A238="","",IFERROR(INDEX(Data_Analitik!$D$2:$D$351,MATCH($A238,Data_Analitik!$AL$2:$AL$351,0)),""))</f>
        <v>Simpur</v>
      </c>
      <c r="E238" s="100">
        <f>IF($A238="","",IFERROR(INDEX(Data_Analitik!$E$2:$E$351,MATCH($A238,Data_Analitik!$AL$2:$AL$351,0)),""))</f>
        <v>1.28</v>
      </c>
      <c r="F238" s="97">
        <f>IF($A238="","",IFERROR(INDEX(Data_Analitik!$P$2:$P$351,MATCH($A238,Data_Analitik!$AL$2:$AL$351,0)),""))</f>
        <v>0.390625</v>
      </c>
      <c r="G238" s="97">
        <f>IF($A238="","",IFERROR(INDEX(Data_Analitik!$R$2:$R$351,MATCH($A238,Data_Analitik!$AL$2:$AL$351,0)),""))</f>
        <v>7.8125001164153218E-2</v>
      </c>
      <c r="H238" s="97">
        <f>IF($A238="","",IFERROR(INDEX(Data_Analitik!$T$2:$T$351,MATCH($A238,Data_Analitik!$AL$2:$AL$351,0)),""))</f>
        <v>0</v>
      </c>
      <c r="I238" s="97">
        <f>IF($A238="","",IFERROR(INDEX(Data_Analitik!$V$2:$V$351,MATCH($A238,Data_Analitik!$AL$2:$AL$351,0)),""))</f>
        <v>0.53125000558793545</v>
      </c>
      <c r="J238" s="97">
        <f>IF($A238="","",IFERROR(INDEX(Data_Analitik!$X$2:$X$351,MATCH($A238,Data_Analitik!$AL$2:$AL$351,0)),""))</f>
        <v>0.46875000116415322</v>
      </c>
      <c r="K238" s="97">
        <f>IF($A238="","",IFERROR(INDEX(Data_Analitik!$Z$2:$Z$351,MATCH($A238,Data_Analitik!$AL$2:$AL$351,0)),""))</f>
        <v>0.53125000558793545</v>
      </c>
      <c r="L238" s="33" t="str">
        <f>IF($A238="","",IFERROR(INDEX(Data_Analitik!$AB$2:$AB$351,MATCH($A238,Data_Analitik!$AL$2:$AL$351,0)),""))</f>
        <v>Rusak Berat Dominan</v>
      </c>
    </row>
    <row r="239" spans="1:12" ht="21.95" customHeight="1" x14ac:dyDescent="0.25">
      <c r="A239" s="32">
        <f>IF(ROW()-9&lt;=SUM(Data_Analitik!$AK$2:$AK$351),ROW()-9,"")</f>
        <v>230</v>
      </c>
      <c r="B239" s="99" t="str">
        <f>IF($A239="","",IFERROR(INDEX(Data_Analitik!$B$2:$B$351,MATCH($A239,Data_Analitik!$AL$2:$AL$351,0)),""))</f>
        <v>230</v>
      </c>
      <c r="C239" s="101" t="str">
        <f>IF($A239="","",IFERROR(INDEX(Data_Analitik!$C$2:$C$351,MATCH($A239,Data_Analitik!$AL$2:$AL$351,0)),""))</f>
        <v>Jl. H. Saim Garunggang - Kalimput</v>
      </c>
      <c r="D239" s="101" t="str">
        <f>IF($A239="","",IFERROR(INDEX(Data_Analitik!$D$2:$D$351,MATCH($A239,Data_Analitik!$AL$2:$AL$351,0)),""))</f>
        <v>Simpur</v>
      </c>
      <c r="E239" s="100">
        <f>IF($A239="","",IFERROR(INDEX(Data_Analitik!$E$2:$E$351,MATCH($A239,Data_Analitik!$AL$2:$AL$351,0)),""))</f>
        <v>0.71</v>
      </c>
      <c r="F239" s="97">
        <f>IF($A239="","",IFERROR(INDEX(Data_Analitik!$P$2:$P$351,MATCH($A239,Data_Analitik!$AL$2:$AL$351,0)),""))</f>
        <v>0.85915494972551376</v>
      </c>
      <c r="G239" s="97">
        <f>IF($A239="","",IFERROR(INDEX(Data_Analitik!$R$2:$R$351,MATCH($A239,Data_Analitik!$AL$2:$AL$351,0)),""))</f>
        <v>0.1408450725212903</v>
      </c>
      <c r="H239" s="97">
        <f>IF($A239="","",IFERROR(INDEX(Data_Analitik!$T$2:$T$351,MATCH($A239,Data_Analitik!$AL$2:$AL$351,0)),""))</f>
        <v>0</v>
      </c>
      <c r="I239" s="97">
        <f>IF($A239="","",IFERROR(INDEX(Data_Analitik!$V$2:$V$351,MATCH($A239,Data_Analitik!$AL$2:$AL$351,0)),""))</f>
        <v>0</v>
      </c>
      <c r="J239" s="97">
        <f>IF($A239="","",IFERROR(INDEX(Data_Analitik!$X$2:$X$351,MATCH($A239,Data_Analitik!$AL$2:$AL$351,0)),""))</f>
        <v>1.0000000222468042</v>
      </c>
      <c r="K239" s="97">
        <f>IF($A239="","",IFERROR(INDEX(Data_Analitik!$Z$2:$Z$351,MATCH($A239,Data_Analitik!$AL$2:$AL$351,0)),""))</f>
        <v>0</v>
      </c>
      <c r="L239" s="33" t="str">
        <f>IF($A239="","",IFERROR(INDEX(Data_Analitik!$AB$2:$AB$351,MATCH($A239,Data_Analitik!$AL$2:$AL$351,0)),""))</f>
        <v>Relatif Mantap</v>
      </c>
    </row>
    <row r="240" spans="1:12" ht="21.95" customHeight="1" x14ac:dyDescent="0.25">
      <c r="A240" s="32">
        <f>IF(ROW()-9&lt;=SUM(Data_Analitik!$AK$2:$AK$351),ROW()-9,"")</f>
        <v>231</v>
      </c>
      <c r="B240" s="99" t="str">
        <f>IF($A240="","",IFERROR(INDEX(Data_Analitik!$B$2:$B$351,MATCH($A240,Data_Analitik!$AL$2:$AL$351,0)),""))</f>
        <v>231</v>
      </c>
      <c r="C240" s="101" t="str">
        <f>IF($A240="","",IFERROR(INDEX(Data_Analitik!$C$2:$C$351,MATCH($A240,Data_Analitik!$AL$2:$AL$351,0)),""))</f>
        <v>Jl. Padang Haur - Ds. Wasah Tengah</v>
      </c>
      <c r="D240" s="101" t="str">
        <f>IF($A240="","",IFERROR(INDEX(Data_Analitik!$D$2:$D$351,MATCH($A240,Data_Analitik!$AL$2:$AL$351,0)),""))</f>
        <v>Simpur</v>
      </c>
      <c r="E240" s="100">
        <f>IF($A240="","",IFERROR(INDEX(Data_Analitik!$E$2:$E$351,MATCH($A240,Data_Analitik!$AL$2:$AL$351,0)),""))</f>
        <v>1.23</v>
      </c>
      <c r="F240" s="97">
        <f>IF($A240="","",IFERROR(INDEX(Data_Analitik!$P$2:$P$351,MATCH($A240,Data_Analitik!$AL$2:$AL$351,0)),""))</f>
        <v>0</v>
      </c>
      <c r="G240" s="97">
        <f>IF($A240="","",IFERROR(INDEX(Data_Analitik!$R$2:$R$351,MATCH($A240,Data_Analitik!$AL$2:$AL$351,0)),""))</f>
        <v>0.18699187331083345</v>
      </c>
      <c r="H240" s="97">
        <f>IF($A240="","",IFERROR(INDEX(Data_Analitik!$T$2:$T$351,MATCH($A240,Data_Analitik!$AL$2:$AL$351,0)),""))</f>
        <v>0.4065040650406504</v>
      </c>
      <c r="I240" s="97">
        <f>IF($A240="","",IFERROR(INDEX(Data_Analitik!$V$2:$V$351,MATCH($A240,Data_Analitik!$AL$2:$AL$351,0)),""))</f>
        <v>0.4065040650406504</v>
      </c>
      <c r="J240" s="97">
        <f>IF($A240="","",IFERROR(INDEX(Data_Analitik!$X$2:$X$351,MATCH($A240,Data_Analitik!$AL$2:$AL$351,0)),""))</f>
        <v>0.18699187331083345</v>
      </c>
      <c r="K240" s="97">
        <f>IF($A240="","",IFERROR(INDEX(Data_Analitik!$Z$2:$Z$351,MATCH($A240,Data_Analitik!$AL$2:$AL$351,0)),""))</f>
        <v>0.81300813008130079</v>
      </c>
      <c r="L240" s="33" t="str">
        <f>IF($A240="","",IFERROR(INDEX(Data_Analitik!$AB$2:$AB$351,MATCH($A240,Data_Analitik!$AL$2:$AL$351,0)),""))</f>
        <v>Rusak Berat Dominan</v>
      </c>
    </row>
    <row r="241" spans="1:12" ht="21.95" customHeight="1" x14ac:dyDescent="0.25">
      <c r="A241" s="32">
        <f>IF(ROW()-9&lt;=SUM(Data_Analitik!$AK$2:$AK$351),ROW()-9,"")</f>
        <v>232</v>
      </c>
      <c r="B241" s="99" t="str">
        <f>IF($A241="","",IFERROR(INDEX(Data_Analitik!$B$2:$B$351,MATCH($A241,Data_Analitik!$AL$2:$AL$351,0)),""))</f>
        <v>232</v>
      </c>
      <c r="C241" s="101" t="str">
        <f>IF($A241="","",IFERROR(INDEX(Data_Analitik!$C$2:$C$351,MATCH($A241,Data_Analitik!$AL$2:$AL$351,0)),""))</f>
        <v>Jl. Gerilya - Ds. Simpur</v>
      </c>
      <c r="D241" s="101" t="str">
        <f>IF($A241="","",IFERROR(INDEX(Data_Analitik!$D$2:$D$351,MATCH($A241,Data_Analitik!$AL$2:$AL$351,0)),""))</f>
        <v>Simpur</v>
      </c>
      <c r="E241" s="100">
        <f>IF($A241="","",IFERROR(INDEX(Data_Analitik!$E$2:$E$351,MATCH($A241,Data_Analitik!$AL$2:$AL$351,0)),""))</f>
        <v>0.52</v>
      </c>
      <c r="F241" s="97">
        <f>IF($A241="","",IFERROR(INDEX(Data_Analitik!$P$2:$P$351,MATCH($A241,Data_Analitik!$AL$2:$AL$351,0)),""))</f>
        <v>0.80769228247495795</v>
      </c>
      <c r="G241" s="97">
        <f>IF($A241="","",IFERROR(INDEX(Data_Analitik!$R$2:$R$351,MATCH($A241,Data_Analitik!$AL$2:$AL$351,0)),""))</f>
        <v>0.19230769517330024</v>
      </c>
      <c r="H241" s="97">
        <f>IF($A241="","",IFERROR(INDEX(Data_Analitik!$T$2:$T$351,MATCH($A241,Data_Analitik!$AL$2:$AL$351,0)),""))</f>
        <v>0</v>
      </c>
      <c r="I241" s="97">
        <f>IF($A241="","",IFERROR(INDEX(Data_Analitik!$V$2:$V$351,MATCH($A241,Data_Analitik!$AL$2:$AL$351,0)),""))</f>
        <v>0</v>
      </c>
      <c r="J241" s="97">
        <f>IF($A241="","",IFERROR(INDEX(Data_Analitik!$X$2:$X$351,MATCH($A241,Data_Analitik!$AL$2:$AL$351,0)),""))</f>
        <v>0.99999997764825821</v>
      </c>
      <c r="K241" s="97">
        <f>IF($A241="","",IFERROR(INDEX(Data_Analitik!$Z$2:$Z$351,MATCH($A241,Data_Analitik!$AL$2:$AL$351,0)),""))</f>
        <v>0</v>
      </c>
      <c r="L241" s="33" t="str">
        <f>IF($A241="","",IFERROR(INDEX(Data_Analitik!$AB$2:$AB$351,MATCH($A241,Data_Analitik!$AL$2:$AL$351,0)),""))</f>
        <v>Relatif Mantap</v>
      </c>
    </row>
    <row r="242" spans="1:12" ht="21.95" customHeight="1" x14ac:dyDescent="0.25">
      <c r="A242" s="32">
        <f>IF(ROW()-9&lt;=SUM(Data_Analitik!$AK$2:$AK$351),ROW()-9,"")</f>
        <v>233</v>
      </c>
      <c r="B242" s="99" t="str">
        <f>IF($A242="","",IFERROR(INDEX(Data_Analitik!$B$2:$B$351,MATCH($A242,Data_Analitik!$AL$2:$AL$351,0)),""))</f>
        <v>233</v>
      </c>
      <c r="C242" s="101" t="str">
        <f>IF($A242="","",IFERROR(INDEX(Data_Analitik!$C$2:$C$351,MATCH($A242,Data_Analitik!$AL$2:$AL$351,0)),""))</f>
        <v>Jl. Jangkang - Ds. Wasah Hilir</v>
      </c>
      <c r="D242" s="101" t="str">
        <f>IF($A242="","",IFERROR(INDEX(Data_Analitik!$D$2:$D$351,MATCH($A242,Data_Analitik!$AL$2:$AL$351,0)),""))</f>
        <v>Simpur</v>
      </c>
      <c r="E242" s="100">
        <f>IF($A242="","",IFERROR(INDEX(Data_Analitik!$E$2:$E$351,MATCH($A242,Data_Analitik!$AL$2:$AL$351,0)),""))</f>
        <v>0.34</v>
      </c>
      <c r="F242" s="97">
        <f>IF($A242="","",IFERROR(INDEX(Data_Analitik!$P$2:$P$351,MATCH($A242,Data_Analitik!$AL$2:$AL$351,0)),""))</f>
        <v>1.0000000105184665</v>
      </c>
      <c r="G242" s="97">
        <f>IF($A242="","",IFERROR(INDEX(Data_Analitik!$R$2:$R$351,MATCH($A242,Data_Analitik!$AL$2:$AL$351,0)),""))</f>
        <v>0</v>
      </c>
      <c r="H242" s="97">
        <f>IF($A242="","",IFERROR(INDEX(Data_Analitik!$T$2:$T$351,MATCH($A242,Data_Analitik!$AL$2:$AL$351,0)),""))</f>
        <v>0</v>
      </c>
      <c r="I242" s="97">
        <f>IF($A242="","",IFERROR(INDEX(Data_Analitik!$V$2:$V$351,MATCH($A242,Data_Analitik!$AL$2:$AL$351,0)),""))</f>
        <v>0</v>
      </c>
      <c r="J242" s="97">
        <f>IF($A242="","",IFERROR(INDEX(Data_Analitik!$X$2:$X$351,MATCH($A242,Data_Analitik!$AL$2:$AL$351,0)),""))</f>
        <v>1.0000000105184665</v>
      </c>
      <c r="K242" s="97">
        <f>IF($A242="","",IFERROR(INDEX(Data_Analitik!$Z$2:$Z$351,MATCH($A242,Data_Analitik!$AL$2:$AL$351,0)),""))</f>
        <v>0</v>
      </c>
      <c r="L242" s="33" t="str">
        <f>IF($A242="","",IFERROR(INDEX(Data_Analitik!$AB$2:$AB$351,MATCH($A242,Data_Analitik!$AL$2:$AL$351,0)),""))</f>
        <v>Relatif Mantap</v>
      </c>
    </row>
    <row r="243" spans="1:12" ht="21.95" customHeight="1" x14ac:dyDescent="0.25">
      <c r="A243" s="32">
        <f>IF(ROW()-9&lt;=SUM(Data_Analitik!$AK$2:$AK$351),ROW()-9,"")</f>
        <v>234</v>
      </c>
      <c r="B243" s="99" t="str">
        <f>IF($A243="","",IFERROR(INDEX(Data_Analitik!$B$2:$B$351,MATCH($A243,Data_Analitik!$AL$2:$AL$351,0)),""))</f>
        <v>234</v>
      </c>
      <c r="C243" s="101" t="str">
        <f>IF($A243="","",IFERROR(INDEX(Data_Analitik!$C$2:$C$351,MATCH($A243,Data_Analitik!$AL$2:$AL$351,0)),""))</f>
        <v>Jl. Air Miris - Ds. Wasah Hilir</v>
      </c>
      <c r="D243" s="101" t="str">
        <f>IF($A243="","",IFERROR(INDEX(Data_Analitik!$D$2:$D$351,MATCH($A243,Data_Analitik!$AL$2:$AL$351,0)),""))</f>
        <v>Simpur</v>
      </c>
      <c r="E243" s="100">
        <f>IF($A243="","",IFERROR(INDEX(Data_Analitik!$E$2:$E$351,MATCH($A243,Data_Analitik!$AL$2:$AL$351,0)),""))</f>
        <v>1.06</v>
      </c>
      <c r="F243" s="97">
        <f>IF($A243="","",IFERROR(INDEX(Data_Analitik!$P$2:$P$351,MATCH($A243,Data_Analitik!$AL$2:$AL$351,0)),""))</f>
        <v>0.24528300987099699</v>
      </c>
      <c r="G243" s="97">
        <f>IF($A243="","",IFERROR(INDEX(Data_Analitik!$R$2:$R$351,MATCH($A243,Data_Analitik!$AL$2:$AL$351,0)),""))</f>
        <v>0.75471699237823486</v>
      </c>
      <c r="H243" s="97">
        <f>IF($A243="","",IFERROR(INDEX(Data_Analitik!$T$2:$T$351,MATCH($A243,Data_Analitik!$AL$2:$AL$351,0)),""))</f>
        <v>0</v>
      </c>
      <c r="I243" s="97">
        <f>IF($A243="","",IFERROR(INDEX(Data_Analitik!$V$2:$V$351,MATCH($A243,Data_Analitik!$AL$2:$AL$351,0)),""))</f>
        <v>0</v>
      </c>
      <c r="J243" s="97">
        <f>IF($A243="","",IFERROR(INDEX(Data_Analitik!$X$2:$X$351,MATCH($A243,Data_Analitik!$AL$2:$AL$351,0)),""))</f>
        <v>1.0000000022492319</v>
      </c>
      <c r="K243" s="97">
        <f>IF($A243="","",IFERROR(INDEX(Data_Analitik!$Z$2:$Z$351,MATCH($A243,Data_Analitik!$AL$2:$AL$351,0)),""))</f>
        <v>0</v>
      </c>
      <c r="L243" s="33" t="str">
        <f>IF($A243="","",IFERROR(INDEX(Data_Analitik!$AB$2:$AB$351,MATCH($A243,Data_Analitik!$AL$2:$AL$351,0)),""))</f>
        <v>Relatif Mantap</v>
      </c>
    </row>
    <row r="244" spans="1:12" ht="21.95" customHeight="1" x14ac:dyDescent="0.25">
      <c r="A244" s="32">
        <f>IF(ROW()-9&lt;=SUM(Data_Analitik!$AK$2:$AK$351),ROW()-9,"")</f>
        <v>235</v>
      </c>
      <c r="B244" s="99" t="str">
        <f>IF($A244="","",IFERROR(INDEX(Data_Analitik!$B$2:$B$351,MATCH($A244,Data_Analitik!$AL$2:$AL$351,0)),""))</f>
        <v>235</v>
      </c>
      <c r="C244" s="101" t="str">
        <f>IF($A244="","",IFERROR(INDEX(Data_Analitik!$C$2:$C$351,MATCH($A244,Data_Analitik!$AL$2:$AL$351,0)),""))</f>
        <v>Jl. Tandik - Ds. Wasah Hilir</v>
      </c>
      <c r="D244" s="101" t="str">
        <f>IF($A244="","",IFERROR(INDEX(Data_Analitik!$D$2:$D$351,MATCH($A244,Data_Analitik!$AL$2:$AL$351,0)),""))</f>
        <v>Simpur</v>
      </c>
      <c r="E244" s="100">
        <f>IF($A244="","",IFERROR(INDEX(Data_Analitik!$E$2:$E$351,MATCH($A244,Data_Analitik!$AL$2:$AL$351,0)),""))</f>
        <v>0.5</v>
      </c>
      <c r="F244" s="97">
        <f>IF($A244="","",IFERROR(INDEX(Data_Analitik!$P$2:$P$351,MATCH($A244,Data_Analitik!$AL$2:$AL$351,0)),""))</f>
        <v>0.40000000596046448</v>
      </c>
      <c r="G244" s="97">
        <f>IF($A244="","",IFERROR(INDEX(Data_Analitik!$R$2:$R$351,MATCH($A244,Data_Analitik!$AL$2:$AL$351,0)),""))</f>
        <v>0.60000002384185791</v>
      </c>
      <c r="H244" s="97">
        <f>IF($A244="","",IFERROR(INDEX(Data_Analitik!$T$2:$T$351,MATCH($A244,Data_Analitik!$AL$2:$AL$351,0)),""))</f>
        <v>0</v>
      </c>
      <c r="I244" s="97">
        <f>IF($A244="","",IFERROR(INDEX(Data_Analitik!$V$2:$V$351,MATCH($A244,Data_Analitik!$AL$2:$AL$351,0)),""))</f>
        <v>0</v>
      </c>
      <c r="J244" s="97">
        <f>IF($A244="","",IFERROR(INDEX(Data_Analitik!$X$2:$X$351,MATCH($A244,Data_Analitik!$AL$2:$AL$351,0)),""))</f>
        <v>1.0000000298023224</v>
      </c>
      <c r="K244" s="97">
        <f>IF($A244="","",IFERROR(INDEX(Data_Analitik!$Z$2:$Z$351,MATCH($A244,Data_Analitik!$AL$2:$AL$351,0)),""))</f>
        <v>0</v>
      </c>
      <c r="L244" s="33" t="str">
        <f>IF($A244="","",IFERROR(INDEX(Data_Analitik!$AB$2:$AB$351,MATCH($A244,Data_Analitik!$AL$2:$AL$351,0)),""))</f>
        <v>Relatif Mantap</v>
      </c>
    </row>
    <row r="245" spans="1:12" ht="21.95" customHeight="1" x14ac:dyDescent="0.25">
      <c r="A245" s="32">
        <f>IF(ROW()-9&lt;=SUM(Data_Analitik!$AK$2:$AK$351),ROW()-9,"")</f>
        <v>236</v>
      </c>
      <c r="B245" s="99" t="str">
        <f>IF($A245="","",IFERROR(INDEX(Data_Analitik!$B$2:$B$351,MATCH($A245,Data_Analitik!$AL$2:$AL$351,0)),""))</f>
        <v>236</v>
      </c>
      <c r="C245" s="101" t="str">
        <f>IF($A245="","",IFERROR(INDEX(Data_Analitik!$C$2:$C$351,MATCH($A245,Data_Analitik!$AL$2:$AL$351,0)),""))</f>
        <v>Jl. Ds. Kapuh Tengah (Jl. Menuju Majelis Talim)</v>
      </c>
      <c r="D245" s="101" t="str">
        <f>IF($A245="","",IFERROR(INDEX(Data_Analitik!$D$2:$D$351,MATCH($A245,Data_Analitik!$AL$2:$AL$351,0)),""))</f>
        <v>Simpur</v>
      </c>
      <c r="E245" s="100">
        <f>IF($A245="","",IFERROR(INDEX(Data_Analitik!$E$2:$E$351,MATCH($A245,Data_Analitik!$AL$2:$AL$351,0)),""))</f>
        <v>0.6</v>
      </c>
      <c r="F245" s="97">
        <f>IF($A245="","",IFERROR(INDEX(Data_Analitik!$P$2:$P$351,MATCH($A245,Data_Analitik!$AL$2:$AL$351,0)),""))</f>
        <v>1.0000000397364299</v>
      </c>
      <c r="G245" s="97">
        <f>IF($A245="","",IFERROR(INDEX(Data_Analitik!$R$2:$R$351,MATCH($A245,Data_Analitik!$AL$2:$AL$351,0)),""))</f>
        <v>0</v>
      </c>
      <c r="H245" s="97">
        <f>IF($A245="","",IFERROR(INDEX(Data_Analitik!$T$2:$T$351,MATCH($A245,Data_Analitik!$AL$2:$AL$351,0)),""))</f>
        <v>0</v>
      </c>
      <c r="I245" s="97">
        <f>IF($A245="","",IFERROR(INDEX(Data_Analitik!$V$2:$V$351,MATCH($A245,Data_Analitik!$AL$2:$AL$351,0)),""))</f>
        <v>0</v>
      </c>
      <c r="J245" s="97">
        <f>IF($A245="","",IFERROR(INDEX(Data_Analitik!$X$2:$X$351,MATCH($A245,Data_Analitik!$AL$2:$AL$351,0)),""))</f>
        <v>1.0000000397364299</v>
      </c>
      <c r="K245" s="97">
        <f>IF($A245="","",IFERROR(INDEX(Data_Analitik!$Z$2:$Z$351,MATCH($A245,Data_Analitik!$AL$2:$AL$351,0)),""))</f>
        <v>0</v>
      </c>
      <c r="L245" s="33" t="str">
        <f>IF($A245="","",IFERROR(INDEX(Data_Analitik!$AB$2:$AB$351,MATCH($A245,Data_Analitik!$AL$2:$AL$351,0)),""))</f>
        <v>Relatif Mantap</v>
      </c>
    </row>
    <row r="246" spans="1:12" ht="21.95" customHeight="1" x14ac:dyDescent="0.25">
      <c r="A246" s="32">
        <f>IF(ROW()-9&lt;=SUM(Data_Analitik!$AK$2:$AK$351),ROW()-9,"")</f>
        <v>237</v>
      </c>
      <c r="B246" s="99" t="str">
        <f>IF($A246="","",IFERROR(INDEX(Data_Analitik!$B$2:$B$351,MATCH($A246,Data_Analitik!$AL$2:$AL$351,0)),""))</f>
        <v>237</v>
      </c>
      <c r="C246" s="101" t="str">
        <f>IF($A246="","",IFERROR(INDEX(Data_Analitik!$C$2:$C$351,MATCH($A246,Data_Analitik!$AL$2:$AL$351,0)),""))</f>
        <v>Jl. Karampaci - Ds. Kapuh</v>
      </c>
      <c r="D246" s="101" t="str">
        <f>IF($A246="","",IFERROR(INDEX(Data_Analitik!$D$2:$D$351,MATCH($A246,Data_Analitik!$AL$2:$AL$351,0)),""))</f>
        <v>Simpur</v>
      </c>
      <c r="E246" s="100">
        <f>IF($A246="","",IFERROR(INDEX(Data_Analitik!$E$2:$E$351,MATCH($A246,Data_Analitik!$AL$2:$AL$351,0)),""))</f>
        <v>0.52</v>
      </c>
      <c r="F246" s="97">
        <f>IF($A246="","",IFERROR(INDEX(Data_Analitik!$P$2:$P$351,MATCH($A246,Data_Analitik!$AL$2:$AL$351,0)),""))</f>
        <v>0.80769228247495795</v>
      </c>
      <c r="G246" s="97">
        <f>IF($A246="","",IFERROR(INDEX(Data_Analitik!$R$2:$R$351,MATCH($A246,Data_Analitik!$AL$2:$AL$351,0)),""))</f>
        <v>0.19230769517330024</v>
      </c>
      <c r="H246" s="97">
        <f>IF($A246="","",IFERROR(INDEX(Data_Analitik!$T$2:$T$351,MATCH($A246,Data_Analitik!$AL$2:$AL$351,0)),""))</f>
        <v>0</v>
      </c>
      <c r="I246" s="97">
        <f>IF($A246="","",IFERROR(INDEX(Data_Analitik!$V$2:$V$351,MATCH($A246,Data_Analitik!$AL$2:$AL$351,0)),""))</f>
        <v>0</v>
      </c>
      <c r="J246" s="97">
        <f>IF($A246="","",IFERROR(INDEX(Data_Analitik!$X$2:$X$351,MATCH($A246,Data_Analitik!$AL$2:$AL$351,0)),""))</f>
        <v>0.99999997764825821</v>
      </c>
      <c r="K246" s="97">
        <f>IF($A246="","",IFERROR(INDEX(Data_Analitik!$Z$2:$Z$351,MATCH($A246,Data_Analitik!$AL$2:$AL$351,0)),""))</f>
        <v>0</v>
      </c>
      <c r="L246" s="33" t="str">
        <f>IF($A246="","",IFERROR(INDEX(Data_Analitik!$AB$2:$AB$351,MATCH($A246,Data_Analitik!$AL$2:$AL$351,0)),""))</f>
        <v>Relatif Mantap</v>
      </c>
    </row>
    <row r="247" spans="1:12" ht="21.95" customHeight="1" x14ac:dyDescent="0.25">
      <c r="A247" s="32">
        <f>IF(ROW()-9&lt;=SUM(Data_Analitik!$AK$2:$AK$351),ROW()-9,"")</f>
        <v>238</v>
      </c>
      <c r="B247" s="99" t="str">
        <f>IF($A247="","",IFERROR(INDEX(Data_Analitik!$B$2:$B$351,MATCH($A247,Data_Analitik!$AL$2:$AL$351,0)),""))</f>
        <v>238</v>
      </c>
      <c r="C247" s="101" t="str">
        <f>IF($A247="","",IFERROR(INDEX(Data_Analitik!$C$2:$C$351,MATCH($A247,Data_Analitik!$AL$2:$AL$351,0)),""))</f>
        <v>Jl. At-Taubah - Ds. Kapuh</v>
      </c>
      <c r="D247" s="101" t="str">
        <f>IF($A247="","",IFERROR(INDEX(Data_Analitik!$D$2:$D$351,MATCH($A247,Data_Analitik!$AL$2:$AL$351,0)),""))</f>
        <v>Simpur</v>
      </c>
      <c r="E247" s="100">
        <f>IF($A247="","",IFERROR(INDEX(Data_Analitik!$E$2:$E$351,MATCH($A247,Data_Analitik!$AL$2:$AL$351,0)),""))</f>
        <v>0.47</v>
      </c>
      <c r="F247" s="97">
        <f>IF($A247="","",IFERROR(INDEX(Data_Analitik!$P$2:$P$351,MATCH($A247,Data_Analitik!$AL$2:$AL$351,0)),""))</f>
        <v>0.21276596061726835</v>
      </c>
      <c r="G247" s="97">
        <f>IF($A247="","",IFERROR(INDEX(Data_Analitik!$R$2:$R$351,MATCH($A247,Data_Analitik!$AL$2:$AL$351,0)),""))</f>
        <v>0.78723405269866298</v>
      </c>
      <c r="H247" s="97">
        <f>IF($A247="","",IFERROR(INDEX(Data_Analitik!$T$2:$T$351,MATCH($A247,Data_Analitik!$AL$2:$AL$351,0)),""))</f>
        <v>0</v>
      </c>
      <c r="I247" s="97">
        <f>IF($A247="","",IFERROR(INDEX(Data_Analitik!$V$2:$V$351,MATCH($A247,Data_Analitik!$AL$2:$AL$351,0)),""))</f>
        <v>0</v>
      </c>
      <c r="J247" s="97">
        <f>IF($A247="","",IFERROR(INDEX(Data_Analitik!$X$2:$X$351,MATCH($A247,Data_Analitik!$AL$2:$AL$351,0)),""))</f>
        <v>1.0000000133159312</v>
      </c>
      <c r="K247" s="97">
        <f>IF($A247="","",IFERROR(INDEX(Data_Analitik!$Z$2:$Z$351,MATCH($A247,Data_Analitik!$AL$2:$AL$351,0)),""))</f>
        <v>0</v>
      </c>
      <c r="L247" s="33" t="str">
        <f>IF($A247="","",IFERROR(INDEX(Data_Analitik!$AB$2:$AB$351,MATCH($A247,Data_Analitik!$AL$2:$AL$351,0)),""))</f>
        <v>Relatif Mantap</v>
      </c>
    </row>
    <row r="248" spans="1:12" ht="21.95" customHeight="1" x14ac:dyDescent="0.25">
      <c r="A248" s="32">
        <f>IF(ROW()-9&lt;=SUM(Data_Analitik!$AK$2:$AK$351),ROW()-9,"")</f>
        <v>239</v>
      </c>
      <c r="B248" s="99" t="str">
        <f>IF($A248="","",IFERROR(INDEX(Data_Analitik!$B$2:$B$351,MATCH($A248,Data_Analitik!$AL$2:$AL$351,0)),""))</f>
        <v>239</v>
      </c>
      <c r="C248" s="101" t="str">
        <f>IF($A248="","",IFERROR(INDEX(Data_Analitik!$C$2:$C$351,MATCH($A248,Data_Analitik!$AL$2:$AL$351,0)),""))</f>
        <v>Jl. Firdaus - Ds. Kapuh</v>
      </c>
      <c r="D248" s="101" t="str">
        <f>IF($A248="","",IFERROR(INDEX(Data_Analitik!$D$2:$D$351,MATCH($A248,Data_Analitik!$AL$2:$AL$351,0)),""))</f>
        <v>Simpur</v>
      </c>
      <c r="E248" s="100">
        <f>IF($A248="","",IFERROR(INDEX(Data_Analitik!$E$2:$E$351,MATCH($A248,Data_Analitik!$AL$2:$AL$351,0)),""))</f>
        <v>0.3</v>
      </c>
      <c r="F248" s="97">
        <f>IF($A248="","",IFERROR(INDEX(Data_Analitik!$P$2:$P$351,MATCH($A248,Data_Analitik!$AL$2:$AL$351,0)),""))</f>
        <v>0</v>
      </c>
      <c r="G248" s="97">
        <f>IF($A248="","",IFERROR(INDEX(Data_Analitik!$R$2:$R$351,MATCH($A248,Data_Analitik!$AL$2:$AL$351,0)),""))</f>
        <v>0.33333333830038708</v>
      </c>
      <c r="H248" s="97">
        <f>IF($A248="","",IFERROR(INDEX(Data_Analitik!$T$2:$T$351,MATCH($A248,Data_Analitik!$AL$2:$AL$351,0)),""))</f>
        <v>0.66666667660077417</v>
      </c>
      <c r="I248" s="97">
        <f>IF($A248="","",IFERROR(INDEX(Data_Analitik!$V$2:$V$351,MATCH($A248,Data_Analitik!$AL$2:$AL$351,0)),""))</f>
        <v>0</v>
      </c>
      <c r="J248" s="97">
        <f>IF($A248="","",IFERROR(INDEX(Data_Analitik!$X$2:$X$351,MATCH($A248,Data_Analitik!$AL$2:$AL$351,0)),""))</f>
        <v>0.33333333830038708</v>
      </c>
      <c r="K248" s="97">
        <f>IF($A248="","",IFERROR(INDEX(Data_Analitik!$Z$2:$Z$351,MATCH($A248,Data_Analitik!$AL$2:$AL$351,0)),""))</f>
        <v>0.66666667660077417</v>
      </c>
      <c r="L248" s="33" t="str">
        <f>IF($A248="","",IFERROR(INDEX(Data_Analitik!$AB$2:$AB$351,MATCH($A248,Data_Analitik!$AL$2:$AL$351,0)),""))</f>
        <v>Tidak Mantap Tinggi</v>
      </c>
    </row>
    <row r="249" spans="1:12" ht="21.95" customHeight="1" x14ac:dyDescent="0.25">
      <c r="A249" s="32">
        <f>IF(ROW()-9&lt;=SUM(Data_Analitik!$AK$2:$AK$351),ROW()-9,"")</f>
        <v>240</v>
      </c>
      <c r="B249" s="99" t="str">
        <f>IF($A249="","",IFERROR(INDEX(Data_Analitik!$B$2:$B$351,MATCH($A249,Data_Analitik!$AL$2:$AL$351,0)),""))</f>
        <v>240</v>
      </c>
      <c r="C249" s="101" t="str">
        <f>IF($A249="","",IFERROR(INDEX(Data_Analitik!$C$2:$C$351,MATCH($A249,Data_Analitik!$AL$2:$AL$351,0)),""))</f>
        <v>Jl. Slasa Garih - Ds. Kapuh</v>
      </c>
      <c r="D249" s="101" t="str">
        <f>IF($A249="","",IFERROR(INDEX(Data_Analitik!$D$2:$D$351,MATCH($A249,Data_Analitik!$AL$2:$AL$351,0)),""))</f>
        <v>Simpur</v>
      </c>
      <c r="E249" s="100">
        <f>IF($A249="","",IFERROR(INDEX(Data_Analitik!$E$2:$E$351,MATCH($A249,Data_Analitik!$AL$2:$AL$351,0)),""))</f>
        <v>0.5</v>
      </c>
      <c r="F249" s="97">
        <f>IF($A249="","",IFERROR(INDEX(Data_Analitik!$P$2:$P$351,MATCH($A249,Data_Analitik!$AL$2:$AL$351,0)),""))</f>
        <v>0</v>
      </c>
      <c r="G249" s="97">
        <f>IF($A249="","",IFERROR(INDEX(Data_Analitik!$R$2:$R$351,MATCH($A249,Data_Analitik!$AL$2:$AL$351,0)),""))</f>
        <v>1</v>
      </c>
      <c r="H249" s="97">
        <f>IF($A249="","",IFERROR(INDEX(Data_Analitik!$T$2:$T$351,MATCH($A249,Data_Analitik!$AL$2:$AL$351,0)),""))</f>
        <v>0</v>
      </c>
      <c r="I249" s="97">
        <f>IF($A249="","",IFERROR(INDEX(Data_Analitik!$V$2:$V$351,MATCH($A249,Data_Analitik!$AL$2:$AL$351,0)),""))</f>
        <v>0</v>
      </c>
      <c r="J249" s="97">
        <f>IF($A249="","",IFERROR(INDEX(Data_Analitik!$X$2:$X$351,MATCH($A249,Data_Analitik!$AL$2:$AL$351,0)),""))</f>
        <v>1</v>
      </c>
      <c r="K249" s="97">
        <f>IF($A249="","",IFERROR(INDEX(Data_Analitik!$Z$2:$Z$351,MATCH($A249,Data_Analitik!$AL$2:$AL$351,0)),""))</f>
        <v>0</v>
      </c>
      <c r="L249" s="33" t="str">
        <f>IF($A249="","",IFERROR(INDEX(Data_Analitik!$AB$2:$AB$351,MATCH($A249,Data_Analitik!$AL$2:$AL$351,0)),""))</f>
        <v>Relatif Mantap</v>
      </c>
    </row>
    <row r="250" spans="1:12" ht="21.95" customHeight="1" x14ac:dyDescent="0.25">
      <c r="A250" s="32">
        <f>IF(ROW()-9&lt;=SUM(Data_Analitik!$AK$2:$AK$351),ROW()-9,"")</f>
        <v>241</v>
      </c>
      <c r="B250" s="99" t="str">
        <f>IF($A250="","",IFERROR(INDEX(Data_Analitik!$B$2:$B$351,MATCH($A250,Data_Analitik!$AL$2:$AL$351,0)),""))</f>
        <v>241</v>
      </c>
      <c r="C250" s="101" t="str">
        <f>IF($A250="","",IFERROR(INDEX(Data_Analitik!$C$2:$C$351,MATCH($A250,Data_Analitik!$AL$2:$AL$351,0)),""))</f>
        <v>Jl. Palas - Ds. Wasah Tengah</v>
      </c>
      <c r="D250" s="101" t="str">
        <f>IF($A250="","",IFERROR(INDEX(Data_Analitik!$D$2:$D$351,MATCH($A250,Data_Analitik!$AL$2:$AL$351,0)),""))</f>
        <v>Simpur</v>
      </c>
      <c r="E250" s="100">
        <f>IF($A250="","",IFERROR(INDEX(Data_Analitik!$E$2:$E$351,MATCH($A250,Data_Analitik!$AL$2:$AL$351,0)),""))</f>
        <v>0.83</v>
      </c>
      <c r="F250" s="97">
        <f>IF($A250="","",IFERROR(INDEX(Data_Analitik!$P$2:$P$351,MATCH($A250,Data_Analitik!$AL$2:$AL$351,0)),""))</f>
        <v>0</v>
      </c>
      <c r="G250" s="97">
        <f>IF($A250="","",IFERROR(INDEX(Data_Analitik!$R$2:$R$351,MATCH($A250,Data_Analitik!$AL$2:$AL$351,0)),""))</f>
        <v>0</v>
      </c>
      <c r="H250" s="97">
        <f>IF($A250="","",IFERROR(INDEX(Data_Analitik!$T$2:$T$351,MATCH($A250,Data_Analitik!$AL$2:$AL$351,0)),""))</f>
        <v>0</v>
      </c>
      <c r="I250" s="97">
        <f>IF($A250="","",IFERROR(INDEX(Data_Analitik!$V$2:$V$351,MATCH($A250,Data_Analitik!$AL$2:$AL$351,0)),""))</f>
        <v>0.99999997989240907</v>
      </c>
      <c r="J250" s="97">
        <f>IF($A250="","",IFERROR(INDEX(Data_Analitik!$X$2:$X$351,MATCH($A250,Data_Analitik!$AL$2:$AL$351,0)),""))</f>
        <v>0</v>
      </c>
      <c r="K250" s="97">
        <f>IF($A250="","",IFERROR(INDEX(Data_Analitik!$Z$2:$Z$351,MATCH($A250,Data_Analitik!$AL$2:$AL$351,0)),""))</f>
        <v>0.99999997989240907</v>
      </c>
      <c r="L250" s="33" t="str">
        <f>IF($A250="","",IFERROR(INDEX(Data_Analitik!$AB$2:$AB$351,MATCH($A250,Data_Analitik!$AL$2:$AL$351,0)),""))</f>
        <v>Rusak Berat Dominan</v>
      </c>
    </row>
    <row r="251" spans="1:12" ht="21.95" customHeight="1" x14ac:dyDescent="0.25">
      <c r="A251" s="32">
        <f>IF(ROW()-9&lt;=SUM(Data_Analitik!$AK$2:$AK$351),ROW()-9,"")</f>
        <v>242</v>
      </c>
      <c r="B251" s="99" t="str">
        <f>IF($A251="","",IFERROR(INDEX(Data_Analitik!$B$2:$B$351,MATCH($A251,Data_Analitik!$AL$2:$AL$351,0)),""))</f>
        <v>242</v>
      </c>
      <c r="C251" s="101" t="str">
        <f>IF($A251="","",IFERROR(INDEX(Data_Analitik!$C$2:$C$351,MATCH($A251,Data_Analitik!$AL$2:$AL$351,0)),""))</f>
        <v>Jl. Tanah Habang - Ds. Simpur</v>
      </c>
      <c r="D251" s="101" t="str">
        <f>IF($A251="","",IFERROR(INDEX(Data_Analitik!$D$2:$D$351,MATCH($A251,Data_Analitik!$AL$2:$AL$351,0)),""))</f>
        <v>Simpur</v>
      </c>
      <c r="E251" s="100">
        <f>IF($A251="","",IFERROR(INDEX(Data_Analitik!$E$2:$E$351,MATCH($A251,Data_Analitik!$AL$2:$AL$351,0)),""))</f>
        <v>1.05</v>
      </c>
      <c r="F251" s="97">
        <f>IF($A251="","",IFERROR(INDEX(Data_Analitik!$P$2:$P$351,MATCH($A251,Data_Analitik!$AL$2:$AL$351,0)),""))</f>
        <v>0</v>
      </c>
      <c r="G251" s="97">
        <f>IF($A251="","",IFERROR(INDEX(Data_Analitik!$R$2:$R$351,MATCH($A251,Data_Analitik!$AL$2:$AL$351,0)),""))</f>
        <v>0</v>
      </c>
      <c r="H251" s="97">
        <f>IF($A251="","",IFERROR(INDEX(Data_Analitik!$T$2:$T$351,MATCH($A251,Data_Analitik!$AL$2:$AL$351,0)),""))</f>
        <v>0</v>
      </c>
      <c r="I251" s="97">
        <f>IF($A251="","",IFERROR(INDEX(Data_Analitik!$V$2:$V$351,MATCH($A251,Data_Analitik!$AL$2:$AL$351,0)),""))</f>
        <v>0.99999995458693725</v>
      </c>
      <c r="J251" s="97">
        <f>IF($A251="","",IFERROR(INDEX(Data_Analitik!$X$2:$X$351,MATCH($A251,Data_Analitik!$AL$2:$AL$351,0)),""))</f>
        <v>0</v>
      </c>
      <c r="K251" s="97">
        <f>IF($A251="","",IFERROR(INDEX(Data_Analitik!$Z$2:$Z$351,MATCH($A251,Data_Analitik!$AL$2:$AL$351,0)),""))</f>
        <v>0.99999995458693725</v>
      </c>
      <c r="L251" s="33" t="str">
        <f>IF($A251="","",IFERROR(INDEX(Data_Analitik!$AB$2:$AB$351,MATCH($A251,Data_Analitik!$AL$2:$AL$351,0)),""))</f>
        <v>Rusak Berat Dominan</v>
      </c>
    </row>
    <row r="252" spans="1:12" ht="21.95" customHeight="1" x14ac:dyDescent="0.25">
      <c r="A252" s="32">
        <f>IF(ROW()-9&lt;=SUM(Data_Analitik!$AK$2:$AK$351),ROW()-9,"")</f>
        <v>243</v>
      </c>
      <c r="B252" s="99" t="str">
        <f>IF($A252="","",IFERROR(INDEX(Data_Analitik!$B$2:$B$351,MATCH($A252,Data_Analitik!$AL$2:$AL$351,0)),""))</f>
        <v>243</v>
      </c>
      <c r="C252" s="101" t="str">
        <f>IF($A252="","",IFERROR(INDEX(Data_Analitik!$C$2:$C$351,MATCH($A252,Data_Analitik!$AL$2:$AL$351,0)),""))</f>
        <v>Jl. Banua Kambang - Ds. Wasah Tengah</v>
      </c>
      <c r="D252" s="101" t="str">
        <f>IF($A252="","",IFERROR(INDEX(Data_Analitik!$D$2:$D$351,MATCH($A252,Data_Analitik!$AL$2:$AL$351,0)),""))</f>
        <v>Simpur</v>
      </c>
      <c r="E252" s="100">
        <f>IF($A252="","",IFERROR(INDEX(Data_Analitik!$E$2:$E$351,MATCH($A252,Data_Analitik!$AL$2:$AL$351,0)),""))</f>
        <v>1.39</v>
      </c>
      <c r="F252" s="97">
        <f>IF($A252="","",IFERROR(INDEX(Data_Analitik!$P$2:$P$351,MATCH($A252,Data_Analitik!$AL$2:$AL$351,0)),""))</f>
        <v>0.28776978846076584</v>
      </c>
      <c r="G252" s="97">
        <f>IF($A252="","",IFERROR(INDEX(Data_Analitik!$R$2:$R$351,MATCH($A252,Data_Analitik!$AL$2:$AL$351,0)),""))</f>
        <v>0.35251799247247712</v>
      </c>
      <c r="H252" s="97">
        <f>IF($A252="","",IFERROR(INDEX(Data_Analitik!$T$2:$T$351,MATCH($A252,Data_Analitik!$AL$2:$AL$351,0)),""))</f>
        <v>0.35971223021582738</v>
      </c>
      <c r="I252" s="97">
        <f>IF($A252="","",IFERROR(INDEX(Data_Analitik!$V$2:$V$351,MATCH($A252,Data_Analitik!$AL$2:$AL$351,0)),""))</f>
        <v>0</v>
      </c>
      <c r="J252" s="97">
        <f>IF($A252="","",IFERROR(INDEX(Data_Analitik!$X$2:$X$351,MATCH($A252,Data_Analitik!$AL$2:$AL$351,0)),""))</f>
        <v>0.6402877809332429</v>
      </c>
      <c r="K252" s="97">
        <f>IF($A252="","",IFERROR(INDEX(Data_Analitik!$Z$2:$Z$351,MATCH($A252,Data_Analitik!$AL$2:$AL$351,0)),""))</f>
        <v>0.35971223021582738</v>
      </c>
      <c r="L252" s="33" t="str">
        <f>IF($A252="","",IFERROR(INDEX(Data_Analitik!$AB$2:$AB$351,MATCH($A252,Data_Analitik!$AL$2:$AL$351,0)),""))</f>
        <v>Tidak Mantap Sedang</v>
      </c>
    </row>
    <row r="253" spans="1:12" ht="21.95" customHeight="1" x14ac:dyDescent="0.25">
      <c r="A253" s="32">
        <f>IF(ROW()-9&lt;=SUM(Data_Analitik!$AK$2:$AK$351),ROW()-9,"")</f>
        <v>244</v>
      </c>
      <c r="B253" s="99" t="str">
        <f>IF($A253="","",IFERROR(INDEX(Data_Analitik!$B$2:$B$351,MATCH($A253,Data_Analitik!$AL$2:$AL$351,0)),""))</f>
        <v>244</v>
      </c>
      <c r="C253" s="101" t="str">
        <f>IF($A253="","",IFERROR(INDEX(Data_Analitik!$C$2:$C$351,MATCH($A253,Data_Analitik!$AL$2:$AL$351,0)),""))</f>
        <v>Jl. Pajah Api - Ds. Kapuh</v>
      </c>
      <c r="D253" s="101" t="str">
        <f>IF($A253="","",IFERROR(INDEX(Data_Analitik!$D$2:$D$351,MATCH($A253,Data_Analitik!$AL$2:$AL$351,0)),""))</f>
        <v>Simpur</v>
      </c>
      <c r="E253" s="100">
        <f>IF($A253="","",IFERROR(INDEX(Data_Analitik!$E$2:$E$351,MATCH($A253,Data_Analitik!$AL$2:$AL$351,0)),""))</f>
        <v>0.34</v>
      </c>
      <c r="F253" s="97">
        <f>IF($A253="","",IFERROR(INDEX(Data_Analitik!$P$2:$P$351,MATCH($A253,Data_Analitik!$AL$2:$AL$351,0)),""))</f>
        <v>0.70588233716347637</v>
      </c>
      <c r="G253" s="97">
        <f>IF($A253="","",IFERROR(INDEX(Data_Analitik!$R$2:$R$351,MATCH($A253,Data_Analitik!$AL$2:$AL$351,0)),""))</f>
        <v>0.29411765144151797</v>
      </c>
      <c r="H253" s="97">
        <f>IF($A253="","",IFERROR(INDEX(Data_Analitik!$T$2:$T$351,MATCH($A253,Data_Analitik!$AL$2:$AL$351,0)),""))</f>
        <v>0</v>
      </c>
      <c r="I253" s="97">
        <f>IF($A253="","",IFERROR(INDEX(Data_Analitik!$V$2:$V$351,MATCH($A253,Data_Analitik!$AL$2:$AL$351,0)),""))</f>
        <v>0</v>
      </c>
      <c r="J253" s="97">
        <f>IF($A253="","",IFERROR(INDEX(Data_Analitik!$X$2:$X$351,MATCH($A253,Data_Analitik!$AL$2:$AL$351,0)),""))</f>
        <v>0.99999998860499428</v>
      </c>
      <c r="K253" s="97">
        <f>IF($A253="","",IFERROR(INDEX(Data_Analitik!$Z$2:$Z$351,MATCH($A253,Data_Analitik!$AL$2:$AL$351,0)),""))</f>
        <v>0</v>
      </c>
      <c r="L253" s="33" t="str">
        <f>IF($A253="","",IFERROR(INDEX(Data_Analitik!$AB$2:$AB$351,MATCH($A253,Data_Analitik!$AL$2:$AL$351,0)),""))</f>
        <v>Relatif Mantap</v>
      </c>
    </row>
    <row r="254" spans="1:12" ht="21.95" customHeight="1" x14ac:dyDescent="0.25">
      <c r="A254" s="32">
        <f>IF(ROW()-9&lt;=SUM(Data_Analitik!$AK$2:$AK$351),ROW()-9,"")</f>
        <v>245</v>
      </c>
      <c r="B254" s="99" t="str">
        <f>IF($A254="","",IFERROR(INDEX(Data_Analitik!$B$2:$B$351,MATCH($A254,Data_Analitik!$AL$2:$AL$351,0)),""))</f>
        <v>245</v>
      </c>
      <c r="C254" s="101" t="str">
        <f>IF($A254="","",IFERROR(INDEX(Data_Analitik!$C$2:$C$351,MATCH($A254,Data_Analitik!$AL$2:$AL$351,0)),""))</f>
        <v>Jl. Talapak Manuk - Ds. Kapuh</v>
      </c>
      <c r="D254" s="101" t="str">
        <f>IF($A254="","",IFERROR(INDEX(Data_Analitik!$D$2:$D$351,MATCH($A254,Data_Analitik!$AL$2:$AL$351,0)),""))</f>
        <v>Simpur</v>
      </c>
      <c r="E254" s="100">
        <f>IF($A254="","",IFERROR(INDEX(Data_Analitik!$E$2:$E$351,MATCH($A254,Data_Analitik!$AL$2:$AL$351,0)),""))</f>
        <v>0.76</v>
      </c>
      <c r="F254" s="97">
        <f>IF($A254="","",IFERROR(INDEX(Data_Analitik!$P$2:$P$351,MATCH($A254,Data_Analitik!$AL$2:$AL$351,0)),""))</f>
        <v>0</v>
      </c>
      <c r="G254" s="97">
        <f>IF($A254="","",IFERROR(INDEX(Data_Analitik!$R$2:$R$351,MATCH($A254,Data_Analitik!$AL$2:$AL$351,0)),""))</f>
        <v>0.21052631108384384</v>
      </c>
      <c r="H254" s="97">
        <f>IF($A254="","",IFERROR(INDEX(Data_Analitik!$T$2:$T$351,MATCH($A254,Data_Analitik!$AL$2:$AL$351,0)),""))</f>
        <v>0</v>
      </c>
      <c r="I254" s="97">
        <f>IF($A254="","",IFERROR(INDEX(Data_Analitik!$V$2:$V$351,MATCH($A254,Data_Analitik!$AL$2:$AL$351,0)),""))</f>
        <v>0.78947371558139201</v>
      </c>
      <c r="J254" s="97">
        <f>IF($A254="","",IFERROR(INDEX(Data_Analitik!$X$2:$X$351,MATCH($A254,Data_Analitik!$AL$2:$AL$351,0)),""))</f>
        <v>0.21052631108384384</v>
      </c>
      <c r="K254" s="97">
        <f>IF($A254="","",IFERROR(INDEX(Data_Analitik!$Z$2:$Z$351,MATCH($A254,Data_Analitik!$AL$2:$AL$351,0)),""))</f>
        <v>0.78947371558139201</v>
      </c>
      <c r="L254" s="33" t="str">
        <f>IF($A254="","",IFERROR(INDEX(Data_Analitik!$AB$2:$AB$351,MATCH($A254,Data_Analitik!$AL$2:$AL$351,0)),""))</f>
        <v>Rusak Berat Dominan</v>
      </c>
    </row>
    <row r="255" spans="1:12" ht="21.95" customHeight="1" x14ac:dyDescent="0.25">
      <c r="A255" s="32">
        <f>IF(ROW()-9&lt;=SUM(Data_Analitik!$AK$2:$AK$351),ROW()-9,"")</f>
        <v>246</v>
      </c>
      <c r="B255" s="99" t="str">
        <f>IF($A255="","",IFERROR(INDEX(Data_Analitik!$B$2:$B$351,MATCH($A255,Data_Analitik!$AL$2:$AL$351,0)),""))</f>
        <v>246</v>
      </c>
      <c r="C255" s="101" t="str">
        <f>IF($A255="","",IFERROR(INDEX(Data_Analitik!$C$2:$C$351,MATCH($A255,Data_Analitik!$AL$2:$AL$351,0)),""))</f>
        <v>Sirih - Taro</v>
      </c>
      <c r="D255" s="101" t="str">
        <f>IF($A255="","",IFERROR(INDEX(Data_Analitik!$D$2:$D$351,MATCH($A255,Data_Analitik!$AL$2:$AL$351,0)),""))</f>
        <v>Kalumpang</v>
      </c>
      <c r="E255" s="100">
        <f>IF($A255="","",IFERROR(INDEX(Data_Analitik!$E$2:$E$351,MATCH($A255,Data_Analitik!$AL$2:$AL$351,0)),""))</f>
        <v>1.26</v>
      </c>
      <c r="F255" s="97">
        <f>IF($A255="","",IFERROR(INDEX(Data_Analitik!$P$2:$P$351,MATCH($A255,Data_Analitik!$AL$2:$AL$351,0)),""))</f>
        <v>0</v>
      </c>
      <c r="G255" s="97">
        <f>IF($A255="","",IFERROR(INDEX(Data_Analitik!$R$2:$R$351,MATCH($A255,Data_Analitik!$AL$2:$AL$351,0)),""))</f>
        <v>0.92063489414396737</v>
      </c>
      <c r="H255" s="97">
        <f>IF($A255="","",IFERROR(INDEX(Data_Analitik!$T$2:$T$351,MATCH($A255,Data_Analitik!$AL$2:$AL$351,0)),""))</f>
        <v>7.93650805477112E-2</v>
      </c>
      <c r="I255" s="97">
        <f>IF($A255="","",IFERROR(INDEX(Data_Analitik!$V$2:$V$351,MATCH($A255,Data_Analitik!$AL$2:$AL$351,0)),""))</f>
        <v>0</v>
      </c>
      <c r="J255" s="97">
        <f>IF($A255="","",IFERROR(INDEX(Data_Analitik!$X$2:$X$351,MATCH($A255,Data_Analitik!$AL$2:$AL$351,0)),""))</f>
        <v>0.92063489414396737</v>
      </c>
      <c r="K255" s="97">
        <f>IF($A255="","",IFERROR(INDEX(Data_Analitik!$Z$2:$Z$351,MATCH($A255,Data_Analitik!$AL$2:$AL$351,0)),""))</f>
        <v>7.93650805477112E-2</v>
      </c>
      <c r="L255" s="33" t="str">
        <f>IF($A255="","",IFERROR(INDEX(Data_Analitik!$AB$2:$AB$351,MATCH($A255,Data_Analitik!$AL$2:$AL$351,0)),""))</f>
        <v>Relatif Mantap</v>
      </c>
    </row>
    <row r="256" spans="1:12" ht="21.95" customHeight="1" x14ac:dyDescent="0.25">
      <c r="A256" s="32">
        <f>IF(ROW()-9&lt;=SUM(Data_Analitik!$AK$2:$AK$351),ROW()-9,"")</f>
        <v>247</v>
      </c>
      <c r="B256" s="99" t="str">
        <f>IF($A256="","",IFERROR(INDEX(Data_Analitik!$B$2:$B$351,MATCH($A256,Data_Analitik!$AL$2:$AL$351,0)),""))</f>
        <v>247</v>
      </c>
      <c r="C256" s="101" t="str">
        <f>IF($A256="","",IFERROR(INDEX(Data_Analitik!$C$2:$C$351,MATCH($A256,Data_Analitik!$AL$2:$AL$351,0)),""))</f>
        <v>Kalumpang - Balimau</v>
      </c>
      <c r="D256" s="101" t="str">
        <f>IF($A256="","",IFERROR(INDEX(Data_Analitik!$D$2:$D$351,MATCH($A256,Data_Analitik!$AL$2:$AL$351,0)),""))</f>
        <v>Kalumpang</v>
      </c>
      <c r="E256" s="100">
        <f>IF($A256="","",IFERROR(INDEX(Data_Analitik!$E$2:$E$351,MATCH($A256,Data_Analitik!$AL$2:$AL$351,0)),""))</f>
        <v>5.21</v>
      </c>
      <c r="F256" s="97">
        <f>IF($A256="","",IFERROR(INDEX(Data_Analitik!$P$2:$P$351,MATCH($A256,Data_Analitik!$AL$2:$AL$351,0)),""))</f>
        <v>0.25143952836459521</v>
      </c>
      <c r="G256" s="97">
        <f>IF($A256="","",IFERROR(INDEX(Data_Analitik!$R$2:$R$351,MATCH($A256,Data_Analitik!$AL$2:$AL$351,0)),""))</f>
        <v>0.69097886845154866</v>
      </c>
      <c r="H256" s="97">
        <f>IF($A256="","",IFERROR(INDEX(Data_Analitik!$T$2:$T$351,MATCH($A256,Data_Analitik!$AL$2:$AL$351,0)),""))</f>
        <v>5.7581576184439341E-2</v>
      </c>
      <c r="I256" s="97">
        <f>IF($A256="","",IFERROR(INDEX(Data_Analitik!$V$2:$V$351,MATCH($A256,Data_Analitik!$AL$2:$AL$351,0)),""))</f>
        <v>0</v>
      </c>
      <c r="J256" s="97">
        <f>IF($A256="","",IFERROR(INDEX(Data_Analitik!$X$2:$X$351,MATCH($A256,Data_Analitik!$AL$2:$AL$351,0)),""))</f>
        <v>0.94241839681614381</v>
      </c>
      <c r="K256" s="97">
        <f>IF($A256="","",IFERROR(INDEX(Data_Analitik!$Z$2:$Z$351,MATCH($A256,Data_Analitik!$AL$2:$AL$351,0)),""))</f>
        <v>5.7581576184439341E-2</v>
      </c>
      <c r="L256" s="33" t="str">
        <f>IF($A256="","",IFERROR(INDEX(Data_Analitik!$AB$2:$AB$351,MATCH($A256,Data_Analitik!$AL$2:$AL$351,0)),""))</f>
        <v>Relatif Mantap</v>
      </c>
    </row>
    <row r="257" spans="1:12" ht="21.95" customHeight="1" x14ac:dyDescent="0.25">
      <c r="A257" s="32">
        <f>IF(ROW()-9&lt;=SUM(Data_Analitik!$AK$2:$AK$351),ROW()-9,"")</f>
        <v>248</v>
      </c>
      <c r="B257" s="99" t="str">
        <f>IF($A257="","",IFERROR(INDEX(Data_Analitik!$B$2:$B$351,MATCH($A257,Data_Analitik!$AL$2:$AL$351,0)),""))</f>
        <v>248</v>
      </c>
      <c r="C257" s="101" t="str">
        <f>IF($A257="","",IFERROR(INDEX(Data_Analitik!$C$2:$C$351,MATCH($A257,Data_Analitik!$AL$2:$AL$351,0)),""))</f>
        <v>Kalumpang (Ds. Balanti) - Teratai</v>
      </c>
      <c r="D257" s="101" t="str">
        <f>IF($A257="","",IFERROR(INDEX(Data_Analitik!$D$2:$D$351,MATCH($A257,Data_Analitik!$AL$2:$AL$351,0)),""))</f>
        <v>Kalumpang</v>
      </c>
      <c r="E257" s="100">
        <f>IF($A257="","",IFERROR(INDEX(Data_Analitik!$E$2:$E$351,MATCH($A257,Data_Analitik!$AL$2:$AL$351,0)),""))</f>
        <v>5.69</v>
      </c>
      <c r="F257" s="97">
        <f>IF($A257="","",IFERROR(INDEX(Data_Analitik!$P$2:$P$351,MATCH($A257,Data_Analitik!$AL$2:$AL$351,0)),""))</f>
        <v>0</v>
      </c>
      <c r="G257" s="97">
        <f>IF($A257="","",IFERROR(INDEX(Data_Analitik!$R$2:$R$351,MATCH($A257,Data_Analitik!$AL$2:$AL$351,0)),""))</f>
        <v>0</v>
      </c>
      <c r="H257" s="97">
        <f>IF($A257="","",IFERROR(INDEX(Data_Analitik!$T$2:$T$351,MATCH($A257,Data_Analitik!$AL$2:$AL$351,0)),""))</f>
        <v>0</v>
      </c>
      <c r="I257" s="97">
        <f>IF($A257="","",IFERROR(INDEX(Data_Analitik!$V$2:$V$351,MATCH($A257,Data_Analitik!$AL$2:$AL$351,0)),""))</f>
        <v>1.0000000100563196</v>
      </c>
      <c r="J257" s="97">
        <f>IF($A257="","",IFERROR(INDEX(Data_Analitik!$X$2:$X$351,MATCH($A257,Data_Analitik!$AL$2:$AL$351,0)),""))</f>
        <v>0</v>
      </c>
      <c r="K257" s="97">
        <f>IF($A257="","",IFERROR(INDEX(Data_Analitik!$Z$2:$Z$351,MATCH($A257,Data_Analitik!$AL$2:$AL$351,0)),""))</f>
        <v>1.0000000100563196</v>
      </c>
      <c r="L257" s="33" t="str">
        <f>IF($A257="","",IFERROR(INDEX(Data_Analitik!$AB$2:$AB$351,MATCH($A257,Data_Analitik!$AL$2:$AL$351,0)),""))</f>
        <v>Rusak Berat Dominan</v>
      </c>
    </row>
    <row r="258" spans="1:12" ht="21.95" customHeight="1" x14ac:dyDescent="0.25">
      <c r="A258" s="32">
        <f>IF(ROW()-9&lt;=SUM(Data_Analitik!$AK$2:$AK$351),ROW()-9,"")</f>
        <v>249</v>
      </c>
      <c r="B258" s="99" t="str">
        <f>IF($A258="","",IFERROR(INDEX(Data_Analitik!$B$2:$B$351,MATCH($A258,Data_Analitik!$AL$2:$AL$351,0)),""))</f>
        <v>249</v>
      </c>
      <c r="C258" s="101" t="str">
        <f>IF($A258="","",IFERROR(INDEX(Data_Analitik!$C$2:$C$351,MATCH($A258,Data_Analitik!$AL$2:$AL$351,0)),""))</f>
        <v>Bago Tanggul - Katilang - Teratai</v>
      </c>
      <c r="D258" s="101" t="str">
        <f>IF($A258="","",IFERROR(INDEX(Data_Analitik!$D$2:$D$351,MATCH($A258,Data_Analitik!$AL$2:$AL$351,0)),""))</f>
        <v>Kalumpang</v>
      </c>
      <c r="E258" s="100">
        <f>IF($A258="","",IFERROR(INDEX(Data_Analitik!$E$2:$E$351,MATCH($A258,Data_Analitik!$AL$2:$AL$351,0)),""))</f>
        <v>9.7100000000000009</v>
      </c>
      <c r="F258" s="97">
        <f>IF($A258="","",IFERROR(INDEX(Data_Analitik!$P$2:$P$351,MATCH($A258,Data_Analitik!$AL$2:$AL$351,0)),""))</f>
        <v>0.67971162766555793</v>
      </c>
      <c r="G258" s="97">
        <f>IF($A258="","",IFERROR(INDEX(Data_Analitik!$R$2:$R$351,MATCH($A258,Data_Analitik!$AL$2:$AL$351,0)),""))</f>
        <v>7.2090626990635523E-2</v>
      </c>
      <c r="H258" s="97">
        <f>IF($A258="","",IFERROR(INDEX(Data_Analitik!$T$2:$T$351,MATCH($A258,Data_Analitik!$AL$2:$AL$351,0)),""))</f>
        <v>0</v>
      </c>
      <c r="I258" s="97">
        <f>IF($A258="","",IFERROR(INDEX(Data_Analitik!$V$2:$V$351,MATCH($A258,Data_Analitik!$AL$2:$AL$351,0)),""))</f>
        <v>0.24819774313395349</v>
      </c>
      <c r="J258" s="97">
        <f>IF($A258="","",IFERROR(INDEX(Data_Analitik!$X$2:$X$351,MATCH($A258,Data_Analitik!$AL$2:$AL$351,0)),""))</f>
        <v>0.75180225465619344</v>
      </c>
      <c r="K258" s="97">
        <f>IF($A258="","",IFERROR(INDEX(Data_Analitik!$Z$2:$Z$351,MATCH($A258,Data_Analitik!$AL$2:$AL$351,0)),""))</f>
        <v>0.24819774313395349</v>
      </c>
      <c r="L258" s="33" t="str">
        <f>IF($A258="","",IFERROR(INDEX(Data_Analitik!$AB$2:$AB$351,MATCH($A258,Data_Analitik!$AL$2:$AL$351,0)),""))</f>
        <v>Rusak Berat Dominan</v>
      </c>
    </row>
    <row r="259" spans="1:12" ht="21.95" customHeight="1" x14ac:dyDescent="0.25">
      <c r="A259" s="32">
        <f>IF(ROW()-9&lt;=SUM(Data_Analitik!$AK$2:$AK$351),ROW()-9,"")</f>
        <v>250</v>
      </c>
      <c r="B259" s="99" t="str">
        <f>IF($A259="","",IFERROR(INDEX(Data_Analitik!$B$2:$B$351,MATCH($A259,Data_Analitik!$AL$2:$AL$351,0)),""))</f>
        <v>250</v>
      </c>
      <c r="C259" s="101" t="str">
        <f>IF($A259="","",IFERROR(INDEX(Data_Analitik!$C$2:$C$351,MATCH($A259,Data_Analitik!$AL$2:$AL$351,0)),""))</f>
        <v>Binjai (Sirih Hulu) - Ds. Seranggan</v>
      </c>
      <c r="D259" s="101" t="str">
        <f>IF($A259="","",IFERROR(INDEX(Data_Analitik!$D$2:$D$351,MATCH($A259,Data_Analitik!$AL$2:$AL$351,0)),""))</f>
        <v>Kalumpang - Sungai Raya</v>
      </c>
      <c r="E259" s="100">
        <f>IF($A259="","",IFERROR(INDEX(Data_Analitik!$E$2:$E$351,MATCH($A259,Data_Analitik!$AL$2:$AL$351,0)),""))</f>
        <v>4.34</v>
      </c>
      <c r="F259" s="97">
        <f>IF($A259="","",IFERROR(INDEX(Data_Analitik!$P$2:$P$351,MATCH($A259,Data_Analitik!$AL$2:$AL$351,0)),""))</f>
        <v>0.35483870088779434</v>
      </c>
      <c r="G259" s="97">
        <f>IF($A259="","",IFERROR(INDEX(Data_Analitik!$R$2:$R$351,MATCH($A259,Data_Analitik!$AL$2:$AL$351,0)),""))</f>
        <v>0.32258063966777467</v>
      </c>
      <c r="H259" s="97">
        <f>IF($A259="","",IFERROR(INDEX(Data_Analitik!$T$2:$T$351,MATCH($A259,Data_Analitik!$AL$2:$AL$351,0)),""))</f>
        <v>0.32258063966777467</v>
      </c>
      <c r="I259" s="97">
        <f>IF($A259="","",IFERROR(INDEX(Data_Analitik!$V$2:$V$351,MATCH($A259,Data_Analitik!$AL$2:$AL$351,0)),""))</f>
        <v>0</v>
      </c>
      <c r="J259" s="97">
        <f>IF($A259="","",IFERROR(INDEX(Data_Analitik!$X$2:$X$351,MATCH($A259,Data_Analitik!$AL$2:$AL$351,0)),""))</f>
        <v>0.67741934055556896</v>
      </c>
      <c r="K259" s="97">
        <f>IF($A259="","",IFERROR(INDEX(Data_Analitik!$Z$2:$Z$351,MATCH($A259,Data_Analitik!$AL$2:$AL$351,0)),""))</f>
        <v>0.32258063966777467</v>
      </c>
      <c r="L259" s="33" t="str">
        <f>IF($A259="","",IFERROR(INDEX(Data_Analitik!$AB$2:$AB$351,MATCH($A259,Data_Analitik!$AL$2:$AL$351,0)),""))</f>
        <v>Tidak Mantap Sedang</v>
      </c>
    </row>
    <row r="260" spans="1:12" ht="21.95" customHeight="1" x14ac:dyDescent="0.25">
      <c r="A260" s="32">
        <f>IF(ROW()-9&lt;=SUM(Data_Analitik!$AK$2:$AK$351),ROW()-9,"")</f>
        <v>251</v>
      </c>
      <c r="B260" s="99" t="str">
        <f>IF($A260="","",IFERROR(INDEX(Data_Analitik!$B$2:$B$351,MATCH($A260,Data_Analitik!$AL$2:$AL$351,0)),""))</f>
        <v>251</v>
      </c>
      <c r="C260" s="101" t="str">
        <f>IF($A260="","",IFERROR(INDEX(Data_Analitik!$C$2:$C$351,MATCH($A260,Data_Analitik!$AL$2:$AL$351,0)),""))</f>
        <v>Balanti - (Ex. P3DT)</v>
      </c>
      <c r="D260" s="101" t="str">
        <f>IF($A260="","",IFERROR(INDEX(Data_Analitik!$D$2:$D$351,MATCH($A260,Data_Analitik!$AL$2:$AL$351,0)),""))</f>
        <v>Kalumpang</v>
      </c>
      <c r="E260" s="100">
        <f>IF($A260="","",IFERROR(INDEX(Data_Analitik!$E$2:$E$351,MATCH($A260,Data_Analitik!$AL$2:$AL$351,0)),""))</f>
        <v>1.66</v>
      </c>
      <c r="F260" s="97">
        <f>IF($A260="","",IFERROR(INDEX(Data_Analitik!$P$2:$P$351,MATCH($A260,Data_Analitik!$AL$2:$AL$351,0)),""))</f>
        <v>0.63855418239731387</v>
      </c>
      <c r="G260" s="97">
        <f>IF($A260="","",IFERROR(INDEX(Data_Analitik!$R$2:$R$351,MATCH($A260,Data_Analitik!$AL$2:$AL$351,0)),""))</f>
        <v>0.36144579749509514</v>
      </c>
      <c r="H260" s="97">
        <f>IF($A260="","",IFERROR(INDEX(Data_Analitik!$T$2:$T$351,MATCH($A260,Data_Analitik!$AL$2:$AL$351,0)),""))</f>
        <v>0</v>
      </c>
      <c r="I260" s="97">
        <f>IF($A260="","",IFERROR(INDEX(Data_Analitik!$V$2:$V$351,MATCH($A260,Data_Analitik!$AL$2:$AL$351,0)),""))</f>
        <v>0</v>
      </c>
      <c r="J260" s="97">
        <f>IF($A260="","",IFERROR(INDEX(Data_Analitik!$X$2:$X$351,MATCH($A260,Data_Analitik!$AL$2:$AL$351,0)),""))</f>
        <v>0.99999997989240907</v>
      </c>
      <c r="K260" s="97">
        <f>IF($A260="","",IFERROR(INDEX(Data_Analitik!$Z$2:$Z$351,MATCH($A260,Data_Analitik!$AL$2:$AL$351,0)),""))</f>
        <v>0</v>
      </c>
      <c r="L260" s="33" t="str">
        <f>IF($A260="","",IFERROR(INDEX(Data_Analitik!$AB$2:$AB$351,MATCH($A260,Data_Analitik!$AL$2:$AL$351,0)),""))</f>
        <v>Relatif Mantap</v>
      </c>
    </row>
    <row r="261" spans="1:12" ht="21.95" customHeight="1" x14ac:dyDescent="0.25">
      <c r="A261" s="32">
        <f>IF(ROW()-9&lt;=SUM(Data_Analitik!$AK$2:$AK$351),ROW()-9,"")</f>
        <v>252</v>
      </c>
      <c r="B261" s="99" t="str">
        <f>IF($A261="","",IFERROR(INDEX(Data_Analitik!$B$2:$B$351,MATCH($A261,Data_Analitik!$AL$2:$AL$351,0)),""))</f>
        <v>252</v>
      </c>
      <c r="C261" s="101" t="str">
        <f>IF($A261="","",IFERROR(INDEX(Data_Analitik!$C$2:$C$351,MATCH($A261,Data_Analitik!$AL$2:$AL$351,0)),""))</f>
        <v>Kalumpang - Baruh</v>
      </c>
      <c r="D261" s="101" t="str">
        <f>IF($A261="","",IFERROR(INDEX(Data_Analitik!$D$2:$D$351,MATCH($A261,Data_Analitik!$AL$2:$AL$351,0)),""))</f>
        <v>Kalumpang</v>
      </c>
      <c r="E261" s="100">
        <f>IF($A261="","",IFERROR(INDEX(Data_Analitik!$E$2:$E$351,MATCH($A261,Data_Analitik!$AL$2:$AL$351,0)),""))</f>
        <v>2.72</v>
      </c>
      <c r="F261" s="97">
        <f>IF($A261="","",IFERROR(INDEX(Data_Analitik!$P$2:$P$351,MATCH($A261,Data_Analitik!$AL$2:$AL$351,0)),""))</f>
        <v>0.25735293679377608</v>
      </c>
      <c r="G261" s="97">
        <f>IF($A261="","",IFERROR(INDEX(Data_Analitik!$R$2:$R$351,MATCH($A261,Data_Analitik!$AL$2:$AL$351,0)),""))</f>
        <v>0.74264705181121826</v>
      </c>
      <c r="H261" s="97">
        <f>IF($A261="","",IFERROR(INDEX(Data_Analitik!$T$2:$T$351,MATCH($A261,Data_Analitik!$AL$2:$AL$351,0)),""))</f>
        <v>0</v>
      </c>
      <c r="I261" s="97">
        <f>IF($A261="","",IFERROR(INDEX(Data_Analitik!$V$2:$V$351,MATCH($A261,Data_Analitik!$AL$2:$AL$351,0)),""))</f>
        <v>0</v>
      </c>
      <c r="J261" s="97">
        <f>IF($A261="","",IFERROR(INDEX(Data_Analitik!$X$2:$X$351,MATCH($A261,Data_Analitik!$AL$2:$AL$351,0)),""))</f>
        <v>0.99999998860499428</v>
      </c>
      <c r="K261" s="97">
        <f>IF($A261="","",IFERROR(INDEX(Data_Analitik!$Z$2:$Z$351,MATCH($A261,Data_Analitik!$AL$2:$AL$351,0)),""))</f>
        <v>0</v>
      </c>
      <c r="L261" s="33" t="str">
        <f>IF($A261="","",IFERROR(INDEX(Data_Analitik!$AB$2:$AB$351,MATCH($A261,Data_Analitik!$AL$2:$AL$351,0)),""))</f>
        <v>Relatif Mantap</v>
      </c>
    </row>
    <row r="262" spans="1:12" ht="21.95" customHeight="1" x14ac:dyDescent="0.25">
      <c r="A262" s="32">
        <f>IF(ROW()-9&lt;=SUM(Data_Analitik!$AK$2:$AK$351),ROW()-9,"")</f>
        <v>253</v>
      </c>
      <c r="B262" s="99" t="str">
        <f>IF($A262="","",IFERROR(INDEX(Data_Analitik!$B$2:$B$351,MATCH($A262,Data_Analitik!$AL$2:$AL$351,0)),""))</f>
        <v>253</v>
      </c>
      <c r="C262" s="101" t="str">
        <f>IF($A262="","",IFERROR(INDEX(Data_Analitik!$C$2:$C$351,MATCH($A262,Data_Analitik!$AL$2:$AL$351,0)),""))</f>
        <v>Sirih - Pacakan</v>
      </c>
      <c r="D262" s="101" t="str">
        <f>IF($A262="","",IFERROR(INDEX(Data_Analitik!$D$2:$D$351,MATCH($A262,Data_Analitik!$AL$2:$AL$351,0)),""))</f>
        <v>Kalumpang</v>
      </c>
      <c r="E262" s="100">
        <f>IF($A262="","",IFERROR(INDEX(Data_Analitik!$E$2:$E$351,MATCH($A262,Data_Analitik!$AL$2:$AL$351,0)),""))</f>
        <v>0.64</v>
      </c>
      <c r="F262" s="97">
        <f>IF($A262="","",IFERROR(INDEX(Data_Analitik!$P$2:$P$351,MATCH($A262,Data_Analitik!$AL$2:$AL$351,0)),""))</f>
        <v>0</v>
      </c>
      <c r="G262" s="97">
        <f>IF($A262="","",IFERROR(INDEX(Data_Analitik!$R$2:$R$351,MATCH($A262,Data_Analitik!$AL$2:$AL$351,0)),""))</f>
        <v>0.62500000931322575</v>
      </c>
      <c r="H262" s="97">
        <f>IF($A262="","",IFERROR(INDEX(Data_Analitik!$T$2:$T$351,MATCH($A262,Data_Analitik!$AL$2:$AL$351,0)),""))</f>
        <v>0</v>
      </c>
      <c r="I262" s="97">
        <f>IF($A262="","",IFERROR(INDEX(Data_Analitik!$V$2:$V$351,MATCH($A262,Data_Analitik!$AL$2:$AL$351,0)),""))</f>
        <v>0.37500000325962901</v>
      </c>
      <c r="J262" s="97">
        <f>IF($A262="","",IFERROR(INDEX(Data_Analitik!$X$2:$X$351,MATCH($A262,Data_Analitik!$AL$2:$AL$351,0)),""))</f>
        <v>0.62500000931322575</v>
      </c>
      <c r="K262" s="97">
        <f>IF($A262="","",IFERROR(INDEX(Data_Analitik!$Z$2:$Z$351,MATCH($A262,Data_Analitik!$AL$2:$AL$351,0)),""))</f>
        <v>0.37500000325962901</v>
      </c>
      <c r="L262" s="33" t="str">
        <f>IF($A262="","",IFERROR(INDEX(Data_Analitik!$AB$2:$AB$351,MATCH($A262,Data_Analitik!$AL$2:$AL$351,0)),""))</f>
        <v>Rusak Berat Dominan</v>
      </c>
    </row>
    <row r="263" spans="1:12" ht="21.95" customHeight="1" x14ac:dyDescent="0.25">
      <c r="A263" s="32">
        <f>IF(ROW()-9&lt;=SUM(Data_Analitik!$AK$2:$AK$351),ROW()-9,"")</f>
        <v>254</v>
      </c>
      <c r="B263" s="99" t="str">
        <f>IF($A263="","",IFERROR(INDEX(Data_Analitik!$B$2:$B$351,MATCH($A263,Data_Analitik!$AL$2:$AL$351,0)),""))</f>
        <v>254</v>
      </c>
      <c r="C263" s="101" t="str">
        <f>IF($A263="","",IFERROR(INDEX(Data_Analitik!$C$2:$C$351,MATCH($A263,Data_Analitik!$AL$2:$AL$351,0)),""))</f>
        <v>SP.4 Mesjid Sirih - Sarang Nyamuk - Asam Tamiyang</v>
      </c>
      <c r="D263" s="101" t="str">
        <f>IF($A263="","",IFERROR(INDEX(Data_Analitik!$D$2:$D$351,MATCH($A263,Data_Analitik!$AL$2:$AL$351,0)),""))</f>
        <v>Kalumpang - Sungai Raya</v>
      </c>
      <c r="E263" s="100">
        <f>IF($A263="","",IFERROR(INDEX(Data_Analitik!$E$2:$E$351,MATCH($A263,Data_Analitik!$AL$2:$AL$351,0)),""))</f>
        <v>6.1</v>
      </c>
      <c r="F263" s="97">
        <f>IF($A263="","",IFERROR(INDEX(Data_Analitik!$P$2:$P$351,MATCH($A263,Data_Analitik!$AL$2:$AL$351,0)),""))</f>
        <v>0.26229508587571443</v>
      </c>
      <c r="G263" s="97">
        <f>IF($A263="","",IFERROR(INDEX(Data_Analitik!$R$2:$R$351,MATCH($A263,Data_Analitik!$AL$2:$AL$351,0)),""))</f>
        <v>0.37704917251086628</v>
      </c>
      <c r="H263" s="97">
        <f>IF($A263="","",IFERROR(INDEX(Data_Analitik!$T$2:$T$351,MATCH($A263,Data_Analitik!$AL$2:$AL$351,0)),""))</f>
        <v>0.22950819281281018</v>
      </c>
      <c r="I263" s="97">
        <f>IF($A263="","",IFERROR(INDEX(Data_Analitik!$V$2:$V$351,MATCH($A263,Data_Analitik!$AL$2:$AL$351,0)),""))</f>
        <v>0.13114753927363726</v>
      </c>
      <c r="J263" s="97">
        <f>IF($A263="","",IFERROR(INDEX(Data_Analitik!$X$2:$X$351,MATCH($A263,Data_Analitik!$AL$2:$AL$351,0)),""))</f>
        <v>0.63934425838658071</v>
      </c>
      <c r="K263" s="97">
        <f>IF($A263="","",IFERROR(INDEX(Data_Analitik!$Z$2:$Z$351,MATCH($A263,Data_Analitik!$AL$2:$AL$351,0)),""))</f>
        <v>0.36065573208644747</v>
      </c>
      <c r="L263" s="33" t="str">
        <f>IF($A263="","",IFERROR(INDEX(Data_Analitik!$AB$2:$AB$351,MATCH($A263,Data_Analitik!$AL$2:$AL$351,0)),""))</f>
        <v>Tidak Mantap Sedang</v>
      </c>
    </row>
    <row r="264" spans="1:12" ht="21.95" customHeight="1" x14ac:dyDescent="0.25">
      <c r="A264" s="32">
        <f>IF(ROW()-9&lt;=SUM(Data_Analitik!$AK$2:$AK$351),ROW()-9,"")</f>
        <v>255</v>
      </c>
      <c r="B264" s="99" t="str">
        <f>IF($A264="","",IFERROR(INDEX(Data_Analitik!$B$2:$B$351,MATCH($A264,Data_Analitik!$AL$2:$AL$351,0)),""))</f>
        <v>255</v>
      </c>
      <c r="C264" s="101" t="str">
        <f>IF($A264="","",IFERROR(INDEX(Data_Analitik!$C$2:$C$351,MATCH($A264,Data_Analitik!$AL$2:$AL$351,0)),""))</f>
        <v>Kalumpang Selatan - Ds. Asam Tamiyang</v>
      </c>
      <c r="D264" s="101" t="str">
        <f>IF($A264="","",IFERROR(INDEX(Data_Analitik!$D$2:$D$351,MATCH($A264,Data_Analitik!$AL$2:$AL$351,0)),""))</f>
        <v>Kalumpang</v>
      </c>
      <c r="E264" s="100">
        <f>IF($A264="","",IFERROR(INDEX(Data_Analitik!$E$2:$E$351,MATCH($A264,Data_Analitik!$AL$2:$AL$351,0)),""))</f>
        <v>0.82</v>
      </c>
      <c r="F264" s="97">
        <f>IF($A264="","",IFERROR(INDEX(Data_Analitik!$P$2:$P$351,MATCH($A264,Data_Analitik!$AL$2:$AL$351,0)),""))</f>
        <v>0</v>
      </c>
      <c r="G264" s="97">
        <f>IF($A264="","",IFERROR(INDEX(Data_Analitik!$R$2:$R$351,MATCH($A264,Data_Analitik!$AL$2:$AL$351,0)),""))</f>
        <v>0</v>
      </c>
      <c r="H264" s="97">
        <f>IF($A264="","",IFERROR(INDEX(Data_Analitik!$T$2:$T$351,MATCH($A264,Data_Analitik!$AL$2:$AL$351,0)),""))</f>
        <v>0</v>
      </c>
      <c r="I264" s="97">
        <f>IF($A264="","",IFERROR(INDEX(Data_Analitik!$V$2:$V$351,MATCH($A264,Data_Analitik!$AL$2:$AL$351,0)),""))</f>
        <v>0.99999999127736916</v>
      </c>
      <c r="J264" s="97">
        <f>IF($A264="","",IFERROR(INDEX(Data_Analitik!$X$2:$X$351,MATCH($A264,Data_Analitik!$AL$2:$AL$351,0)),""))</f>
        <v>0</v>
      </c>
      <c r="K264" s="97">
        <f>IF($A264="","",IFERROR(INDEX(Data_Analitik!$Z$2:$Z$351,MATCH($A264,Data_Analitik!$AL$2:$AL$351,0)),""))</f>
        <v>0.99999999127736916</v>
      </c>
      <c r="L264" s="33" t="str">
        <f>IF($A264="","",IFERROR(INDEX(Data_Analitik!$AB$2:$AB$351,MATCH($A264,Data_Analitik!$AL$2:$AL$351,0)),""))</f>
        <v>Rusak Berat Dominan</v>
      </c>
    </row>
    <row r="265" spans="1:12" ht="21.95" customHeight="1" x14ac:dyDescent="0.25">
      <c r="A265" s="32">
        <f>IF(ROW()-9&lt;=SUM(Data_Analitik!$AK$2:$AK$351),ROW()-9,"")</f>
        <v>256</v>
      </c>
      <c r="B265" s="99" t="str">
        <f>IF($A265="","",IFERROR(INDEX(Data_Analitik!$B$2:$B$351,MATCH($A265,Data_Analitik!$AL$2:$AL$351,0)),""))</f>
        <v>256</v>
      </c>
      <c r="C265" s="101" t="str">
        <f>IF($A265="","",IFERROR(INDEX(Data_Analitik!$C$2:$C$351,MATCH($A265,Data_Analitik!$AL$2:$AL$351,0)),""))</f>
        <v>Balimau - Murung Dalam</v>
      </c>
      <c r="D265" s="101" t="str">
        <f>IF($A265="","",IFERROR(INDEX(Data_Analitik!$D$2:$D$351,MATCH($A265,Data_Analitik!$AL$2:$AL$351,0)),""))</f>
        <v>Kalumpang</v>
      </c>
      <c r="E265" s="100">
        <f>IF($A265="","",IFERROR(INDEX(Data_Analitik!$E$2:$E$351,MATCH($A265,Data_Analitik!$AL$2:$AL$351,0)),""))</f>
        <v>1.46</v>
      </c>
      <c r="F265" s="97">
        <f>IF($A265="","",IFERROR(INDEX(Data_Analitik!$P$2:$P$351,MATCH($A265,Data_Analitik!$AL$2:$AL$351,0)),""))</f>
        <v>0</v>
      </c>
      <c r="G265" s="97">
        <f>IF($A265="","",IFERROR(INDEX(Data_Analitik!$R$2:$R$351,MATCH($A265,Data_Analitik!$AL$2:$AL$351,0)),""))</f>
        <v>0</v>
      </c>
      <c r="H265" s="97">
        <f>IF($A265="","",IFERROR(INDEX(Data_Analitik!$T$2:$T$351,MATCH($A265,Data_Analitik!$AL$2:$AL$351,0)),""))</f>
        <v>0</v>
      </c>
      <c r="I265" s="97">
        <f>IF($A265="","",IFERROR(INDEX(Data_Analitik!$V$2:$V$351,MATCH($A265,Data_Analitik!$AL$2:$AL$351,0)),""))</f>
        <v>1.0000000261280635</v>
      </c>
      <c r="J265" s="97">
        <f>IF($A265="","",IFERROR(INDEX(Data_Analitik!$X$2:$X$351,MATCH($A265,Data_Analitik!$AL$2:$AL$351,0)),""))</f>
        <v>0</v>
      </c>
      <c r="K265" s="97">
        <f>IF($A265="","",IFERROR(INDEX(Data_Analitik!$Z$2:$Z$351,MATCH($A265,Data_Analitik!$AL$2:$AL$351,0)),""))</f>
        <v>1.0000000261280635</v>
      </c>
      <c r="L265" s="33" t="str">
        <f>IF($A265="","",IFERROR(INDEX(Data_Analitik!$AB$2:$AB$351,MATCH($A265,Data_Analitik!$AL$2:$AL$351,0)),""))</f>
        <v>Rusak Berat Dominan</v>
      </c>
    </row>
    <row r="266" spans="1:12" ht="21.95" customHeight="1" x14ac:dyDescent="0.25">
      <c r="A266" s="32">
        <f>IF(ROW()-9&lt;=SUM(Data_Analitik!$AK$2:$AK$351),ROW()-9,"")</f>
        <v>257</v>
      </c>
      <c r="B266" s="99" t="str">
        <f>IF($A266="","",IFERROR(INDEX(Data_Analitik!$B$2:$B$351,MATCH($A266,Data_Analitik!$AL$2:$AL$351,0)),""))</f>
        <v>257</v>
      </c>
      <c r="C266" s="101" t="str">
        <f>IF($A266="","",IFERROR(INDEX(Data_Analitik!$C$2:$C$351,MATCH($A266,Data_Analitik!$AL$2:$AL$351,0)),""))</f>
        <v>Jl. Karya Bakti - Ds. Balimau</v>
      </c>
      <c r="D266" s="101" t="str">
        <f>IF($A266="","",IFERROR(INDEX(Data_Analitik!$D$2:$D$351,MATCH($A266,Data_Analitik!$AL$2:$AL$351,0)),""))</f>
        <v>Kalumpang</v>
      </c>
      <c r="E266" s="100">
        <f>IF($A266="","",IFERROR(INDEX(Data_Analitik!$E$2:$E$351,MATCH($A266,Data_Analitik!$AL$2:$AL$351,0)),""))</f>
        <v>0.86</v>
      </c>
      <c r="F266" s="97">
        <f>IF($A266="","",IFERROR(INDEX(Data_Analitik!$P$2:$P$351,MATCH($A266,Data_Analitik!$AL$2:$AL$351,0)),""))</f>
        <v>0.58139534883720934</v>
      </c>
      <c r="G266" s="97">
        <f>IF($A266="","",IFERROR(INDEX(Data_Analitik!$R$2:$R$351,MATCH($A266,Data_Analitik!$AL$2:$AL$351,0)),""))</f>
        <v>0.11627907150013503</v>
      </c>
      <c r="H266" s="97">
        <f>IF($A266="","",IFERROR(INDEX(Data_Analitik!$T$2:$T$351,MATCH($A266,Data_Analitik!$AL$2:$AL$351,0)),""))</f>
        <v>0</v>
      </c>
      <c r="I266" s="97">
        <f>IF($A266="","",IFERROR(INDEX(Data_Analitik!$V$2:$V$351,MATCH($A266,Data_Analitik!$AL$2:$AL$351,0)),""))</f>
        <v>0.30232558330131132</v>
      </c>
      <c r="J266" s="97">
        <f>IF($A266="","",IFERROR(INDEX(Data_Analitik!$X$2:$X$351,MATCH($A266,Data_Analitik!$AL$2:$AL$351,0)),""))</f>
        <v>0.69767442033734428</v>
      </c>
      <c r="K266" s="97">
        <f>IF($A266="","",IFERROR(INDEX(Data_Analitik!$Z$2:$Z$351,MATCH($A266,Data_Analitik!$AL$2:$AL$351,0)),""))</f>
        <v>0.30232558330131132</v>
      </c>
      <c r="L266" s="33" t="str">
        <f>IF($A266="","",IFERROR(INDEX(Data_Analitik!$AB$2:$AB$351,MATCH($A266,Data_Analitik!$AL$2:$AL$351,0)),""))</f>
        <v>Rusak Berat Dominan</v>
      </c>
    </row>
    <row r="267" spans="1:12" ht="21.95" customHeight="1" x14ac:dyDescent="0.25">
      <c r="A267" s="32">
        <f>IF(ROW()-9&lt;=SUM(Data_Analitik!$AK$2:$AK$351),ROW()-9,"")</f>
        <v>258</v>
      </c>
      <c r="B267" s="99" t="str">
        <f>IF($A267="","",IFERROR(INDEX(Data_Analitik!$B$2:$B$351,MATCH($A267,Data_Analitik!$AL$2:$AL$351,0)),""))</f>
        <v>258</v>
      </c>
      <c r="C267" s="101" t="str">
        <f>IF($A267="","",IFERROR(INDEX(Data_Analitik!$C$2:$C$351,MATCH($A267,Data_Analitik!$AL$2:$AL$351,0)),""))</f>
        <v>Tanuhi - Ulang</v>
      </c>
      <c r="D267" s="101" t="str">
        <f>IF($A267="","",IFERROR(INDEX(Data_Analitik!$D$2:$D$351,MATCH($A267,Data_Analitik!$AL$2:$AL$351,0)),""))</f>
        <v>Loksado</v>
      </c>
      <c r="E267" s="100">
        <f>IF($A267="","",IFERROR(INDEX(Data_Analitik!$E$2:$E$351,MATCH($A267,Data_Analitik!$AL$2:$AL$351,0)),""))</f>
        <v>7.65</v>
      </c>
      <c r="F267" s="97">
        <f>IF($A267="","",IFERROR(INDEX(Data_Analitik!$P$2:$P$351,MATCH($A267,Data_Analitik!$AL$2:$AL$351,0)),""))</f>
        <v>0.28758170557957069</v>
      </c>
      <c r="G267" s="97">
        <f>IF($A267="","",IFERROR(INDEX(Data_Analitik!$R$2:$R$351,MATCH($A267,Data_Analitik!$AL$2:$AL$351,0)),""))</f>
        <v>0.39869280422435083</v>
      </c>
      <c r="H267" s="97">
        <f>IF($A267="","",IFERROR(INDEX(Data_Analitik!$T$2:$T$351,MATCH($A267,Data_Analitik!$AL$2:$AL$351,0)),""))</f>
        <v>0.26143790849673204</v>
      </c>
      <c r="I267" s="97">
        <f>IF($A267="","",IFERROR(INDEX(Data_Analitik!$V$2:$V$351,MATCH($A267,Data_Analitik!$AL$2:$AL$351,0)),""))</f>
        <v>5.2287582478492085E-2</v>
      </c>
      <c r="J267" s="97">
        <f>IF($A267="","",IFERROR(INDEX(Data_Analitik!$X$2:$X$351,MATCH($A267,Data_Analitik!$AL$2:$AL$351,0)),""))</f>
        <v>0.68627450980392157</v>
      </c>
      <c r="K267" s="97">
        <f>IF($A267="","",IFERROR(INDEX(Data_Analitik!$Z$2:$Z$351,MATCH($A267,Data_Analitik!$AL$2:$AL$351,0)),""))</f>
        <v>0.31372549097522412</v>
      </c>
      <c r="L267" s="33" t="str">
        <f>IF($A267="","",IFERROR(INDEX(Data_Analitik!$AB$2:$AB$351,MATCH($A267,Data_Analitik!$AL$2:$AL$351,0)),""))</f>
        <v>Tidak Mantap Sedang</v>
      </c>
    </row>
    <row r="268" spans="1:12" ht="21.95" customHeight="1" x14ac:dyDescent="0.25">
      <c r="A268" s="32">
        <f>IF(ROW()-9&lt;=SUM(Data_Analitik!$AK$2:$AK$351),ROW()-9,"")</f>
        <v>259</v>
      </c>
      <c r="B268" s="99" t="str">
        <f>IF($A268="","",IFERROR(INDEX(Data_Analitik!$B$2:$B$351,MATCH($A268,Data_Analitik!$AL$2:$AL$351,0)),""))</f>
        <v>259</v>
      </c>
      <c r="C268" s="101" t="str">
        <f>IF($A268="","",IFERROR(INDEX(Data_Analitik!$C$2:$C$351,MATCH($A268,Data_Analitik!$AL$2:$AL$351,0)),""))</f>
        <v>Loksado - Loklahung</v>
      </c>
      <c r="D268" s="101" t="str">
        <f>IF($A268="","",IFERROR(INDEX(Data_Analitik!$D$2:$D$351,MATCH($A268,Data_Analitik!$AL$2:$AL$351,0)),""))</f>
        <v>Loksado</v>
      </c>
      <c r="E268" s="100">
        <f>IF($A268="","",IFERROR(INDEX(Data_Analitik!$E$2:$E$351,MATCH($A268,Data_Analitik!$AL$2:$AL$351,0)),""))</f>
        <v>1.28</v>
      </c>
      <c r="F268" s="97">
        <f>IF($A268="","",IFERROR(INDEX(Data_Analitik!$P$2:$P$351,MATCH($A268,Data_Analitik!$AL$2:$AL$351,0)),""))</f>
        <v>0.70312498137354851</v>
      </c>
      <c r="G268" s="97">
        <f>IF($A268="","",IFERROR(INDEX(Data_Analitik!$R$2:$R$351,MATCH($A268,Data_Analitik!$AL$2:$AL$351,0)),""))</f>
        <v>0.14062500558793545</v>
      </c>
      <c r="H268" s="97">
        <f>IF($A268="","",IFERROR(INDEX(Data_Analitik!$T$2:$T$351,MATCH($A268,Data_Analitik!$AL$2:$AL$351,0)),""))</f>
        <v>0</v>
      </c>
      <c r="I268" s="97">
        <f>IF($A268="","",IFERROR(INDEX(Data_Analitik!$V$2:$V$351,MATCH($A268,Data_Analitik!$AL$2:$AL$351,0)),""))</f>
        <v>0.15625000232830644</v>
      </c>
      <c r="J268" s="97">
        <f>IF($A268="","",IFERROR(INDEX(Data_Analitik!$X$2:$X$351,MATCH($A268,Data_Analitik!$AL$2:$AL$351,0)),""))</f>
        <v>0.84374998696148396</v>
      </c>
      <c r="K268" s="97">
        <f>IF($A268="","",IFERROR(INDEX(Data_Analitik!$Z$2:$Z$351,MATCH($A268,Data_Analitik!$AL$2:$AL$351,0)),""))</f>
        <v>0.15625000232830644</v>
      </c>
      <c r="L268" s="33" t="str">
        <f>IF($A268="","",IFERROR(INDEX(Data_Analitik!$AB$2:$AB$351,MATCH($A268,Data_Analitik!$AL$2:$AL$351,0)),""))</f>
        <v>Relatif Mantap</v>
      </c>
    </row>
    <row r="269" spans="1:12" ht="21.95" customHeight="1" x14ac:dyDescent="0.25">
      <c r="A269" s="32">
        <f>IF(ROW()-9&lt;=SUM(Data_Analitik!$AK$2:$AK$351),ROW()-9,"")</f>
        <v>260</v>
      </c>
      <c r="B269" s="99" t="str">
        <f>IF($A269="","",IFERROR(INDEX(Data_Analitik!$B$2:$B$351,MATCH($A269,Data_Analitik!$AL$2:$AL$351,0)),""))</f>
        <v>260</v>
      </c>
      <c r="C269" s="101" t="str">
        <f>IF($A269="","",IFERROR(INDEX(Data_Analitik!$C$2:$C$351,MATCH($A269,Data_Analitik!$AL$2:$AL$351,0)),""))</f>
        <v>Loksado - Haratai</v>
      </c>
      <c r="D269" s="101" t="str">
        <f>IF($A269="","",IFERROR(INDEX(Data_Analitik!$D$2:$D$351,MATCH($A269,Data_Analitik!$AL$2:$AL$351,0)),""))</f>
        <v>Loksado</v>
      </c>
      <c r="E269" s="100">
        <f>IF($A269="","",IFERROR(INDEX(Data_Analitik!$E$2:$E$351,MATCH($A269,Data_Analitik!$AL$2:$AL$351,0)),""))</f>
        <v>7.17</v>
      </c>
      <c r="F269" s="97">
        <f>IF($A269="","",IFERROR(INDEX(Data_Analitik!$P$2:$P$351,MATCH($A269,Data_Analitik!$AL$2:$AL$351,0)),""))</f>
        <v>0</v>
      </c>
      <c r="G269" s="97">
        <f>IF($A269="","",IFERROR(INDEX(Data_Analitik!$R$2:$R$351,MATCH($A269,Data_Analitik!$AL$2:$AL$351,0)),""))</f>
        <v>7.9497906952223515E-2</v>
      </c>
      <c r="H269" s="97">
        <f>IF($A269="","",IFERROR(INDEX(Data_Analitik!$T$2:$T$351,MATCH($A269,Data_Analitik!$AL$2:$AL$351,0)),""))</f>
        <v>0.92050207874931222</v>
      </c>
      <c r="I269" s="97">
        <f>IF($A269="","",IFERROR(INDEX(Data_Analitik!$V$2:$V$351,MATCH($A269,Data_Analitik!$AL$2:$AL$351,0)),""))</f>
        <v>0</v>
      </c>
      <c r="J269" s="97">
        <f>IF($A269="","",IFERROR(INDEX(Data_Analitik!$X$2:$X$351,MATCH($A269,Data_Analitik!$AL$2:$AL$351,0)),""))</f>
        <v>7.9497906952223515E-2</v>
      </c>
      <c r="K269" s="97">
        <f>IF($A269="","",IFERROR(INDEX(Data_Analitik!$Z$2:$Z$351,MATCH($A269,Data_Analitik!$AL$2:$AL$351,0)),""))</f>
        <v>0.92050207874931222</v>
      </c>
      <c r="L269" s="33" t="str">
        <f>IF($A269="","",IFERROR(INDEX(Data_Analitik!$AB$2:$AB$351,MATCH($A269,Data_Analitik!$AL$2:$AL$351,0)),""))</f>
        <v>Tidak Mantap Tinggi</v>
      </c>
    </row>
    <row r="270" spans="1:12" ht="21.95" customHeight="1" x14ac:dyDescent="0.25">
      <c r="A270" s="32">
        <f>IF(ROW()-9&lt;=SUM(Data_Analitik!$AK$2:$AK$351),ROW()-9,"")</f>
        <v>261</v>
      </c>
      <c r="B270" s="99" t="str">
        <f>IF($A270="","",IFERROR(INDEX(Data_Analitik!$B$2:$B$351,MATCH($A270,Data_Analitik!$AL$2:$AL$351,0)),""))</f>
        <v>261</v>
      </c>
      <c r="C270" s="101" t="str">
        <f>IF($A270="","",IFERROR(INDEX(Data_Analitik!$C$2:$C$351,MATCH($A270,Data_Analitik!$AL$2:$AL$351,0)),""))</f>
        <v>Loklahung - Kamawakan</v>
      </c>
      <c r="D270" s="101" t="str">
        <f>IF($A270="","",IFERROR(INDEX(Data_Analitik!$D$2:$D$351,MATCH($A270,Data_Analitik!$AL$2:$AL$351,0)),""))</f>
        <v>Loksado</v>
      </c>
      <c r="E270" s="100">
        <f>IF($A270="","",IFERROR(INDEX(Data_Analitik!$E$2:$E$351,MATCH($A270,Data_Analitik!$AL$2:$AL$351,0)),""))</f>
        <v>6.82</v>
      </c>
      <c r="F270" s="97">
        <f>IF($A270="","",IFERROR(INDEX(Data_Analitik!$P$2:$P$351,MATCH($A270,Data_Analitik!$AL$2:$AL$351,0)),""))</f>
        <v>4.3988271542658205E-2</v>
      </c>
      <c r="G270" s="97">
        <f>IF($A270="","",IFERROR(INDEX(Data_Analitik!$R$2:$R$351,MATCH($A270,Data_Analitik!$AL$2:$AL$351,0)),""))</f>
        <v>0.32551320067598671</v>
      </c>
      <c r="H270" s="97">
        <f>IF($A270="","",IFERROR(INDEX(Data_Analitik!$T$2:$T$351,MATCH($A270,Data_Analitik!$AL$2:$AL$351,0)),""))</f>
        <v>0</v>
      </c>
      <c r="I270" s="97">
        <f>IF($A270="","",IFERROR(INDEX(Data_Analitik!$V$2:$V$351,MATCH($A270,Data_Analitik!$AL$2:$AL$351,0)),""))</f>
        <v>0.6304985616913289</v>
      </c>
      <c r="J270" s="97">
        <f>IF($A270="","",IFERROR(INDEX(Data_Analitik!$X$2:$X$351,MATCH($A270,Data_Analitik!$AL$2:$AL$351,0)),""))</f>
        <v>0.36950147221864493</v>
      </c>
      <c r="K270" s="97">
        <f>IF($A270="","",IFERROR(INDEX(Data_Analitik!$Z$2:$Z$351,MATCH($A270,Data_Analitik!$AL$2:$AL$351,0)),""))</f>
        <v>0.6304985616913289</v>
      </c>
      <c r="L270" s="33" t="str">
        <f>IF($A270="","",IFERROR(INDEX(Data_Analitik!$AB$2:$AB$351,MATCH($A270,Data_Analitik!$AL$2:$AL$351,0)),""))</f>
        <v>Rusak Berat Dominan</v>
      </c>
    </row>
    <row r="271" spans="1:12" ht="21.95" customHeight="1" x14ac:dyDescent="0.25">
      <c r="A271" s="32">
        <f>IF(ROW()-9&lt;=SUM(Data_Analitik!$AK$2:$AK$351),ROW()-9,"")</f>
        <v>262</v>
      </c>
      <c r="B271" s="99" t="str">
        <f>IF($A271="","",IFERROR(INDEX(Data_Analitik!$B$2:$B$351,MATCH($A271,Data_Analitik!$AL$2:$AL$351,0)),""))</f>
        <v>262</v>
      </c>
      <c r="C271" s="101" t="str">
        <f>IF($A271="","",IFERROR(INDEX(Data_Analitik!$C$2:$C$351,MATCH($A271,Data_Analitik!$AL$2:$AL$351,0)),""))</f>
        <v>Jl. Niagara (Ds. Halunuk) - Ayan</v>
      </c>
      <c r="D271" s="101" t="str">
        <f>IF($A271="","",IFERROR(INDEX(Data_Analitik!$D$2:$D$351,MATCH($A271,Data_Analitik!$AL$2:$AL$351,0)),""))</f>
        <v>Loksado</v>
      </c>
      <c r="E271" s="100">
        <f>IF($A271="","",IFERROR(INDEX(Data_Analitik!$E$2:$E$351,MATCH($A271,Data_Analitik!$AL$2:$AL$351,0)),""))</f>
        <v>2.06</v>
      </c>
      <c r="F271" s="97">
        <f>IF($A271="","",IFERROR(INDEX(Data_Analitik!$P$2:$P$351,MATCH($A271,Data_Analitik!$AL$2:$AL$351,0)),""))</f>
        <v>0.2718446613515465</v>
      </c>
      <c r="G271" s="97">
        <f>IF($A271="","",IFERROR(INDEX(Data_Analitik!$R$2:$R$351,MATCH($A271,Data_Analitik!$AL$2:$AL$351,0)),""))</f>
        <v>0</v>
      </c>
      <c r="H271" s="97">
        <f>IF($A271="","",IFERROR(INDEX(Data_Analitik!$T$2:$T$351,MATCH($A271,Data_Analitik!$AL$2:$AL$351,0)),""))</f>
        <v>0</v>
      </c>
      <c r="I271" s="97">
        <f>IF($A271="","",IFERROR(INDEX(Data_Analitik!$V$2:$V$351,MATCH($A271,Data_Analitik!$AL$2:$AL$351,0)),""))</f>
        <v>0.72815533980582525</v>
      </c>
      <c r="J271" s="97">
        <f>IF($A271="","",IFERROR(INDEX(Data_Analitik!$X$2:$X$351,MATCH($A271,Data_Analitik!$AL$2:$AL$351,0)),""))</f>
        <v>0.2718446613515465</v>
      </c>
      <c r="K271" s="97">
        <f>IF($A271="","",IFERROR(INDEX(Data_Analitik!$Z$2:$Z$351,MATCH($A271,Data_Analitik!$AL$2:$AL$351,0)),""))</f>
        <v>0.72815533980582525</v>
      </c>
      <c r="L271" s="33" t="str">
        <f>IF($A271="","",IFERROR(INDEX(Data_Analitik!$AB$2:$AB$351,MATCH($A271,Data_Analitik!$AL$2:$AL$351,0)),""))</f>
        <v>Rusak Berat Dominan</v>
      </c>
    </row>
    <row r="272" spans="1:12" ht="21.95" customHeight="1" x14ac:dyDescent="0.25">
      <c r="A272" s="32">
        <f>IF(ROW()-9&lt;=SUM(Data_Analitik!$AK$2:$AK$351),ROW()-9,"")</f>
        <v>263</v>
      </c>
      <c r="B272" s="99" t="str">
        <f>IF($A272="","",IFERROR(INDEX(Data_Analitik!$B$2:$B$351,MATCH($A272,Data_Analitik!$AL$2:$AL$351,0)),""))</f>
        <v>263</v>
      </c>
      <c r="C272" s="101" t="str">
        <f>IF($A272="","",IFERROR(INDEX(Data_Analitik!$C$2:$C$351,MATCH($A272,Data_Analitik!$AL$2:$AL$351,0)),""))</f>
        <v>Malinau - Katingin - Kamawakan</v>
      </c>
      <c r="D272" s="101" t="str">
        <f>IF($A272="","",IFERROR(INDEX(Data_Analitik!$D$2:$D$351,MATCH($A272,Data_Analitik!$AL$2:$AL$351,0)),""))</f>
        <v>Loksado</v>
      </c>
      <c r="E272" s="100">
        <f>IF($A272="","",IFERROR(INDEX(Data_Analitik!$E$2:$E$351,MATCH($A272,Data_Analitik!$AL$2:$AL$351,0)),""))</f>
        <v>9.4600000000000009</v>
      </c>
      <c r="F272" s="97">
        <f>IF($A272="","",IFERROR(INDEX(Data_Analitik!$P$2:$P$351,MATCH($A272,Data_Analitik!$AL$2:$AL$351,0)),""))</f>
        <v>0.31712473572938688</v>
      </c>
      <c r="G272" s="97">
        <f>IF($A272="","",IFERROR(INDEX(Data_Analitik!$R$2:$R$351,MATCH($A272,Data_Analitik!$AL$2:$AL$351,0)),""))</f>
        <v>3.1712474833079166E-2</v>
      </c>
      <c r="H272" s="97">
        <f>IF($A272="","",IFERROR(INDEX(Data_Analitik!$T$2:$T$351,MATCH($A272,Data_Analitik!$AL$2:$AL$351,0)),""))</f>
        <v>5.2854122621564477E-2</v>
      </c>
      <c r="I272" s="97">
        <f>IF($A272="","",IFERROR(INDEX(Data_Analitik!$V$2:$V$351,MATCH($A272,Data_Analitik!$AL$2:$AL$351,0)),""))</f>
        <v>0.59830867714912139</v>
      </c>
      <c r="J272" s="97">
        <f>IF($A272="","",IFERROR(INDEX(Data_Analitik!$X$2:$X$351,MATCH($A272,Data_Analitik!$AL$2:$AL$351,0)),""))</f>
        <v>0.34883721056246603</v>
      </c>
      <c r="K272" s="97">
        <f>IF($A272="","",IFERROR(INDEX(Data_Analitik!$Z$2:$Z$351,MATCH($A272,Data_Analitik!$AL$2:$AL$351,0)),""))</f>
        <v>0.65116279977068581</v>
      </c>
      <c r="L272" s="33" t="str">
        <f>IF($A272="","",IFERROR(INDEX(Data_Analitik!$AB$2:$AB$351,MATCH($A272,Data_Analitik!$AL$2:$AL$351,0)),""))</f>
        <v>Rusak Berat Dominan</v>
      </c>
    </row>
    <row r="273" spans="1:12" ht="21.95" customHeight="1" x14ac:dyDescent="0.25">
      <c r="A273" s="32">
        <f>IF(ROW()-9&lt;=SUM(Data_Analitik!$AK$2:$AK$351),ROW()-9,"")</f>
        <v>264</v>
      </c>
      <c r="B273" s="99" t="str">
        <f>IF($A273="","",IFERROR(INDEX(Data_Analitik!$B$2:$B$351,MATCH($A273,Data_Analitik!$AL$2:$AL$351,0)),""))</f>
        <v>264</v>
      </c>
      <c r="C273" s="101" t="str">
        <f>IF($A273="","",IFERROR(INDEX(Data_Analitik!$C$2:$C$351,MATCH($A273,Data_Analitik!$AL$2:$AL$351,0)),""))</f>
        <v>Loklahung - Malaris</v>
      </c>
      <c r="D273" s="101" t="str">
        <f>IF($A273="","",IFERROR(INDEX(Data_Analitik!$D$2:$D$351,MATCH($A273,Data_Analitik!$AL$2:$AL$351,0)),""))</f>
        <v>Loksado</v>
      </c>
      <c r="E273" s="100">
        <f>IF($A273="","",IFERROR(INDEX(Data_Analitik!$E$2:$E$351,MATCH($A273,Data_Analitik!$AL$2:$AL$351,0)),""))</f>
        <v>0.81</v>
      </c>
      <c r="F273" s="97">
        <f>IF($A273="","",IFERROR(INDEX(Data_Analitik!$P$2:$P$351,MATCH($A273,Data_Analitik!$AL$2:$AL$351,0)),""))</f>
        <v>0</v>
      </c>
      <c r="G273" s="97">
        <f>IF($A273="","",IFERROR(INDEX(Data_Analitik!$R$2:$R$351,MATCH($A273,Data_Analitik!$AL$2:$AL$351,0)),""))</f>
        <v>0.25925925116480131</v>
      </c>
      <c r="H273" s="97">
        <f>IF($A273="","",IFERROR(INDEX(Data_Analitik!$T$2:$T$351,MATCH($A273,Data_Analitik!$AL$2:$AL$351,0)),""))</f>
        <v>0.37037038508756659</v>
      </c>
      <c r="I273" s="97">
        <f>IF($A273="","",IFERROR(INDEX(Data_Analitik!$V$2:$V$351,MATCH($A273,Data_Analitik!$AL$2:$AL$351,0)),""))</f>
        <v>0.37037038508756659</v>
      </c>
      <c r="J273" s="97">
        <f>IF($A273="","",IFERROR(INDEX(Data_Analitik!$X$2:$X$351,MATCH($A273,Data_Analitik!$AL$2:$AL$351,0)),""))</f>
        <v>0.25925925116480131</v>
      </c>
      <c r="K273" s="97">
        <f>IF($A273="","",IFERROR(INDEX(Data_Analitik!$Z$2:$Z$351,MATCH($A273,Data_Analitik!$AL$2:$AL$351,0)),""))</f>
        <v>0.74074077017513318</v>
      </c>
      <c r="L273" s="33" t="str">
        <f>IF($A273="","",IFERROR(INDEX(Data_Analitik!$AB$2:$AB$351,MATCH($A273,Data_Analitik!$AL$2:$AL$351,0)),""))</f>
        <v>Rusak Berat Dominan</v>
      </c>
    </row>
    <row r="274" spans="1:12" ht="21.95" customHeight="1" x14ac:dyDescent="0.25">
      <c r="A274" s="32">
        <f>IF(ROW()-9&lt;=SUM(Data_Analitik!$AK$2:$AK$351),ROW()-9,"")</f>
        <v>265</v>
      </c>
      <c r="B274" s="99" t="str">
        <f>IF($A274="","",IFERROR(INDEX(Data_Analitik!$B$2:$B$351,MATCH($A274,Data_Analitik!$AL$2:$AL$351,0)),""))</f>
        <v>265</v>
      </c>
      <c r="C274" s="101" t="str">
        <f>IF($A274="","",IFERROR(INDEX(Data_Analitik!$C$2:$C$351,MATCH($A274,Data_Analitik!$AL$2:$AL$351,0)),""))</f>
        <v>Jl. Bubuih - Ds. Halunuk</v>
      </c>
      <c r="D274" s="101" t="str">
        <f>IF($A274="","",IFERROR(INDEX(Data_Analitik!$D$2:$D$351,MATCH($A274,Data_Analitik!$AL$2:$AL$351,0)),""))</f>
        <v>Loksado</v>
      </c>
      <c r="E274" s="100">
        <f>IF($A274="","",IFERROR(INDEX(Data_Analitik!$E$2:$E$351,MATCH($A274,Data_Analitik!$AL$2:$AL$351,0)),""))</f>
        <v>0.74</v>
      </c>
      <c r="F274" s="97">
        <f>IF($A274="","",IFERROR(INDEX(Data_Analitik!$P$2:$P$351,MATCH($A274,Data_Analitik!$AL$2:$AL$351,0)),""))</f>
        <v>0</v>
      </c>
      <c r="G274" s="97">
        <f>IF($A274="","",IFERROR(INDEX(Data_Analitik!$R$2:$R$351,MATCH($A274,Data_Analitik!$AL$2:$AL$351,0)),""))</f>
        <v>0.13513513714880557</v>
      </c>
      <c r="H274" s="97">
        <f>IF($A274="","",IFERROR(INDEX(Data_Analitik!$T$2:$T$351,MATCH($A274,Data_Analitik!$AL$2:$AL$351,0)),""))</f>
        <v>0.18918918999465736</v>
      </c>
      <c r="I274" s="97">
        <f>IF($A274="","",IFERROR(INDEX(Data_Analitik!$V$2:$V$351,MATCH($A274,Data_Analitik!$AL$2:$AL$351,0)),""))</f>
        <v>0.67567567567567566</v>
      </c>
      <c r="J274" s="97">
        <f>IF($A274="","",IFERROR(INDEX(Data_Analitik!$X$2:$X$351,MATCH($A274,Data_Analitik!$AL$2:$AL$351,0)),""))</f>
        <v>0.13513513714880557</v>
      </c>
      <c r="K274" s="97">
        <f>IF($A274="","",IFERROR(INDEX(Data_Analitik!$Z$2:$Z$351,MATCH($A274,Data_Analitik!$AL$2:$AL$351,0)),""))</f>
        <v>0.86486486567033305</v>
      </c>
      <c r="L274" s="33" t="str">
        <f>IF($A274="","",IFERROR(INDEX(Data_Analitik!$AB$2:$AB$351,MATCH($A274,Data_Analitik!$AL$2:$AL$351,0)),""))</f>
        <v>Rusak Berat Dominan</v>
      </c>
    </row>
    <row r="275" spans="1:12" ht="21.95" customHeight="1" x14ac:dyDescent="0.25">
      <c r="A275" s="32">
        <f>IF(ROW()-9&lt;=SUM(Data_Analitik!$AK$2:$AK$351),ROW()-9,"")</f>
        <v>266</v>
      </c>
      <c r="B275" s="99" t="str">
        <f>IF($A275="","",IFERROR(INDEX(Data_Analitik!$B$2:$B$351,MATCH($A275,Data_Analitik!$AL$2:$AL$351,0)),""))</f>
        <v>266</v>
      </c>
      <c r="C275" s="101" t="str">
        <f>IF($A275="","",IFERROR(INDEX(Data_Analitik!$C$2:$C$351,MATCH($A275,Data_Analitik!$AL$2:$AL$351,0)),""))</f>
        <v>Halunuk - Riam Tajam/Talo - Hamak Umpaya</v>
      </c>
      <c r="D275" s="101" t="str">
        <f>IF($A275="","",IFERROR(INDEX(Data_Analitik!$D$2:$D$351,MATCH($A275,Data_Analitik!$AL$2:$AL$351,0)),""))</f>
        <v>Loksado - Telaga Langsat</v>
      </c>
      <c r="E275" s="100">
        <f>IF($A275="","",IFERROR(INDEX(Data_Analitik!$E$2:$E$351,MATCH($A275,Data_Analitik!$AL$2:$AL$351,0)),""))</f>
        <v>7.78</v>
      </c>
      <c r="F275" s="97">
        <f>IF($A275="","",IFERROR(INDEX(Data_Analitik!$P$2:$P$351,MATCH($A275,Data_Analitik!$AL$2:$AL$351,0)),""))</f>
        <v>0</v>
      </c>
      <c r="G275" s="97">
        <f>IF($A275="","",IFERROR(INDEX(Data_Analitik!$R$2:$R$351,MATCH($A275,Data_Analitik!$AL$2:$AL$351,0)),""))</f>
        <v>0.53727504220290778</v>
      </c>
      <c r="H275" s="97">
        <f>IF($A275="","",IFERROR(INDEX(Data_Analitik!$T$2:$T$351,MATCH($A275,Data_Analitik!$AL$2:$AL$351,0)),""))</f>
        <v>0.1156812308686558</v>
      </c>
      <c r="I275" s="97">
        <f>IF($A275="","",IFERROR(INDEX(Data_Analitik!$V$2:$V$351,MATCH($A275,Data_Analitik!$AL$2:$AL$351,0)),""))</f>
        <v>0.34704370026723275</v>
      </c>
      <c r="J275" s="97">
        <f>IF($A275="","",IFERROR(INDEX(Data_Analitik!$X$2:$X$351,MATCH($A275,Data_Analitik!$AL$2:$AL$351,0)),""))</f>
        <v>0.53727504220290778</v>
      </c>
      <c r="K275" s="97">
        <f>IF($A275="","",IFERROR(INDEX(Data_Analitik!$Z$2:$Z$351,MATCH($A275,Data_Analitik!$AL$2:$AL$351,0)),""))</f>
        <v>0.46272493113588858</v>
      </c>
      <c r="L275" s="33" t="str">
        <f>IF($A275="","",IFERROR(INDEX(Data_Analitik!$AB$2:$AB$351,MATCH($A275,Data_Analitik!$AL$2:$AL$351,0)),""))</f>
        <v>Rusak Berat Dominan</v>
      </c>
    </row>
    <row r="276" spans="1:12" ht="21.95" customHeight="1" x14ac:dyDescent="0.25">
      <c r="A276" s="32">
        <f>IF(ROW()-9&lt;=SUM(Data_Analitik!$AK$2:$AK$351),ROW()-9,"")</f>
        <v>267</v>
      </c>
      <c r="B276" s="99" t="str">
        <f>IF($A276="","",IFERROR(INDEX(Data_Analitik!$B$2:$B$351,MATCH($A276,Data_Analitik!$AL$2:$AL$351,0)),""))</f>
        <v>267</v>
      </c>
      <c r="C276" s="101" t="str">
        <f>IF($A276="","",IFERROR(INDEX(Data_Analitik!$C$2:$C$351,MATCH($A276,Data_Analitik!$AL$2:$AL$351,0)),""))</f>
        <v>Jl. Muara Kitar - Desa Lumpangi</v>
      </c>
      <c r="D276" s="101" t="str">
        <f>IF($A276="","",IFERROR(INDEX(Data_Analitik!$D$2:$D$351,MATCH($A276,Data_Analitik!$AL$2:$AL$351,0)),""))</f>
        <v>Loksado</v>
      </c>
      <c r="E276" s="100">
        <f>IF($A276="","",IFERROR(INDEX(Data_Analitik!$E$2:$E$351,MATCH($A276,Data_Analitik!$AL$2:$AL$351,0)),""))</f>
        <v>0.43</v>
      </c>
      <c r="F276" s="97">
        <f>IF($A276="","",IFERROR(INDEX(Data_Analitik!$P$2:$P$351,MATCH($A276,Data_Analitik!$AL$2:$AL$351,0)),""))</f>
        <v>0</v>
      </c>
      <c r="G276" s="97">
        <f>IF($A276="","",IFERROR(INDEX(Data_Analitik!$R$2:$R$351,MATCH($A276,Data_Analitik!$AL$2:$AL$351,0)),""))</f>
        <v>0.53488373063331429</v>
      </c>
      <c r="H276" s="97">
        <f>IF($A276="","",IFERROR(INDEX(Data_Analitik!$T$2:$T$351,MATCH($A276,Data_Analitik!$AL$2:$AL$351,0)),""))</f>
        <v>0.46511628600054011</v>
      </c>
      <c r="I276" s="97">
        <f>IF($A276="","",IFERROR(INDEX(Data_Analitik!$V$2:$V$351,MATCH($A276,Data_Analitik!$AL$2:$AL$351,0)),""))</f>
        <v>0</v>
      </c>
      <c r="J276" s="97">
        <f>IF($A276="","",IFERROR(INDEX(Data_Analitik!$X$2:$X$351,MATCH($A276,Data_Analitik!$AL$2:$AL$351,0)),""))</f>
        <v>0.53488373063331429</v>
      </c>
      <c r="K276" s="97">
        <f>IF($A276="","",IFERROR(INDEX(Data_Analitik!$Z$2:$Z$351,MATCH($A276,Data_Analitik!$AL$2:$AL$351,0)),""))</f>
        <v>0.46511628600054011</v>
      </c>
      <c r="L276" s="33" t="str">
        <f>IF($A276="","",IFERROR(INDEX(Data_Analitik!$AB$2:$AB$351,MATCH($A276,Data_Analitik!$AL$2:$AL$351,0)),""))</f>
        <v>Tidak Mantap Sedang</v>
      </c>
    </row>
    <row r="277" spans="1:12" ht="21.95" customHeight="1" x14ac:dyDescent="0.25">
      <c r="A277" s="32">
        <f>IF(ROW()-9&lt;=SUM(Data_Analitik!$AK$2:$AK$351),ROW()-9,"")</f>
        <v>268</v>
      </c>
      <c r="B277" s="99" t="str">
        <f>IF($A277="","",IFERROR(INDEX(Data_Analitik!$B$2:$B$351,MATCH($A277,Data_Analitik!$AL$2:$AL$351,0)),""))</f>
        <v>268</v>
      </c>
      <c r="C277" s="101" t="str">
        <f>IF($A277="","",IFERROR(INDEX(Data_Analitik!$C$2:$C$351,MATCH($A277,Data_Analitik!$AL$2:$AL$351,0)),""))</f>
        <v>Jl. Hulu Banyu - Pantai Langsat</v>
      </c>
      <c r="D277" s="101" t="str">
        <f>IF($A277="","",IFERROR(INDEX(Data_Analitik!$D$2:$D$351,MATCH($A277,Data_Analitik!$AL$2:$AL$351,0)),""))</f>
        <v>Loksado</v>
      </c>
      <c r="E277" s="100">
        <f>IF($A277="","",IFERROR(INDEX(Data_Analitik!$E$2:$E$351,MATCH($A277,Data_Analitik!$AL$2:$AL$351,0)),""))</f>
        <v>1.79</v>
      </c>
      <c r="F277" s="97">
        <f>IF($A277="","",IFERROR(INDEX(Data_Analitik!$P$2:$P$351,MATCH($A277,Data_Analitik!$AL$2:$AL$351,0)),""))</f>
        <v>0.4972066959189303</v>
      </c>
      <c r="G277" s="97">
        <f>IF($A277="","",IFERROR(INDEX(Data_Analitik!$R$2:$R$351,MATCH($A277,Data_Analitik!$AL$2:$AL$351,0)),""))</f>
        <v>0.50279328276991175</v>
      </c>
      <c r="H277" s="97">
        <f>IF($A277="","",IFERROR(INDEX(Data_Analitik!$T$2:$T$351,MATCH($A277,Data_Analitik!$AL$2:$AL$351,0)),""))</f>
        <v>0</v>
      </c>
      <c r="I277" s="97">
        <f>IF($A277="","",IFERROR(INDEX(Data_Analitik!$V$2:$V$351,MATCH($A277,Data_Analitik!$AL$2:$AL$351,0)),""))</f>
        <v>0</v>
      </c>
      <c r="J277" s="97">
        <f>IF($A277="","",IFERROR(INDEX(Data_Analitik!$X$2:$X$351,MATCH($A277,Data_Analitik!$AL$2:$AL$351,0)),""))</f>
        <v>0.99999997868884205</v>
      </c>
      <c r="K277" s="97">
        <f>IF($A277="","",IFERROR(INDEX(Data_Analitik!$Z$2:$Z$351,MATCH($A277,Data_Analitik!$AL$2:$AL$351,0)),""))</f>
        <v>0</v>
      </c>
      <c r="L277" s="33" t="str">
        <f>IF($A277="","",IFERROR(INDEX(Data_Analitik!$AB$2:$AB$351,MATCH($A277,Data_Analitik!$AL$2:$AL$351,0)),""))</f>
        <v>Relatif Mantap</v>
      </c>
    </row>
    <row r="278" spans="1:12" ht="21.95" customHeight="1" x14ac:dyDescent="0.25">
      <c r="A278" s="32">
        <f>IF(ROW()-9&lt;=SUM(Data_Analitik!$AK$2:$AK$351),ROW()-9,"")</f>
        <v>269</v>
      </c>
      <c r="B278" s="99" t="str">
        <f>IF($A278="","",IFERROR(INDEX(Data_Analitik!$B$2:$B$351,MATCH($A278,Data_Analitik!$AL$2:$AL$351,0)),""))</f>
        <v>269</v>
      </c>
      <c r="C278" s="101" t="str">
        <f>IF($A278="","",IFERROR(INDEX(Data_Analitik!$C$2:$C$351,MATCH($A278,Data_Analitik!$AL$2:$AL$351,0)),""))</f>
        <v>Jl. Bayampah - Tanuhi - Tugu Niih</v>
      </c>
      <c r="D278" s="101" t="str">
        <f>IF($A278="","",IFERROR(INDEX(Data_Analitik!$D$2:$D$351,MATCH($A278,Data_Analitik!$AL$2:$AL$351,0)),""))</f>
        <v>Loksado</v>
      </c>
      <c r="E278" s="100">
        <f>IF($A278="","",IFERROR(INDEX(Data_Analitik!$E$2:$E$351,MATCH($A278,Data_Analitik!$AL$2:$AL$351,0)),""))</f>
        <v>0.61</v>
      </c>
      <c r="F278" s="97">
        <f>IF($A278="","",IFERROR(INDEX(Data_Analitik!$P$2:$P$351,MATCH($A278,Data_Analitik!$AL$2:$AL$351,0)),""))</f>
        <v>0</v>
      </c>
      <c r="G278" s="97">
        <f>IF($A278="","",IFERROR(INDEX(Data_Analitik!$R$2:$R$351,MATCH($A278,Data_Analitik!$AL$2:$AL$351,0)),""))</f>
        <v>0.34426228433358863</v>
      </c>
      <c r="H278" s="97">
        <f>IF($A278="","",IFERROR(INDEX(Data_Analitik!$T$2:$T$351,MATCH($A278,Data_Analitik!$AL$2:$AL$351,0)),""))</f>
        <v>0</v>
      </c>
      <c r="I278" s="97">
        <f>IF($A278="","",IFERROR(INDEX(Data_Analitik!$V$2:$V$351,MATCH($A278,Data_Analitik!$AL$2:$AL$351,0)),""))</f>
        <v>0.65573771468928599</v>
      </c>
      <c r="J278" s="97">
        <f>IF($A278="","",IFERROR(INDEX(Data_Analitik!$X$2:$X$351,MATCH($A278,Data_Analitik!$AL$2:$AL$351,0)),""))</f>
        <v>0.34426228433358863</v>
      </c>
      <c r="K278" s="97">
        <f>IF($A278="","",IFERROR(INDEX(Data_Analitik!$Z$2:$Z$351,MATCH($A278,Data_Analitik!$AL$2:$AL$351,0)),""))</f>
        <v>0.65573771468928599</v>
      </c>
      <c r="L278" s="33" t="str">
        <f>IF($A278="","",IFERROR(INDEX(Data_Analitik!$AB$2:$AB$351,MATCH($A278,Data_Analitik!$AL$2:$AL$351,0)),""))</f>
        <v>Rusak Berat Dominan</v>
      </c>
    </row>
    <row r="279" spans="1:12" ht="21.95" customHeight="1" x14ac:dyDescent="0.25">
      <c r="A279" s="32">
        <f>IF(ROW()-9&lt;=SUM(Data_Analitik!$AK$2:$AK$351),ROW()-9,"")</f>
        <v>270</v>
      </c>
      <c r="B279" s="99" t="str">
        <f>IF($A279="","",IFERROR(INDEX(Data_Analitik!$B$2:$B$351,MATCH($A279,Data_Analitik!$AL$2:$AL$351,0)),""))</f>
        <v>270</v>
      </c>
      <c r="C279" s="101" t="str">
        <f>IF($A279="","",IFERROR(INDEX(Data_Analitik!$C$2:$C$351,MATCH($A279,Data_Analitik!$AL$2:$AL$351,0)),""))</f>
        <v>Jl. Kantor Camat Loksado II</v>
      </c>
      <c r="D279" s="101" t="str">
        <f>IF($A279="","",IFERROR(INDEX(Data_Analitik!$D$2:$D$351,MATCH($A279,Data_Analitik!$AL$2:$AL$351,0)),""))</f>
        <v>Loksado</v>
      </c>
      <c r="E279" s="100">
        <f>IF($A279="","",IFERROR(INDEX(Data_Analitik!$E$2:$E$351,MATCH($A279,Data_Analitik!$AL$2:$AL$351,0)),""))</f>
        <v>0.12</v>
      </c>
      <c r="F279" s="97">
        <f>IF($A279="","",IFERROR(INDEX(Data_Analitik!$P$2:$P$351,MATCH($A279,Data_Analitik!$AL$2:$AL$351,0)),""))</f>
        <v>0.99999997764825821</v>
      </c>
      <c r="G279" s="97">
        <f>IF($A279="","",IFERROR(INDEX(Data_Analitik!$R$2:$R$351,MATCH($A279,Data_Analitik!$AL$2:$AL$351,0)),""))</f>
        <v>0</v>
      </c>
      <c r="H279" s="97">
        <f>IF($A279="","",IFERROR(INDEX(Data_Analitik!$T$2:$T$351,MATCH($A279,Data_Analitik!$AL$2:$AL$351,0)),""))</f>
        <v>0</v>
      </c>
      <c r="I279" s="97">
        <f>IF($A279="","",IFERROR(INDEX(Data_Analitik!$V$2:$V$351,MATCH($A279,Data_Analitik!$AL$2:$AL$351,0)),""))</f>
        <v>0</v>
      </c>
      <c r="J279" s="97">
        <f>IF($A279="","",IFERROR(INDEX(Data_Analitik!$X$2:$X$351,MATCH($A279,Data_Analitik!$AL$2:$AL$351,0)),""))</f>
        <v>0.99999997764825821</v>
      </c>
      <c r="K279" s="97">
        <f>IF($A279="","",IFERROR(INDEX(Data_Analitik!$Z$2:$Z$351,MATCH($A279,Data_Analitik!$AL$2:$AL$351,0)),""))</f>
        <v>0</v>
      </c>
      <c r="L279" s="33" t="str">
        <f>IF($A279="","",IFERROR(INDEX(Data_Analitik!$AB$2:$AB$351,MATCH($A279,Data_Analitik!$AL$2:$AL$351,0)),""))</f>
        <v>Relatif Mantap</v>
      </c>
    </row>
    <row r="280" spans="1:12" ht="21.95" customHeight="1" x14ac:dyDescent="0.25">
      <c r="A280" s="32">
        <f>IF(ROW()-9&lt;=SUM(Data_Analitik!$AK$2:$AK$351),ROW()-9,"")</f>
        <v>271</v>
      </c>
      <c r="B280" s="99" t="str">
        <f>IF($A280="","",IFERROR(INDEX(Data_Analitik!$B$2:$B$351,MATCH($A280,Data_Analitik!$AL$2:$AL$351,0)),""))</f>
        <v>271</v>
      </c>
      <c r="C280" s="101" t="str">
        <f>IF($A280="","",IFERROR(INDEX(Data_Analitik!$C$2:$C$351,MATCH($A280,Data_Analitik!$AL$2:$AL$351,0)),""))</f>
        <v>Jl. Buntu Muara Hatib - Bts. Kab. HST</v>
      </c>
      <c r="D280" s="101" t="str">
        <f>IF($A280="","",IFERROR(INDEX(Data_Analitik!$D$2:$D$351,MATCH($A280,Data_Analitik!$AL$2:$AL$351,0)),""))</f>
        <v>Loksado</v>
      </c>
      <c r="E280" s="100">
        <f>IF($A280="","",IFERROR(INDEX(Data_Analitik!$E$2:$E$351,MATCH($A280,Data_Analitik!$AL$2:$AL$351,0)),""))</f>
        <v>1.1599999999999999</v>
      </c>
      <c r="F280" s="97">
        <f>IF($A280="","",IFERROR(INDEX(Data_Analitik!$P$2:$P$351,MATCH($A280,Data_Analitik!$AL$2:$AL$351,0)),""))</f>
        <v>0</v>
      </c>
      <c r="G280" s="97">
        <f>IF($A280="","",IFERROR(INDEX(Data_Analitik!$R$2:$R$351,MATCH($A280,Data_Analitik!$AL$2:$AL$351,0)),""))</f>
        <v>0.91379305412029399</v>
      </c>
      <c r="H280" s="97">
        <f>IF($A280="","",IFERROR(INDEX(Data_Analitik!$T$2:$T$351,MATCH($A280,Data_Analitik!$AL$2:$AL$351,0)),""))</f>
        <v>8.6206897836307E-2</v>
      </c>
      <c r="I280" s="97">
        <f>IF($A280="","",IFERROR(INDEX(Data_Analitik!$V$2:$V$351,MATCH($A280,Data_Analitik!$AL$2:$AL$351,0)),""))</f>
        <v>0</v>
      </c>
      <c r="J280" s="97">
        <f>IF($A280="","",IFERROR(INDEX(Data_Analitik!$X$2:$X$351,MATCH($A280,Data_Analitik!$AL$2:$AL$351,0)),""))</f>
        <v>0.91379305412029399</v>
      </c>
      <c r="K280" s="97">
        <f>IF($A280="","",IFERROR(INDEX(Data_Analitik!$Z$2:$Z$351,MATCH($A280,Data_Analitik!$AL$2:$AL$351,0)),""))</f>
        <v>8.6206897836307E-2</v>
      </c>
      <c r="L280" s="33" t="str">
        <f>IF($A280="","",IFERROR(INDEX(Data_Analitik!$AB$2:$AB$351,MATCH($A280,Data_Analitik!$AL$2:$AL$351,0)),""))</f>
        <v>Relatif Mantap</v>
      </c>
    </row>
    <row r="281" spans="1:12" ht="21.95" customHeight="1" x14ac:dyDescent="0.25">
      <c r="A281" s="32">
        <f>IF(ROW()-9&lt;=SUM(Data_Analitik!$AK$2:$AK$351),ROW()-9,"")</f>
        <v>272</v>
      </c>
      <c r="B281" s="99" t="str">
        <f>IF($A281="","",IFERROR(INDEX(Data_Analitik!$B$2:$B$351,MATCH($A281,Data_Analitik!$AL$2:$AL$351,0)),""))</f>
        <v>272</v>
      </c>
      <c r="C281" s="101" t="str">
        <f>IF($A281="","",IFERROR(INDEX(Data_Analitik!$C$2:$C$351,MATCH($A281,Data_Analitik!$AL$2:$AL$351,0)),""))</f>
        <v>Tanuhi - Hulu Banyu</v>
      </c>
      <c r="D281" s="101" t="str">
        <f>IF($A281="","",IFERROR(INDEX(Data_Analitik!$D$2:$D$351,MATCH($A281,Data_Analitik!$AL$2:$AL$351,0)),""))</f>
        <v>Loksado</v>
      </c>
      <c r="E281" s="100">
        <f>IF($A281="","",IFERROR(INDEX(Data_Analitik!$E$2:$E$351,MATCH($A281,Data_Analitik!$AL$2:$AL$351,0)),""))</f>
        <v>0.66</v>
      </c>
      <c r="F281" s="97">
        <f>IF($A281="","",IFERROR(INDEX(Data_Analitik!$P$2:$P$351,MATCH($A281,Data_Analitik!$AL$2:$AL$351,0)),""))</f>
        <v>0</v>
      </c>
      <c r="G281" s="97">
        <f>IF($A281="","",IFERROR(INDEX(Data_Analitik!$R$2:$R$351,MATCH($A281,Data_Analitik!$AL$2:$AL$351,0)),""))</f>
        <v>0.3030303075458064</v>
      </c>
      <c r="H281" s="97">
        <f>IF($A281="","",IFERROR(INDEX(Data_Analitik!$T$2:$T$351,MATCH($A281,Data_Analitik!$AL$2:$AL$351,0)),""))</f>
        <v>0.6060606150916128</v>
      </c>
      <c r="I281" s="97">
        <f>IF($A281="","",IFERROR(INDEX(Data_Analitik!$V$2:$V$351,MATCH($A281,Data_Analitik!$AL$2:$AL$351,0)),""))</f>
        <v>9.090908887711438E-2</v>
      </c>
      <c r="J281" s="97">
        <f>IF($A281="","",IFERROR(INDEX(Data_Analitik!$X$2:$X$351,MATCH($A281,Data_Analitik!$AL$2:$AL$351,0)),""))</f>
        <v>0.3030303075458064</v>
      </c>
      <c r="K281" s="97">
        <f>IF($A281="","",IFERROR(INDEX(Data_Analitik!$Z$2:$Z$351,MATCH($A281,Data_Analitik!$AL$2:$AL$351,0)),""))</f>
        <v>0.69696970396872715</v>
      </c>
      <c r="L281" s="33" t="str">
        <f>IF($A281="","",IFERROR(INDEX(Data_Analitik!$AB$2:$AB$351,MATCH($A281,Data_Analitik!$AL$2:$AL$351,0)),""))</f>
        <v>Tidak Mantap Tinggi</v>
      </c>
    </row>
    <row r="282" spans="1:12" ht="21.95" customHeight="1" x14ac:dyDescent="0.25">
      <c r="A282" s="32">
        <f>IF(ROW()-9&lt;=SUM(Data_Analitik!$AK$2:$AK$351),ROW()-9,"")</f>
        <v>273</v>
      </c>
      <c r="B282" s="99" t="str">
        <f>IF($A282="","",IFERROR(INDEX(Data_Analitik!$B$2:$B$351,MATCH($A282,Data_Analitik!$AL$2:$AL$351,0)),""))</f>
        <v>273</v>
      </c>
      <c r="C282" s="101" t="str">
        <f>IF($A282="","",IFERROR(INDEX(Data_Analitik!$C$2:$C$351,MATCH($A282,Data_Analitik!$AL$2:$AL$351,0)),""))</f>
        <v>Hulu Banyu - Datar Mangkung - Tumingki</v>
      </c>
      <c r="D282" s="101" t="str">
        <f>IF($A282="","",IFERROR(INDEX(Data_Analitik!$D$2:$D$351,MATCH($A282,Data_Analitik!$AL$2:$AL$351,0)),""))</f>
        <v>Loksado</v>
      </c>
      <c r="E282" s="100">
        <f>IF($A282="","",IFERROR(INDEX(Data_Analitik!$E$2:$E$351,MATCH($A282,Data_Analitik!$AL$2:$AL$351,0)),""))</f>
        <v>7</v>
      </c>
      <c r="F282" s="97">
        <f>IF($A282="","",IFERROR(INDEX(Data_Analitik!$P$2:$P$351,MATCH($A282,Data_Analitik!$AL$2:$AL$351,0)),""))</f>
        <v>0</v>
      </c>
      <c r="G282" s="97">
        <f>IF($A282="","",IFERROR(INDEX(Data_Analitik!$R$2:$R$351,MATCH($A282,Data_Analitik!$AL$2:$AL$351,0)),""))</f>
        <v>0.67142854418073383</v>
      </c>
      <c r="H282" s="97">
        <f>IF($A282="","",IFERROR(INDEX(Data_Analitik!$T$2:$T$351,MATCH($A282,Data_Analitik!$AL$2:$AL$351,0)),""))</f>
        <v>0.27142856802259174</v>
      </c>
      <c r="I282" s="97">
        <f>IF($A282="","",IFERROR(INDEX(Data_Analitik!$V$2:$V$351,MATCH($A282,Data_Analitik!$AL$2:$AL$351,0)),""))</f>
        <v>5.7142857994352071E-2</v>
      </c>
      <c r="J282" s="97">
        <f>IF($A282="","",IFERROR(INDEX(Data_Analitik!$X$2:$X$351,MATCH($A282,Data_Analitik!$AL$2:$AL$351,0)),""))</f>
        <v>0.67142854418073383</v>
      </c>
      <c r="K282" s="97">
        <f>IF($A282="","",IFERROR(INDEX(Data_Analitik!$Z$2:$Z$351,MATCH($A282,Data_Analitik!$AL$2:$AL$351,0)),""))</f>
        <v>0.32857142601694378</v>
      </c>
      <c r="L282" s="33" t="str">
        <f>IF($A282="","",IFERROR(INDEX(Data_Analitik!$AB$2:$AB$351,MATCH($A282,Data_Analitik!$AL$2:$AL$351,0)),""))</f>
        <v>Tidak Mantap Sedang</v>
      </c>
    </row>
    <row r="283" spans="1:12" ht="21.95" customHeight="1" x14ac:dyDescent="0.25">
      <c r="A283" s="32">
        <f>IF(ROW()-9&lt;=SUM(Data_Analitik!$AK$2:$AK$351),ROW()-9,"")</f>
        <v>274</v>
      </c>
      <c r="B283" s="99" t="str">
        <f>IF($A283="","",IFERROR(INDEX(Data_Analitik!$B$2:$B$351,MATCH($A283,Data_Analitik!$AL$2:$AL$351,0)),""))</f>
        <v>274</v>
      </c>
      <c r="C283" s="101" t="str">
        <f>IF($A283="","",IFERROR(INDEX(Data_Analitik!$C$2:$C$351,MATCH($A283,Data_Analitik!$AL$2:$AL$351,0)),""))</f>
        <v>Lambuk - Ds. Tumingki</v>
      </c>
      <c r="D283" s="101" t="str">
        <f>IF($A283="","",IFERROR(INDEX(Data_Analitik!$D$2:$D$351,MATCH($A283,Data_Analitik!$AL$2:$AL$351,0)),""))</f>
        <v>Loksado</v>
      </c>
      <c r="E283" s="100">
        <f>IF($A283="","",IFERROR(INDEX(Data_Analitik!$E$2:$E$351,MATCH($A283,Data_Analitik!$AL$2:$AL$351,0)),""))</f>
        <v>0.67</v>
      </c>
      <c r="F283" s="97">
        <f>IF($A283="","",IFERROR(INDEX(Data_Analitik!$P$2:$P$351,MATCH($A283,Data_Analitik!$AL$2:$AL$351,0)),""))</f>
        <v>0</v>
      </c>
      <c r="G283" s="97">
        <f>IF($A283="","",IFERROR(INDEX(Data_Analitik!$R$2:$R$351,MATCH($A283,Data_Analitik!$AL$2:$AL$351,0)),""))</f>
        <v>0</v>
      </c>
      <c r="H283" s="97">
        <f>IF($A283="","",IFERROR(INDEX(Data_Analitik!$T$2:$T$351,MATCH($A283,Data_Analitik!$AL$2:$AL$351,0)),""))</f>
        <v>1.0000000249094037</v>
      </c>
      <c r="I283" s="97">
        <f>IF($A283="","",IFERROR(INDEX(Data_Analitik!$V$2:$V$351,MATCH($A283,Data_Analitik!$AL$2:$AL$351,0)),""))</f>
        <v>0</v>
      </c>
      <c r="J283" s="97">
        <f>IF($A283="","",IFERROR(INDEX(Data_Analitik!$X$2:$X$351,MATCH($A283,Data_Analitik!$AL$2:$AL$351,0)),""))</f>
        <v>0</v>
      </c>
      <c r="K283" s="97">
        <f>IF($A283="","",IFERROR(INDEX(Data_Analitik!$Z$2:$Z$351,MATCH($A283,Data_Analitik!$AL$2:$AL$351,0)),""))</f>
        <v>1.0000000249094037</v>
      </c>
      <c r="L283" s="33" t="str">
        <f>IF($A283="","",IFERROR(INDEX(Data_Analitik!$AB$2:$AB$351,MATCH($A283,Data_Analitik!$AL$2:$AL$351,0)),""))</f>
        <v>Tidak Mantap Tinggi</v>
      </c>
    </row>
    <row r="284" spans="1:12" ht="21.95" customHeight="1" x14ac:dyDescent="0.25">
      <c r="A284" s="32">
        <f>IF(ROW()-9&lt;=SUM(Data_Analitik!$AK$2:$AK$351),ROW()-9,"")</f>
        <v>275</v>
      </c>
      <c r="B284" s="99" t="str">
        <f>IF($A284="","",IFERROR(INDEX(Data_Analitik!$B$2:$B$351,MATCH($A284,Data_Analitik!$AL$2:$AL$351,0)),""))</f>
        <v>275</v>
      </c>
      <c r="C284" s="101" t="str">
        <f>IF($A284="","",IFERROR(INDEX(Data_Analitik!$C$2:$C$351,MATCH($A284,Data_Analitik!$AL$2:$AL$351,0)),""))</f>
        <v>Malaris - Loapanggang</v>
      </c>
      <c r="D284" s="101" t="str">
        <f>IF($A284="","",IFERROR(INDEX(Data_Analitik!$D$2:$D$351,MATCH($A284,Data_Analitik!$AL$2:$AL$351,0)),""))</f>
        <v>Loksado</v>
      </c>
      <c r="E284" s="100">
        <f>IF($A284="","",IFERROR(INDEX(Data_Analitik!$E$2:$E$351,MATCH($A284,Data_Analitik!$AL$2:$AL$351,0)),""))</f>
        <v>1.58</v>
      </c>
      <c r="F284" s="97">
        <f>IF($A284="","",IFERROR(INDEX(Data_Analitik!$P$2:$P$351,MATCH($A284,Data_Analitik!$AL$2:$AL$351,0)),""))</f>
        <v>0</v>
      </c>
      <c r="G284" s="97">
        <f>IF($A284="","",IFERROR(INDEX(Data_Analitik!$R$2:$R$351,MATCH($A284,Data_Analitik!$AL$2:$AL$351,0)),""))</f>
        <v>6.3291140183617797E-2</v>
      </c>
      <c r="H284" s="97">
        <f>IF($A284="","",IFERROR(INDEX(Data_Analitik!$T$2:$T$351,MATCH($A284,Data_Analitik!$AL$2:$AL$351,0)),""))</f>
        <v>0.93670887283132043</v>
      </c>
      <c r="I284" s="97">
        <f>IF($A284="","",IFERROR(INDEX(Data_Analitik!$V$2:$V$351,MATCH($A284,Data_Analitik!$AL$2:$AL$351,0)),""))</f>
        <v>0</v>
      </c>
      <c r="J284" s="97">
        <f>IF($A284="","",IFERROR(INDEX(Data_Analitik!$X$2:$X$351,MATCH($A284,Data_Analitik!$AL$2:$AL$351,0)),""))</f>
        <v>6.3291140183617797E-2</v>
      </c>
      <c r="K284" s="97">
        <f>IF($A284="","",IFERROR(INDEX(Data_Analitik!$Z$2:$Z$351,MATCH($A284,Data_Analitik!$AL$2:$AL$351,0)),""))</f>
        <v>0.93670887283132043</v>
      </c>
      <c r="L284" s="33" t="str">
        <f>IF($A284="","",IFERROR(INDEX(Data_Analitik!$AB$2:$AB$351,MATCH($A284,Data_Analitik!$AL$2:$AL$351,0)),""))</f>
        <v>Tidak Mantap Tinggi</v>
      </c>
    </row>
    <row r="285" spans="1:12" ht="21.95" customHeight="1" x14ac:dyDescent="0.25">
      <c r="A285" s="32">
        <f>IF(ROW()-9&lt;=SUM(Data_Analitik!$AK$2:$AK$351),ROW()-9,"")</f>
        <v>276</v>
      </c>
      <c r="B285" s="99" t="str">
        <f>IF($A285="","",IFERROR(INDEX(Data_Analitik!$B$2:$B$351,MATCH($A285,Data_Analitik!$AL$2:$AL$351,0)),""))</f>
        <v>276</v>
      </c>
      <c r="C285" s="101" t="str">
        <f>IF($A285="","",IFERROR(INDEX(Data_Analitik!$C$2:$C$351,MATCH($A285,Data_Analitik!$AL$2:$AL$351,0)),""))</f>
        <v>Jl. Haratai 3 (Balai Kedayang) / SDN Haratai 3</v>
      </c>
      <c r="D285" s="101" t="str">
        <f>IF($A285="","",IFERROR(INDEX(Data_Analitik!$D$2:$D$351,MATCH($A285,Data_Analitik!$AL$2:$AL$351,0)),""))</f>
        <v>Loksado</v>
      </c>
      <c r="E285" s="100">
        <f>IF($A285="","",IFERROR(INDEX(Data_Analitik!$E$2:$E$351,MATCH($A285,Data_Analitik!$AL$2:$AL$351,0)),""))</f>
        <v>5.25</v>
      </c>
      <c r="F285" s="97">
        <f>IF($A285="","",IFERROR(INDEX(Data_Analitik!$P$2:$P$351,MATCH($A285,Data_Analitik!$AL$2:$AL$351,0)),""))</f>
        <v>0.19999999091738746</v>
      </c>
      <c r="G285" s="97">
        <f>IF($A285="","",IFERROR(INDEX(Data_Analitik!$R$2:$R$351,MATCH($A285,Data_Analitik!$AL$2:$AL$351,0)),""))</f>
        <v>0.34285713377453031</v>
      </c>
      <c r="H285" s="97">
        <f>IF($A285="","",IFERROR(INDEX(Data_Analitik!$T$2:$T$351,MATCH($A285,Data_Analitik!$AL$2:$AL$351,0)),""))</f>
        <v>0.32380953289213632</v>
      </c>
      <c r="I285" s="97">
        <f>IF($A285="","",IFERROR(INDEX(Data_Analitik!$V$2:$V$351,MATCH($A285,Data_Analitik!$AL$2:$AL$351,0)),""))</f>
        <v>0.13333333106268019</v>
      </c>
      <c r="J285" s="97">
        <f>IF($A285="","",IFERROR(INDEX(Data_Analitik!$X$2:$X$351,MATCH($A285,Data_Analitik!$AL$2:$AL$351,0)),""))</f>
        <v>0.54285712469191783</v>
      </c>
      <c r="K285" s="97">
        <f>IF($A285="","",IFERROR(INDEX(Data_Analitik!$Z$2:$Z$351,MATCH($A285,Data_Analitik!$AL$2:$AL$351,0)),""))</f>
        <v>0.45714286395481657</v>
      </c>
      <c r="L285" s="33" t="str">
        <f>IF($A285="","",IFERROR(INDEX(Data_Analitik!$AB$2:$AB$351,MATCH($A285,Data_Analitik!$AL$2:$AL$351,0)),""))</f>
        <v>Tidak Mantap Sedang</v>
      </c>
    </row>
    <row r="286" spans="1:12" ht="21.95" customHeight="1" x14ac:dyDescent="0.25">
      <c r="A286" s="32">
        <f>IF(ROW()-9&lt;=SUM(Data_Analitik!$AK$2:$AK$351),ROW()-9,"")</f>
        <v>277</v>
      </c>
      <c r="B286" s="99" t="str">
        <f>IF($A286="","",IFERROR(INDEX(Data_Analitik!$B$2:$B$351,MATCH($A286,Data_Analitik!$AL$2:$AL$351,0)),""))</f>
        <v>277</v>
      </c>
      <c r="C286" s="101" t="str">
        <f>IF($A286="","",IFERROR(INDEX(Data_Analitik!$C$2:$C$351,MATCH($A286,Data_Analitik!$AL$2:$AL$351,0)),""))</f>
        <v>Jl. Haratai 2 (Balai Ujung Atas) SDN Haratai2</v>
      </c>
      <c r="D286" s="101" t="str">
        <f>IF($A286="","",IFERROR(INDEX(Data_Analitik!$D$2:$D$351,MATCH($A286,Data_Analitik!$AL$2:$AL$351,0)),""))</f>
        <v>Loksado</v>
      </c>
      <c r="E286" s="100">
        <f>IF($A286="","",IFERROR(INDEX(Data_Analitik!$E$2:$E$351,MATCH($A286,Data_Analitik!$AL$2:$AL$351,0)),""))</f>
        <v>2.7</v>
      </c>
      <c r="F286" s="97">
        <f>IF($A286="","",IFERROR(INDEX(Data_Analitik!$P$2:$P$351,MATCH($A286,Data_Analitik!$AL$2:$AL$351,0)),""))</f>
        <v>0</v>
      </c>
      <c r="G286" s="97">
        <f>IF($A286="","",IFERROR(INDEX(Data_Analitik!$R$2:$R$351,MATCH($A286,Data_Analitik!$AL$2:$AL$351,0)),""))</f>
        <v>0.77777774245650677</v>
      </c>
      <c r="H286" s="97">
        <f>IF($A286="","",IFERROR(INDEX(Data_Analitik!$T$2:$T$351,MATCH($A286,Data_Analitik!$AL$2:$AL$351,0)),""))</f>
        <v>7.4074075177863782E-2</v>
      </c>
      <c r="I286" s="97">
        <f>IF($A286="","",IFERROR(INDEX(Data_Analitik!$V$2:$V$351,MATCH($A286,Data_Analitik!$AL$2:$AL$351,0)),""))</f>
        <v>0.14814815035572756</v>
      </c>
      <c r="J286" s="97">
        <f>IF($A286="","",IFERROR(INDEX(Data_Analitik!$X$2:$X$351,MATCH($A286,Data_Analitik!$AL$2:$AL$351,0)),""))</f>
        <v>0.77777774245650677</v>
      </c>
      <c r="K286" s="97">
        <f>IF($A286="","",IFERROR(INDEX(Data_Analitik!$Z$2:$Z$351,MATCH($A286,Data_Analitik!$AL$2:$AL$351,0)),""))</f>
        <v>0.22222222553359136</v>
      </c>
      <c r="L286" s="33" t="str">
        <f>IF($A286="","",IFERROR(INDEX(Data_Analitik!$AB$2:$AB$351,MATCH($A286,Data_Analitik!$AL$2:$AL$351,0)),""))</f>
        <v>Tidak Mantap Sedang</v>
      </c>
    </row>
    <row r="287" spans="1:12" ht="21.95" customHeight="1" x14ac:dyDescent="0.25">
      <c r="A287" s="32">
        <f>IF(ROW()-9&lt;=SUM(Data_Analitik!$AK$2:$AK$351),ROW()-9,"")</f>
        <v>278</v>
      </c>
      <c r="B287" s="99" t="str">
        <f>IF($A287="","",IFERROR(INDEX(Data_Analitik!$B$2:$B$351,MATCH($A287,Data_Analitik!$AL$2:$AL$351,0)),""))</f>
        <v>278</v>
      </c>
      <c r="C287" s="101" t="str">
        <f>IF($A287="","",IFERROR(INDEX(Data_Analitik!$C$2:$C$351,MATCH($A287,Data_Analitik!$AL$2:$AL$351,0)),""))</f>
        <v>Jl. Bubuih (Ds. Halunuk) - Kandihin</v>
      </c>
      <c r="D287" s="101" t="str">
        <f>IF($A287="","",IFERROR(INDEX(Data_Analitik!$D$2:$D$351,MATCH($A287,Data_Analitik!$AL$2:$AL$351,0)),""))</f>
        <v>Loksado</v>
      </c>
      <c r="E287" s="100">
        <f>IF($A287="","",IFERROR(INDEX(Data_Analitik!$E$2:$E$351,MATCH($A287,Data_Analitik!$AL$2:$AL$351,0)),""))</f>
        <v>2.93</v>
      </c>
      <c r="F287" s="97">
        <f>IF($A287="","",IFERROR(INDEX(Data_Analitik!$P$2:$P$351,MATCH($A287,Data_Analitik!$AL$2:$AL$351,0)),""))</f>
        <v>0</v>
      </c>
      <c r="G287" s="97">
        <f>IF($A287="","",IFERROR(INDEX(Data_Analitik!$R$2:$R$351,MATCH($A287,Data_Analitik!$AL$2:$AL$351,0)),""))</f>
        <v>0</v>
      </c>
      <c r="H287" s="97">
        <f>IF($A287="","",IFERROR(INDEX(Data_Analitik!$T$2:$T$351,MATCH($A287,Data_Analitik!$AL$2:$AL$351,0)),""))</f>
        <v>0.76109215668037067</v>
      </c>
      <c r="I287" s="97">
        <f>IF($A287="","",IFERROR(INDEX(Data_Analitik!$V$2:$V$351,MATCH($A287,Data_Analitik!$AL$2:$AL$351,0)),""))</f>
        <v>0.23890784576077509</v>
      </c>
      <c r="J287" s="97">
        <f>IF($A287="","",IFERROR(INDEX(Data_Analitik!$X$2:$X$351,MATCH($A287,Data_Analitik!$AL$2:$AL$351,0)),""))</f>
        <v>0</v>
      </c>
      <c r="K287" s="97">
        <f>IF($A287="","",IFERROR(INDEX(Data_Analitik!$Z$2:$Z$351,MATCH($A287,Data_Analitik!$AL$2:$AL$351,0)),""))</f>
        <v>1.0000000024411457</v>
      </c>
      <c r="L287" s="33" t="str">
        <f>IF($A287="","",IFERROR(INDEX(Data_Analitik!$AB$2:$AB$351,MATCH($A287,Data_Analitik!$AL$2:$AL$351,0)),""))</f>
        <v>Rusak Berat Dominan</v>
      </c>
    </row>
    <row r="288" spans="1:12" ht="21.95" customHeight="1" x14ac:dyDescent="0.25">
      <c r="A288" s="32">
        <f>IF(ROW()-9&lt;=SUM(Data_Analitik!$AK$2:$AK$351),ROW()-9,"")</f>
        <v>279</v>
      </c>
      <c r="B288" s="99" t="str">
        <f>IF($A288="","",IFERROR(INDEX(Data_Analitik!$B$2:$B$351,MATCH($A288,Data_Analitik!$AL$2:$AL$351,0)),""))</f>
        <v>279</v>
      </c>
      <c r="C288" s="101" t="str">
        <f>IF($A288="","",IFERROR(INDEX(Data_Analitik!$C$2:$C$351,MATCH($A288,Data_Analitik!$AL$2:$AL$351,0)),""))</f>
        <v>Jl. Makam Habib - Desa Lumpangi</v>
      </c>
      <c r="D288" s="101" t="str">
        <f>IF($A288="","",IFERROR(INDEX(Data_Analitik!$D$2:$D$351,MATCH($A288,Data_Analitik!$AL$2:$AL$351,0)),""))</f>
        <v>Loksado</v>
      </c>
      <c r="E288" s="100">
        <f>IF($A288="","",IFERROR(INDEX(Data_Analitik!$E$2:$E$351,MATCH($A288,Data_Analitik!$AL$2:$AL$351,0)),""))</f>
        <v>0.38</v>
      </c>
      <c r="F288" s="97">
        <f>IF($A288="","",IFERROR(INDEX(Data_Analitik!$P$2:$P$351,MATCH($A288,Data_Analitik!$AL$2:$AL$351,0)),""))</f>
        <v>0</v>
      </c>
      <c r="G288" s="97">
        <f>IF($A288="","",IFERROR(INDEX(Data_Analitik!$R$2:$R$351,MATCH($A288,Data_Analitik!$AL$2:$AL$351,0)),""))</f>
        <v>0.99999998745165375</v>
      </c>
      <c r="H288" s="97">
        <f>IF($A288="","",IFERROR(INDEX(Data_Analitik!$T$2:$T$351,MATCH($A288,Data_Analitik!$AL$2:$AL$351,0)),""))</f>
        <v>0</v>
      </c>
      <c r="I288" s="97">
        <f>IF($A288="","",IFERROR(INDEX(Data_Analitik!$V$2:$V$351,MATCH($A288,Data_Analitik!$AL$2:$AL$351,0)),""))</f>
        <v>0</v>
      </c>
      <c r="J288" s="97">
        <f>IF($A288="","",IFERROR(INDEX(Data_Analitik!$X$2:$X$351,MATCH($A288,Data_Analitik!$AL$2:$AL$351,0)),""))</f>
        <v>0.99999998745165375</v>
      </c>
      <c r="K288" s="97">
        <f>IF($A288="","",IFERROR(INDEX(Data_Analitik!$Z$2:$Z$351,MATCH($A288,Data_Analitik!$AL$2:$AL$351,0)),""))</f>
        <v>0</v>
      </c>
      <c r="L288" s="33" t="str">
        <f>IF($A288="","",IFERROR(INDEX(Data_Analitik!$AB$2:$AB$351,MATCH($A288,Data_Analitik!$AL$2:$AL$351,0)),""))</f>
        <v>Relatif Mantap</v>
      </c>
    </row>
    <row r="289" spans="1:12" ht="21.95" customHeight="1" x14ac:dyDescent="0.25">
      <c r="A289" s="32">
        <f>IF(ROW()-9&lt;=SUM(Data_Analitik!$AK$2:$AK$351),ROW()-9,"")</f>
        <v>280</v>
      </c>
      <c r="B289" s="99" t="str">
        <f>IF($A289="","",IFERROR(INDEX(Data_Analitik!$B$2:$B$351,MATCH($A289,Data_Analitik!$AL$2:$AL$351,0)),""))</f>
        <v>280</v>
      </c>
      <c r="C289" s="101" t="str">
        <f>IF($A289="","",IFERROR(INDEX(Data_Analitik!$C$2:$C$351,MATCH($A289,Data_Analitik!$AL$2:$AL$351,0)),""))</f>
        <v>Jl. Datar Belimbing - Muara Kitar</v>
      </c>
      <c r="D289" s="101" t="str">
        <f>IF($A289="","",IFERROR(INDEX(Data_Analitik!$D$2:$D$351,MATCH($A289,Data_Analitik!$AL$2:$AL$351,0)),""))</f>
        <v>Loksado</v>
      </c>
      <c r="E289" s="100">
        <f>IF($A289="","",IFERROR(INDEX(Data_Analitik!$E$2:$E$351,MATCH($A289,Data_Analitik!$AL$2:$AL$351,0)),""))</f>
        <v>4.8600000000000003</v>
      </c>
      <c r="F289" s="97">
        <f>IF($A289="","",IFERROR(INDEX(Data_Analitik!$P$2:$P$351,MATCH($A289,Data_Analitik!$AL$2:$AL$351,0)),""))</f>
        <v>0</v>
      </c>
      <c r="G289" s="97">
        <f>IF($A289="","",IFERROR(INDEX(Data_Analitik!$R$2:$R$351,MATCH($A289,Data_Analitik!$AL$2:$AL$351,0)),""))</f>
        <v>0.56790123260560832</v>
      </c>
      <c r="H289" s="97">
        <f>IF($A289="","",IFERROR(INDEX(Data_Analitik!$T$2:$T$351,MATCH($A289,Data_Analitik!$AL$2:$AL$351,0)),""))</f>
        <v>6.1728397514594434E-2</v>
      </c>
      <c r="I289" s="97">
        <f>IF($A289="","",IFERROR(INDEX(Data_Analitik!$V$2:$V$351,MATCH($A289,Data_Analitik!$AL$2:$AL$351,0)),""))</f>
        <v>0.37037036055890621</v>
      </c>
      <c r="J289" s="97">
        <f>IF($A289="","",IFERROR(INDEX(Data_Analitik!$X$2:$X$351,MATCH($A289,Data_Analitik!$AL$2:$AL$351,0)),""))</f>
        <v>0.56790123260560832</v>
      </c>
      <c r="K289" s="97">
        <f>IF($A289="","",IFERROR(INDEX(Data_Analitik!$Z$2:$Z$351,MATCH($A289,Data_Analitik!$AL$2:$AL$351,0)),""))</f>
        <v>0.43209875807350062</v>
      </c>
      <c r="L289" s="33" t="str">
        <f>IF($A289="","",IFERROR(INDEX(Data_Analitik!$AB$2:$AB$351,MATCH($A289,Data_Analitik!$AL$2:$AL$351,0)),""))</f>
        <v>Rusak Berat Dominan</v>
      </c>
    </row>
    <row r="290" spans="1:12" ht="21.95" customHeight="1" x14ac:dyDescent="0.25">
      <c r="A290" s="32">
        <f>IF(ROW()-9&lt;=SUM(Data_Analitik!$AK$2:$AK$351),ROW()-9,"")</f>
        <v>281</v>
      </c>
      <c r="B290" s="99" t="str">
        <f>IF($A290="","",IFERROR(INDEX(Data_Analitik!$B$2:$B$351,MATCH($A290,Data_Analitik!$AL$2:$AL$351,0)),""))</f>
        <v>281</v>
      </c>
      <c r="C290" s="101" t="str">
        <f>IF($A290="","",IFERROR(INDEX(Data_Analitik!$C$2:$C$351,MATCH($A290,Data_Analitik!$AL$2:$AL$351,0)),""))</f>
        <v>Jl. Tanginau - Balai Haruyan</v>
      </c>
      <c r="D290" s="101" t="str">
        <f>IF($A290="","",IFERROR(INDEX(Data_Analitik!$D$2:$D$351,MATCH($A290,Data_Analitik!$AL$2:$AL$351,0)),""))</f>
        <v>Loksado</v>
      </c>
      <c r="E290" s="100">
        <f>IF($A290="","",IFERROR(INDEX(Data_Analitik!$E$2:$E$351,MATCH($A290,Data_Analitik!$AL$2:$AL$351,0)),""))</f>
        <v>1.1599999999999999</v>
      </c>
      <c r="F290" s="97">
        <f>IF($A290="","",IFERROR(INDEX(Data_Analitik!$P$2:$P$351,MATCH($A290,Data_Analitik!$AL$2:$AL$351,0)),""))</f>
        <v>0</v>
      </c>
      <c r="G290" s="97">
        <f>IF($A290="","",IFERROR(INDEX(Data_Analitik!$R$2:$R$351,MATCH($A290,Data_Analitik!$AL$2:$AL$351,0)),""))</f>
        <v>0.31034483991820239</v>
      </c>
      <c r="H290" s="97">
        <f>IF($A290="","",IFERROR(INDEX(Data_Analitik!$T$2:$T$351,MATCH($A290,Data_Analitik!$AL$2:$AL$351,0)),""))</f>
        <v>0.689655182690456</v>
      </c>
      <c r="I290" s="97">
        <f>IF($A290="","",IFERROR(INDEX(Data_Analitik!$V$2:$V$351,MATCH($A290,Data_Analitik!$AL$2:$AL$351,0)),""))</f>
        <v>0</v>
      </c>
      <c r="J290" s="97">
        <f>IF($A290="","",IFERROR(INDEX(Data_Analitik!$X$2:$X$351,MATCH($A290,Data_Analitik!$AL$2:$AL$351,0)),""))</f>
        <v>0.31034483991820239</v>
      </c>
      <c r="K290" s="97">
        <f>IF($A290="","",IFERROR(INDEX(Data_Analitik!$Z$2:$Z$351,MATCH($A290,Data_Analitik!$AL$2:$AL$351,0)),""))</f>
        <v>0.689655182690456</v>
      </c>
      <c r="L290" s="33" t="str">
        <f>IF($A290="","",IFERROR(INDEX(Data_Analitik!$AB$2:$AB$351,MATCH($A290,Data_Analitik!$AL$2:$AL$351,0)),""))</f>
        <v>Tidak Mantap Tinggi</v>
      </c>
    </row>
    <row r="291" spans="1:12" ht="21.95" customHeight="1" x14ac:dyDescent="0.25">
      <c r="A291" s="32">
        <f>IF(ROW()-9&lt;=SUM(Data_Analitik!$AK$2:$AK$351),ROW()-9,"")</f>
        <v>282</v>
      </c>
      <c r="B291" s="99" t="str">
        <f>IF($A291="","",IFERROR(INDEX(Data_Analitik!$B$2:$B$351,MATCH($A291,Data_Analitik!$AL$2:$AL$351,0)),""))</f>
        <v>282</v>
      </c>
      <c r="C291" s="101" t="str">
        <f>IF($A291="","",IFERROR(INDEX(Data_Analitik!$C$2:$C$351,MATCH($A291,Data_Analitik!$AL$2:$AL$351,0)),""))</f>
        <v>Jl. Tataian - (Ds. Ulang) - Loksado</v>
      </c>
      <c r="D291" s="101" t="str">
        <f>IF($A291="","",IFERROR(INDEX(Data_Analitik!$D$2:$D$351,MATCH($A291,Data_Analitik!$AL$2:$AL$351,0)),""))</f>
        <v>Loksado</v>
      </c>
      <c r="E291" s="100">
        <f>IF($A291="","",IFERROR(INDEX(Data_Analitik!$E$2:$E$351,MATCH($A291,Data_Analitik!$AL$2:$AL$351,0)),""))</f>
        <v>0.4</v>
      </c>
      <c r="F291" s="97">
        <f>IF($A291="","",IFERROR(INDEX(Data_Analitik!$P$2:$P$351,MATCH($A291,Data_Analitik!$AL$2:$AL$351,0)),""))</f>
        <v>0</v>
      </c>
      <c r="G291" s="97">
        <f>IF($A291="","",IFERROR(INDEX(Data_Analitik!$R$2:$R$351,MATCH($A291,Data_Analitik!$AL$2:$AL$351,0)),""))</f>
        <v>0.75000002980232239</v>
      </c>
      <c r="H291" s="97">
        <f>IF($A291="","",IFERROR(INDEX(Data_Analitik!$T$2:$T$351,MATCH($A291,Data_Analitik!$AL$2:$AL$351,0)),""))</f>
        <v>0</v>
      </c>
      <c r="I291" s="97">
        <f>IF($A291="","",IFERROR(INDEX(Data_Analitik!$V$2:$V$351,MATCH($A291,Data_Analitik!$AL$2:$AL$351,0)),""))</f>
        <v>0.2500000037252903</v>
      </c>
      <c r="J291" s="97">
        <f>IF($A291="","",IFERROR(INDEX(Data_Analitik!$X$2:$X$351,MATCH($A291,Data_Analitik!$AL$2:$AL$351,0)),""))</f>
        <v>0.75000002980232239</v>
      </c>
      <c r="K291" s="97">
        <f>IF($A291="","",IFERROR(INDEX(Data_Analitik!$Z$2:$Z$351,MATCH($A291,Data_Analitik!$AL$2:$AL$351,0)),""))</f>
        <v>0.2500000037252903</v>
      </c>
      <c r="L291" s="33" t="str">
        <f>IF($A291="","",IFERROR(INDEX(Data_Analitik!$AB$2:$AB$351,MATCH($A291,Data_Analitik!$AL$2:$AL$351,0)),""))</f>
        <v>Rusak Berat Dominan</v>
      </c>
    </row>
    <row r="292" spans="1:12" ht="21.95" customHeight="1" x14ac:dyDescent="0.25">
      <c r="A292" s="32">
        <f>IF(ROW()-9&lt;=SUM(Data_Analitik!$AK$2:$AK$351),ROW()-9,"")</f>
        <v>283</v>
      </c>
      <c r="B292" s="99" t="str">
        <f>IF($A292="","",IFERROR(INDEX(Data_Analitik!$B$2:$B$351,MATCH($A292,Data_Analitik!$AL$2:$AL$351,0)),""))</f>
        <v>283</v>
      </c>
      <c r="C292" s="101" t="str">
        <f>IF($A292="","",IFERROR(INDEX(Data_Analitik!$C$2:$C$351,MATCH($A292,Data_Analitik!$AL$2:$AL$351,0)),""))</f>
        <v>Jl. Ulang - Kacang Parang</v>
      </c>
      <c r="D292" s="101" t="str">
        <f>IF($A292="","",IFERROR(INDEX(Data_Analitik!$D$2:$D$351,MATCH($A292,Data_Analitik!$AL$2:$AL$351,0)),""))</f>
        <v>Loksado</v>
      </c>
      <c r="E292" s="100">
        <f>IF($A292="","",IFERROR(INDEX(Data_Analitik!$E$2:$E$351,MATCH($A292,Data_Analitik!$AL$2:$AL$351,0)),""))</f>
        <v>1.75</v>
      </c>
      <c r="F292" s="97">
        <f>IF($A292="","",IFERROR(INDEX(Data_Analitik!$P$2:$P$351,MATCH($A292,Data_Analitik!$AL$2:$AL$351,0)),""))</f>
        <v>0</v>
      </c>
      <c r="G292" s="97">
        <f>IF($A292="","",IFERROR(INDEX(Data_Analitik!$R$2:$R$351,MATCH($A292,Data_Analitik!$AL$2:$AL$351,0)),""))</f>
        <v>0.39999999318804058</v>
      </c>
      <c r="H292" s="97">
        <f>IF($A292="","",IFERROR(INDEX(Data_Analitik!$T$2:$T$351,MATCH($A292,Data_Analitik!$AL$2:$AL$351,0)),""))</f>
        <v>0.45714286395481657</v>
      </c>
      <c r="I292" s="97">
        <f>IF($A292="","",IFERROR(INDEX(Data_Analitik!$V$2:$V$351,MATCH($A292,Data_Analitik!$AL$2:$AL$351,0)),""))</f>
        <v>0.14285714285714285</v>
      </c>
      <c r="J292" s="97">
        <f>IF($A292="","",IFERROR(INDEX(Data_Analitik!$X$2:$X$351,MATCH($A292,Data_Analitik!$AL$2:$AL$351,0)),""))</f>
        <v>0.39999999318804058</v>
      </c>
      <c r="K292" s="97">
        <f>IF($A292="","",IFERROR(INDEX(Data_Analitik!$Z$2:$Z$351,MATCH($A292,Data_Analitik!$AL$2:$AL$351,0)),""))</f>
        <v>0.60000000681195942</v>
      </c>
      <c r="L292" s="33" t="str">
        <f>IF($A292="","",IFERROR(INDEX(Data_Analitik!$AB$2:$AB$351,MATCH($A292,Data_Analitik!$AL$2:$AL$351,0)),""))</f>
        <v>Tidak Mantap Tinggi</v>
      </c>
    </row>
    <row r="293" spans="1:12" ht="21.95" customHeight="1" x14ac:dyDescent="0.25">
      <c r="A293" s="32">
        <f>IF(ROW()-9&lt;=SUM(Data_Analitik!$AK$2:$AK$351),ROW()-9,"")</f>
        <v>284</v>
      </c>
      <c r="B293" s="99" t="str">
        <f>IF($A293="","",IFERROR(INDEX(Data_Analitik!$B$2:$B$351,MATCH($A293,Data_Analitik!$AL$2:$AL$351,0)),""))</f>
        <v>284</v>
      </c>
      <c r="C293" s="101" t="str">
        <f>IF($A293="","",IFERROR(INDEX(Data_Analitik!$C$2:$C$351,MATCH($A293,Data_Analitik!$AL$2:$AL$351,0)),""))</f>
        <v>Jl. Kacang Parang (Ulang) - Balai Mawak-Kias</v>
      </c>
      <c r="D293" s="101" t="str">
        <f>IF($A293="","",IFERROR(INDEX(Data_Analitik!$D$2:$D$351,MATCH($A293,Data_Analitik!$AL$2:$AL$351,0)),""))</f>
        <v>Loksado</v>
      </c>
      <c r="E293" s="100">
        <f>IF($A293="","",IFERROR(INDEX(Data_Analitik!$E$2:$E$351,MATCH($A293,Data_Analitik!$AL$2:$AL$351,0)),""))</f>
        <v>2.08</v>
      </c>
      <c r="F293" s="97">
        <f>IF($A293="","",IFERROR(INDEX(Data_Analitik!$P$2:$P$351,MATCH($A293,Data_Analitik!$AL$2:$AL$351,0)),""))</f>
        <v>0</v>
      </c>
      <c r="G293" s="97">
        <f>IF($A293="","",IFERROR(INDEX(Data_Analitik!$R$2:$R$351,MATCH($A293,Data_Analitik!$AL$2:$AL$351,0)),""))</f>
        <v>0.56730766709034253</v>
      </c>
      <c r="H293" s="97">
        <f>IF($A293="","",IFERROR(INDEX(Data_Analitik!$T$2:$T$351,MATCH($A293,Data_Analitik!$AL$2:$AL$351,0)),""))</f>
        <v>0.38461539034660047</v>
      </c>
      <c r="I293" s="97">
        <f>IF($A293="","",IFERROR(INDEX(Data_Analitik!$V$2:$V$351,MATCH($A293,Data_Analitik!$AL$2:$AL$351,0)),""))</f>
        <v>4.8076923793325059E-2</v>
      </c>
      <c r="J293" s="97">
        <f>IF($A293="","",IFERROR(INDEX(Data_Analitik!$X$2:$X$351,MATCH($A293,Data_Analitik!$AL$2:$AL$351,0)),""))</f>
        <v>0.56730766709034253</v>
      </c>
      <c r="K293" s="97">
        <f>IF($A293="","",IFERROR(INDEX(Data_Analitik!$Z$2:$Z$351,MATCH($A293,Data_Analitik!$AL$2:$AL$351,0)),""))</f>
        <v>0.43269231413992548</v>
      </c>
      <c r="L293" s="33" t="str">
        <f>IF($A293="","",IFERROR(INDEX(Data_Analitik!$AB$2:$AB$351,MATCH($A293,Data_Analitik!$AL$2:$AL$351,0)),""))</f>
        <v>Tidak Mantap Sedang</v>
      </c>
    </row>
    <row r="294" spans="1:12" ht="21.95" customHeight="1" x14ac:dyDescent="0.25">
      <c r="A294" s="32">
        <f>IF(ROW()-9&lt;=SUM(Data_Analitik!$AK$2:$AK$351),ROW()-9,"")</f>
        <v>285</v>
      </c>
      <c r="B294" s="99" t="str">
        <f>IF($A294="","",IFERROR(INDEX(Data_Analitik!$B$2:$B$351,MATCH($A294,Data_Analitik!$AL$2:$AL$351,0)),""))</f>
        <v>285</v>
      </c>
      <c r="C294" s="101" t="str">
        <f>IF($A294="","",IFERROR(INDEX(Data_Analitik!$C$2:$C$351,MATCH($A294,Data_Analitik!$AL$2:$AL$351,0)),""))</f>
        <v>Jl. Kacang Parang (Ulang) - Balai Wariung</v>
      </c>
      <c r="D294" s="101" t="str">
        <f>IF($A294="","",IFERROR(INDEX(Data_Analitik!$D$2:$D$351,MATCH($A294,Data_Analitik!$AL$2:$AL$351,0)),""))</f>
        <v>Loksado</v>
      </c>
      <c r="E294" s="100">
        <f>IF($A294="","",IFERROR(INDEX(Data_Analitik!$E$2:$E$351,MATCH($A294,Data_Analitik!$AL$2:$AL$351,0)),""))</f>
        <v>0.83</v>
      </c>
      <c r="F294" s="97">
        <f>IF($A294="","",IFERROR(INDEX(Data_Analitik!$P$2:$P$351,MATCH($A294,Data_Analitik!$AL$2:$AL$351,0)),""))</f>
        <v>0</v>
      </c>
      <c r="G294" s="97">
        <f>IF($A294="","",IFERROR(INDEX(Data_Analitik!$R$2:$R$351,MATCH($A294,Data_Analitik!$AL$2:$AL$351,0)),""))</f>
        <v>0.99999997989240907</v>
      </c>
      <c r="H294" s="97">
        <f>IF($A294="","",IFERROR(INDEX(Data_Analitik!$T$2:$T$351,MATCH($A294,Data_Analitik!$AL$2:$AL$351,0)),""))</f>
        <v>0</v>
      </c>
      <c r="I294" s="97">
        <f>IF($A294="","",IFERROR(INDEX(Data_Analitik!$V$2:$V$351,MATCH($A294,Data_Analitik!$AL$2:$AL$351,0)),""))</f>
        <v>0</v>
      </c>
      <c r="J294" s="97">
        <f>IF($A294="","",IFERROR(INDEX(Data_Analitik!$X$2:$X$351,MATCH($A294,Data_Analitik!$AL$2:$AL$351,0)),""))</f>
        <v>0.99999997989240907</v>
      </c>
      <c r="K294" s="97">
        <f>IF($A294="","",IFERROR(INDEX(Data_Analitik!$Z$2:$Z$351,MATCH($A294,Data_Analitik!$AL$2:$AL$351,0)),""))</f>
        <v>0</v>
      </c>
      <c r="L294" s="33" t="str">
        <f>IF($A294="","",IFERROR(INDEX(Data_Analitik!$AB$2:$AB$351,MATCH($A294,Data_Analitik!$AL$2:$AL$351,0)),""))</f>
        <v>Relatif Mantap</v>
      </c>
    </row>
    <row r="295" spans="1:12" ht="21.95" customHeight="1" x14ac:dyDescent="0.25">
      <c r="A295" s="32">
        <f>IF(ROW()-9&lt;=SUM(Data_Analitik!$AK$2:$AK$351),ROW()-9,"")</f>
        <v>286</v>
      </c>
      <c r="B295" s="99" t="str">
        <f>IF($A295="","",IFERROR(INDEX(Data_Analitik!$B$2:$B$351,MATCH($A295,Data_Analitik!$AL$2:$AL$351,0)),""))</f>
        <v>286</v>
      </c>
      <c r="C295" s="101" t="str">
        <f>IF($A295="","",IFERROR(INDEX(Data_Analitik!$C$2:$C$351,MATCH($A295,Data_Analitik!$AL$2:$AL$351,0)),""))</f>
        <v>Jl. Loksado - Pantai Dusin</v>
      </c>
      <c r="D295" s="101" t="str">
        <f>IF($A295="","",IFERROR(INDEX(Data_Analitik!$D$2:$D$351,MATCH($A295,Data_Analitik!$AL$2:$AL$351,0)),""))</f>
        <v>Loksado</v>
      </c>
      <c r="E295" s="100">
        <f>IF($A295="","",IFERROR(INDEX(Data_Analitik!$E$2:$E$351,MATCH($A295,Data_Analitik!$AL$2:$AL$351,0)),""))</f>
        <v>2.27</v>
      </c>
      <c r="F295" s="97">
        <f>IF($A295="","",IFERROR(INDEX(Data_Analitik!$P$2:$P$351,MATCH($A295,Data_Analitik!$AL$2:$AL$351,0)),""))</f>
        <v>0</v>
      </c>
      <c r="G295" s="97">
        <f>IF($A295="","",IFERROR(INDEX(Data_Analitik!$R$2:$R$351,MATCH($A295,Data_Analitik!$AL$2:$AL$351,0)),""))</f>
        <v>0.99999999159758313</v>
      </c>
      <c r="H295" s="97">
        <f>IF($A295="","",IFERROR(INDEX(Data_Analitik!$T$2:$T$351,MATCH($A295,Data_Analitik!$AL$2:$AL$351,0)),""))</f>
        <v>0</v>
      </c>
      <c r="I295" s="97">
        <f>IF($A295="","",IFERROR(INDEX(Data_Analitik!$V$2:$V$351,MATCH($A295,Data_Analitik!$AL$2:$AL$351,0)),""))</f>
        <v>0</v>
      </c>
      <c r="J295" s="97">
        <f>IF($A295="","",IFERROR(INDEX(Data_Analitik!$X$2:$X$351,MATCH($A295,Data_Analitik!$AL$2:$AL$351,0)),""))</f>
        <v>0.99999999159758313</v>
      </c>
      <c r="K295" s="97">
        <f>IF($A295="","",IFERROR(INDEX(Data_Analitik!$Z$2:$Z$351,MATCH($A295,Data_Analitik!$AL$2:$AL$351,0)),""))</f>
        <v>0</v>
      </c>
      <c r="L295" s="33" t="str">
        <f>IF($A295="","",IFERROR(INDEX(Data_Analitik!$AB$2:$AB$351,MATCH($A295,Data_Analitik!$AL$2:$AL$351,0)),""))</f>
        <v>Relatif Mantap</v>
      </c>
    </row>
    <row r="296" spans="1:12" ht="21.95" customHeight="1" x14ac:dyDescent="0.25">
      <c r="A296" s="32">
        <f>IF(ROW()-9&lt;=SUM(Data_Analitik!$AK$2:$AK$351),ROW()-9,"")</f>
        <v>287</v>
      </c>
      <c r="B296" s="99" t="str">
        <f>IF($A296="","",IFERROR(INDEX(Data_Analitik!$B$2:$B$351,MATCH($A296,Data_Analitik!$AL$2:$AL$351,0)),""))</f>
        <v>287</v>
      </c>
      <c r="C296" s="101" t="str">
        <f>IF($A296="","",IFERROR(INDEX(Data_Analitik!$C$2:$C$351,MATCH($A296,Data_Analitik!$AL$2:$AL$351,0)),""))</f>
        <v>Jl. Malinau - Kandihin</v>
      </c>
      <c r="D296" s="101" t="str">
        <f>IF($A296="","",IFERROR(INDEX(Data_Analitik!$D$2:$D$351,MATCH($A296,Data_Analitik!$AL$2:$AL$351,0)),""))</f>
        <v>Loksado</v>
      </c>
      <c r="E296" s="100">
        <f>IF($A296="","",IFERROR(INDEX(Data_Analitik!$E$2:$E$351,MATCH($A296,Data_Analitik!$AL$2:$AL$351,0)),""))</f>
        <v>4.16</v>
      </c>
      <c r="F296" s="97">
        <f>IF($A296="","",IFERROR(INDEX(Data_Analitik!$P$2:$P$351,MATCH($A296,Data_Analitik!$AL$2:$AL$351,0)),""))</f>
        <v>0</v>
      </c>
      <c r="G296" s="97">
        <f>IF($A296="","",IFERROR(INDEX(Data_Analitik!$R$2:$R$351,MATCH($A296,Data_Analitik!$AL$2:$AL$351,0)),""))</f>
        <v>4.8076923793325059E-2</v>
      </c>
      <c r="H296" s="97">
        <f>IF($A296="","",IFERROR(INDEX(Data_Analitik!$T$2:$T$351,MATCH($A296,Data_Analitik!$AL$2:$AL$351,0)),""))</f>
        <v>0.16826922790362284</v>
      </c>
      <c r="I296" s="97">
        <f>IF($A296="","",IFERROR(INDEX(Data_Analitik!$V$2:$V$351,MATCH($A296,Data_Analitik!$AL$2:$AL$351,0)),""))</f>
        <v>0.78365385818939937</v>
      </c>
      <c r="J296" s="97">
        <f>IF($A296="","",IFERROR(INDEX(Data_Analitik!$X$2:$X$351,MATCH($A296,Data_Analitik!$AL$2:$AL$351,0)),""))</f>
        <v>4.8076923793325059E-2</v>
      </c>
      <c r="K296" s="97">
        <f>IF($A296="","",IFERROR(INDEX(Data_Analitik!$Z$2:$Z$351,MATCH($A296,Data_Analitik!$AL$2:$AL$351,0)),""))</f>
        <v>0.95192308609302223</v>
      </c>
      <c r="L296" s="33" t="str">
        <f>IF($A296="","",IFERROR(INDEX(Data_Analitik!$AB$2:$AB$351,MATCH($A296,Data_Analitik!$AL$2:$AL$351,0)),""))</f>
        <v>Rusak Berat Dominan</v>
      </c>
    </row>
    <row r="297" spans="1:12" ht="21.95" customHeight="1" x14ac:dyDescent="0.25">
      <c r="A297" s="32">
        <f>IF(ROW()-9&lt;=SUM(Data_Analitik!$AK$2:$AK$351),ROW()-9,"")</f>
        <v>288</v>
      </c>
      <c r="B297" s="99" t="str">
        <f>IF($A297="","",IFERROR(INDEX(Data_Analitik!$B$2:$B$351,MATCH($A297,Data_Analitik!$AL$2:$AL$351,0)),""))</f>
        <v>288</v>
      </c>
      <c r="C297" s="101" t="str">
        <f>IF($A297="","",IFERROR(INDEX(Data_Analitik!$C$2:$C$351,MATCH($A297,Data_Analitik!$AL$2:$AL$351,0)),""))</f>
        <v>Jl. Ulang - Bangkaun</v>
      </c>
      <c r="D297" s="101" t="str">
        <f>IF($A297="","",IFERROR(INDEX(Data_Analitik!$D$2:$D$351,MATCH($A297,Data_Analitik!$AL$2:$AL$351,0)),""))</f>
        <v>Loksado</v>
      </c>
      <c r="E297" s="100">
        <f>IF($A297="","",IFERROR(INDEX(Data_Analitik!$E$2:$E$351,MATCH($A297,Data_Analitik!$AL$2:$AL$351,0)),""))</f>
        <v>3.56</v>
      </c>
      <c r="F297" s="97">
        <f>IF($A297="","",IFERROR(INDEX(Data_Analitik!$P$2:$P$351,MATCH($A297,Data_Analitik!$AL$2:$AL$351,0)),""))</f>
        <v>0</v>
      </c>
      <c r="G297" s="97">
        <f>IF($A297="","",IFERROR(INDEX(Data_Analitik!$R$2:$R$351,MATCH($A297,Data_Analitik!$AL$2:$AL$351,0)),""))</f>
        <v>0.38202247592840299</v>
      </c>
      <c r="H297" s="97">
        <f>IF($A297="","",IFERROR(INDEX(Data_Analitik!$T$2:$T$351,MATCH($A297,Data_Analitik!$AL$2:$AL$351,0)),""))</f>
        <v>0</v>
      </c>
      <c r="I297" s="97">
        <f>IF($A297="","",IFERROR(INDEX(Data_Analitik!$V$2:$V$351,MATCH($A297,Data_Analitik!$AL$2:$AL$351,0)),""))</f>
        <v>0.61797754148418982</v>
      </c>
      <c r="J297" s="97">
        <f>IF($A297="","",IFERROR(INDEX(Data_Analitik!$X$2:$X$351,MATCH($A297,Data_Analitik!$AL$2:$AL$351,0)),""))</f>
        <v>0.38202247592840299</v>
      </c>
      <c r="K297" s="97">
        <f>IF($A297="","",IFERROR(INDEX(Data_Analitik!$Z$2:$Z$351,MATCH($A297,Data_Analitik!$AL$2:$AL$351,0)),""))</f>
        <v>0.61797754148418982</v>
      </c>
      <c r="L297" s="33" t="str">
        <f>IF($A297="","",IFERROR(INDEX(Data_Analitik!$AB$2:$AB$351,MATCH($A297,Data_Analitik!$AL$2:$AL$351,0)),""))</f>
        <v>Rusak Berat Dominan</v>
      </c>
    </row>
    <row r="298" spans="1:12" ht="21.95" customHeight="1" x14ac:dyDescent="0.25">
      <c r="A298" s="32">
        <f>IF(ROW()-9&lt;=SUM(Data_Analitik!$AK$2:$AK$351),ROW()-9,"")</f>
        <v>289</v>
      </c>
      <c r="B298" s="99" t="str">
        <f>IF($A298="","",IFERROR(INDEX(Data_Analitik!$B$2:$B$351,MATCH($A298,Data_Analitik!$AL$2:$AL$351,0)),""))</f>
        <v>289</v>
      </c>
      <c r="C298" s="101" t="str">
        <f>IF($A298="","",IFERROR(INDEX(Data_Analitik!$C$2:$C$351,MATCH($A298,Data_Analitik!$AL$2:$AL$351,0)),""))</f>
        <v>Bayanan - Habirau Tengah</v>
      </c>
      <c r="D298" s="101" t="str">
        <f>IF($A298="","",IFERROR(INDEX(Data_Analitik!$D$2:$D$351,MATCH($A298,Data_Analitik!$AL$2:$AL$351,0)),""))</f>
        <v>Daha Selatan</v>
      </c>
      <c r="E298" s="100">
        <f>IF($A298="","",IFERROR(INDEX(Data_Analitik!$E$2:$E$351,MATCH($A298,Data_Analitik!$AL$2:$AL$351,0)),""))</f>
        <v>2.86</v>
      </c>
      <c r="F298" s="97">
        <f>IF($A298="","",IFERROR(INDEX(Data_Analitik!$P$2:$P$351,MATCH($A298,Data_Analitik!$AL$2:$AL$351,0)),""))</f>
        <v>6.9930070972109182E-2</v>
      </c>
      <c r="G298" s="97">
        <f>IF($A298="","",IFERROR(INDEX(Data_Analitik!$R$2:$R$351,MATCH($A298,Data_Analitik!$AL$2:$AL$351,0)),""))</f>
        <v>0.45454543787282664</v>
      </c>
      <c r="H298" s="97">
        <f>IF($A298="","",IFERROR(INDEX(Data_Analitik!$T$2:$T$351,MATCH($A298,Data_Analitik!$AL$2:$AL$351,0)),""))</f>
        <v>0.10489510906326188</v>
      </c>
      <c r="I298" s="97">
        <f>IF($A298="","",IFERROR(INDEX(Data_Analitik!$V$2:$V$351,MATCH($A298,Data_Analitik!$AL$2:$AL$351,0)),""))</f>
        <v>0.37062935062221714</v>
      </c>
      <c r="J298" s="97">
        <f>IF($A298="","",IFERROR(INDEX(Data_Analitik!$X$2:$X$351,MATCH($A298,Data_Analitik!$AL$2:$AL$351,0)),""))</f>
        <v>0.52447550884493588</v>
      </c>
      <c r="K298" s="97">
        <f>IF($A298="","",IFERROR(INDEX(Data_Analitik!$Z$2:$Z$351,MATCH($A298,Data_Analitik!$AL$2:$AL$351,0)),""))</f>
        <v>0.47552445968547902</v>
      </c>
      <c r="L298" s="33" t="str">
        <f>IF($A298="","",IFERROR(INDEX(Data_Analitik!$AB$2:$AB$351,MATCH($A298,Data_Analitik!$AL$2:$AL$351,0)),""))</f>
        <v>Rusak Berat Dominan</v>
      </c>
    </row>
    <row r="299" spans="1:12" ht="21.95" customHeight="1" x14ac:dyDescent="0.25">
      <c r="A299" s="32">
        <f>IF(ROW()-9&lt;=SUM(Data_Analitik!$AK$2:$AK$351),ROW()-9,"")</f>
        <v>290</v>
      </c>
      <c r="B299" s="99" t="str">
        <f>IF($A299="","",IFERROR(INDEX(Data_Analitik!$B$2:$B$351,MATCH($A299,Data_Analitik!$AL$2:$AL$351,0)),""))</f>
        <v>290</v>
      </c>
      <c r="C299" s="101" t="str">
        <f>IF($A299="","",IFERROR(INDEX(Data_Analitik!$C$2:$C$351,MATCH($A299,Data_Analitik!$AL$2:$AL$351,0)),""))</f>
        <v>Tumbukan Banyu - Banua Hanyar</v>
      </c>
      <c r="D299" s="101" t="str">
        <f>IF($A299="","",IFERROR(INDEX(Data_Analitik!$D$2:$D$351,MATCH($A299,Data_Analitik!$AL$2:$AL$351,0)),""))</f>
        <v>Daha Selatan</v>
      </c>
      <c r="E299" s="100">
        <f>IF($A299="","",IFERROR(INDEX(Data_Analitik!$E$2:$E$351,MATCH($A299,Data_Analitik!$AL$2:$AL$351,0)),""))</f>
        <v>5</v>
      </c>
      <c r="F299" s="97">
        <f>IF($A299="","",IFERROR(INDEX(Data_Analitik!$P$2:$P$351,MATCH($A299,Data_Analitik!$AL$2:$AL$351,0)),""))</f>
        <v>1</v>
      </c>
      <c r="G299" s="97">
        <f>IF($A299="","",IFERROR(INDEX(Data_Analitik!$R$2:$R$351,MATCH($A299,Data_Analitik!$AL$2:$AL$351,0)),""))</f>
        <v>0</v>
      </c>
      <c r="H299" s="97">
        <f>IF($A299="","",IFERROR(INDEX(Data_Analitik!$T$2:$T$351,MATCH($A299,Data_Analitik!$AL$2:$AL$351,0)),""))</f>
        <v>0</v>
      </c>
      <c r="I299" s="97">
        <f>IF($A299="","",IFERROR(INDEX(Data_Analitik!$V$2:$V$351,MATCH($A299,Data_Analitik!$AL$2:$AL$351,0)),""))</f>
        <v>0</v>
      </c>
      <c r="J299" s="97">
        <f>IF($A299="","",IFERROR(INDEX(Data_Analitik!$X$2:$X$351,MATCH($A299,Data_Analitik!$AL$2:$AL$351,0)),""))</f>
        <v>1</v>
      </c>
      <c r="K299" s="97">
        <f>IF($A299="","",IFERROR(INDEX(Data_Analitik!$Z$2:$Z$351,MATCH($A299,Data_Analitik!$AL$2:$AL$351,0)),""))</f>
        <v>0</v>
      </c>
      <c r="L299" s="33" t="str">
        <f>IF($A299="","",IFERROR(INDEX(Data_Analitik!$AB$2:$AB$351,MATCH($A299,Data_Analitik!$AL$2:$AL$351,0)),""))</f>
        <v>Relatif Mantap</v>
      </c>
    </row>
    <row r="300" spans="1:12" ht="21.95" customHeight="1" x14ac:dyDescent="0.25">
      <c r="A300" s="32">
        <f>IF(ROW()-9&lt;=SUM(Data_Analitik!$AK$2:$AK$351),ROW()-9,"")</f>
        <v>291</v>
      </c>
      <c r="B300" s="99" t="str">
        <f>IF($A300="","",IFERROR(INDEX(Data_Analitik!$B$2:$B$351,MATCH($A300,Data_Analitik!$AL$2:$AL$351,0)),""))</f>
        <v>291</v>
      </c>
      <c r="C300" s="101" t="str">
        <f>IF($A300="","",IFERROR(INDEX(Data_Analitik!$C$2:$C$351,MATCH($A300,Data_Analitik!$AL$2:$AL$351,0)),""))</f>
        <v>Jl. Satria</v>
      </c>
      <c r="D300" s="101" t="str">
        <f>IF($A300="","",IFERROR(INDEX(Data_Analitik!$D$2:$D$351,MATCH($A300,Data_Analitik!$AL$2:$AL$351,0)),""))</f>
        <v>Daha Selatan</v>
      </c>
      <c r="E300" s="100">
        <f>IF($A300="","",IFERROR(INDEX(Data_Analitik!$E$2:$E$351,MATCH($A300,Data_Analitik!$AL$2:$AL$351,0)),""))</f>
        <v>0.37</v>
      </c>
      <c r="F300" s="97">
        <f>IF($A300="","",IFERROR(INDEX(Data_Analitik!$P$2:$P$351,MATCH($A300,Data_Analitik!$AL$2:$AL$351,0)),""))</f>
        <v>1.0000000128874909</v>
      </c>
      <c r="G300" s="97">
        <f>IF($A300="","",IFERROR(INDEX(Data_Analitik!$R$2:$R$351,MATCH($A300,Data_Analitik!$AL$2:$AL$351,0)),""))</f>
        <v>0</v>
      </c>
      <c r="H300" s="97">
        <f>IF($A300="","",IFERROR(INDEX(Data_Analitik!$T$2:$T$351,MATCH($A300,Data_Analitik!$AL$2:$AL$351,0)),""))</f>
        <v>0</v>
      </c>
      <c r="I300" s="97">
        <f>IF($A300="","",IFERROR(INDEX(Data_Analitik!$V$2:$V$351,MATCH($A300,Data_Analitik!$AL$2:$AL$351,0)),""))</f>
        <v>0</v>
      </c>
      <c r="J300" s="97">
        <f>IF($A300="","",IFERROR(INDEX(Data_Analitik!$X$2:$X$351,MATCH($A300,Data_Analitik!$AL$2:$AL$351,0)),""))</f>
        <v>1.0000000128874909</v>
      </c>
      <c r="K300" s="97">
        <f>IF($A300="","",IFERROR(INDEX(Data_Analitik!$Z$2:$Z$351,MATCH($A300,Data_Analitik!$AL$2:$AL$351,0)),""))</f>
        <v>0</v>
      </c>
      <c r="L300" s="33" t="str">
        <f>IF($A300="","",IFERROR(INDEX(Data_Analitik!$AB$2:$AB$351,MATCH($A300,Data_Analitik!$AL$2:$AL$351,0)),""))</f>
        <v>Relatif Mantap</v>
      </c>
    </row>
    <row r="301" spans="1:12" ht="21.95" customHeight="1" x14ac:dyDescent="0.25">
      <c r="A301" s="32">
        <f>IF(ROW()-9&lt;=SUM(Data_Analitik!$AK$2:$AK$351),ROW()-9,"")</f>
        <v>292</v>
      </c>
      <c r="B301" s="99" t="str">
        <f>IF($A301="","",IFERROR(INDEX(Data_Analitik!$B$2:$B$351,MATCH($A301,Data_Analitik!$AL$2:$AL$351,0)),""))</f>
        <v>292</v>
      </c>
      <c r="C301" s="101" t="str">
        <f>IF($A301="","",IFERROR(INDEX(Data_Analitik!$C$2:$C$351,MATCH($A301,Data_Analitik!$AL$2:$AL$351,0)),""))</f>
        <v>Jl. Musyawarah</v>
      </c>
      <c r="D301" s="101" t="str">
        <f>IF($A301="","",IFERROR(INDEX(Data_Analitik!$D$2:$D$351,MATCH($A301,Data_Analitik!$AL$2:$AL$351,0)),""))</f>
        <v>Daha Selatan</v>
      </c>
      <c r="E301" s="100">
        <f>IF($A301="","",IFERROR(INDEX(Data_Analitik!$E$2:$E$351,MATCH($A301,Data_Analitik!$AL$2:$AL$351,0)),""))</f>
        <v>0.41</v>
      </c>
      <c r="F301" s="97">
        <f>IF($A301="","",IFERROR(INDEX(Data_Analitik!$P$2:$P$351,MATCH($A301,Data_Analitik!$AL$2:$AL$351,0)),""))</f>
        <v>0.99999999127736916</v>
      </c>
      <c r="G301" s="97">
        <f>IF($A301="","",IFERROR(INDEX(Data_Analitik!$R$2:$R$351,MATCH($A301,Data_Analitik!$AL$2:$AL$351,0)),""))</f>
        <v>0</v>
      </c>
      <c r="H301" s="97">
        <f>IF($A301="","",IFERROR(INDEX(Data_Analitik!$T$2:$T$351,MATCH($A301,Data_Analitik!$AL$2:$AL$351,0)),""))</f>
        <v>0</v>
      </c>
      <c r="I301" s="97">
        <f>IF($A301="","",IFERROR(INDEX(Data_Analitik!$V$2:$V$351,MATCH($A301,Data_Analitik!$AL$2:$AL$351,0)),""))</f>
        <v>0</v>
      </c>
      <c r="J301" s="97">
        <f>IF($A301="","",IFERROR(INDEX(Data_Analitik!$X$2:$X$351,MATCH($A301,Data_Analitik!$AL$2:$AL$351,0)),""))</f>
        <v>0.99999999127736916</v>
      </c>
      <c r="K301" s="97">
        <f>IF($A301="","",IFERROR(INDEX(Data_Analitik!$Z$2:$Z$351,MATCH($A301,Data_Analitik!$AL$2:$AL$351,0)),""))</f>
        <v>0</v>
      </c>
      <c r="L301" s="33" t="str">
        <f>IF($A301="","",IFERROR(INDEX(Data_Analitik!$AB$2:$AB$351,MATCH($A301,Data_Analitik!$AL$2:$AL$351,0)),""))</f>
        <v>Relatif Mantap</v>
      </c>
    </row>
    <row r="302" spans="1:12" ht="21.95" customHeight="1" x14ac:dyDescent="0.25">
      <c r="A302" s="32">
        <f>IF(ROW()-9&lt;=SUM(Data_Analitik!$AK$2:$AK$351),ROW()-9,"")</f>
        <v>293</v>
      </c>
      <c r="B302" s="99" t="str">
        <f>IF($A302="","",IFERROR(INDEX(Data_Analitik!$B$2:$B$351,MATCH($A302,Data_Analitik!$AL$2:$AL$351,0)),""))</f>
        <v>293</v>
      </c>
      <c r="C302" s="101" t="str">
        <f>IF($A302="","",IFERROR(INDEX(Data_Analitik!$C$2:$C$351,MATCH($A302,Data_Analitik!$AL$2:$AL$351,0)),""))</f>
        <v>Jl. Sekolah Islam</v>
      </c>
      <c r="D302" s="101" t="str">
        <f>IF($A302="","",IFERROR(INDEX(Data_Analitik!$D$2:$D$351,MATCH($A302,Data_Analitik!$AL$2:$AL$351,0)),""))</f>
        <v>Daha Selatan</v>
      </c>
      <c r="E302" s="100">
        <f>IF($A302="","",IFERROR(INDEX(Data_Analitik!$E$2:$E$351,MATCH($A302,Data_Analitik!$AL$2:$AL$351,0)),""))</f>
        <v>0.4</v>
      </c>
      <c r="F302" s="97">
        <f>IF($A302="","",IFERROR(INDEX(Data_Analitik!$P$2:$P$351,MATCH($A302,Data_Analitik!$AL$2:$AL$351,0)),""))</f>
        <v>1.0000000149011612</v>
      </c>
      <c r="G302" s="97">
        <f>IF($A302="","",IFERROR(INDEX(Data_Analitik!$R$2:$R$351,MATCH($A302,Data_Analitik!$AL$2:$AL$351,0)),""))</f>
        <v>0</v>
      </c>
      <c r="H302" s="97">
        <f>IF($A302="","",IFERROR(INDEX(Data_Analitik!$T$2:$T$351,MATCH($A302,Data_Analitik!$AL$2:$AL$351,0)),""))</f>
        <v>0</v>
      </c>
      <c r="I302" s="97">
        <f>IF($A302="","",IFERROR(INDEX(Data_Analitik!$V$2:$V$351,MATCH($A302,Data_Analitik!$AL$2:$AL$351,0)),""))</f>
        <v>0</v>
      </c>
      <c r="J302" s="97">
        <f>IF($A302="","",IFERROR(INDEX(Data_Analitik!$X$2:$X$351,MATCH($A302,Data_Analitik!$AL$2:$AL$351,0)),""))</f>
        <v>1.0000000149011612</v>
      </c>
      <c r="K302" s="97">
        <f>IF($A302="","",IFERROR(INDEX(Data_Analitik!$Z$2:$Z$351,MATCH($A302,Data_Analitik!$AL$2:$AL$351,0)),""))</f>
        <v>0</v>
      </c>
      <c r="L302" s="33" t="str">
        <f>IF($A302="","",IFERROR(INDEX(Data_Analitik!$AB$2:$AB$351,MATCH($A302,Data_Analitik!$AL$2:$AL$351,0)),""))</f>
        <v>Relatif Mantap</v>
      </c>
    </row>
    <row r="303" spans="1:12" ht="21.95" customHeight="1" x14ac:dyDescent="0.25">
      <c r="A303" s="32">
        <f>IF(ROW()-9&lt;=SUM(Data_Analitik!$AK$2:$AK$351),ROW()-9,"")</f>
        <v>294</v>
      </c>
      <c r="B303" s="99" t="str">
        <f>IF($A303="","",IFERROR(INDEX(Data_Analitik!$B$2:$B$351,MATCH($A303,Data_Analitik!$AL$2:$AL$351,0)),""))</f>
        <v>294</v>
      </c>
      <c r="C303" s="101" t="str">
        <f>IF($A303="","",IFERROR(INDEX(Data_Analitik!$C$2:$C$351,MATCH($A303,Data_Analitik!$AL$2:$AL$351,0)),""))</f>
        <v>Jl. Habib</v>
      </c>
      <c r="D303" s="101" t="str">
        <f>IF($A303="","",IFERROR(INDEX(Data_Analitik!$D$2:$D$351,MATCH($A303,Data_Analitik!$AL$2:$AL$351,0)),""))</f>
        <v>Daha Selatan</v>
      </c>
      <c r="E303" s="100">
        <f>IF($A303="","",IFERROR(INDEX(Data_Analitik!$E$2:$E$351,MATCH($A303,Data_Analitik!$AL$2:$AL$351,0)),""))</f>
        <v>0.32</v>
      </c>
      <c r="F303" s="97">
        <f>IF($A303="","",IFERROR(INDEX(Data_Analitik!$P$2:$P$351,MATCH($A303,Data_Analitik!$AL$2:$AL$351,0)),""))</f>
        <v>0.99999997764825821</v>
      </c>
      <c r="G303" s="97">
        <f>IF($A303="","",IFERROR(INDEX(Data_Analitik!$R$2:$R$351,MATCH($A303,Data_Analitik!$AL$2:$AL$351,0)),""))</f>
        <v>0</v>
      </c>
      <c r="H303" s="97">
        <f>IF($A303="","",IFERROR(INDEX(Data_Analitik!$T$2:$T$351,MATCH($A303,Data_Analitik!$AL$2:$AL$351,0)),""))</f>
        <v>0</v>
      </c>
      <c r="I303" s="97">
        <f>IF($A303="","",IFERROR(INDEX(Data_Analitik!$V$2:$V$351,MATCH($A303,Data_Analitik!$AL$2:$AL$351,0)),""))</f>
        <v>0</v>
      </c>
      <c r="J303" s="97">
        <f>IF($A303="","",IFERROR(INDEX(Data_Analitik!$X$2:$X$351,MATCH($A303,Data_Analitik!$AL$2:$AL$351,0)),""))</f>
        <v>0.99999997764825821</v>
      </c>
      <c r="K303" s="97">
        <f>IF($A303="","",IFERROR(INDEX(Data_Analitik!$Z$2:$Z$351,MATCH($A303,Data_Analitik!$AL$2:$AL$351,0)),""))</f>
        <v>0</v>
      </c>
      <c r="L303" s="33" t="str">
        <f>IF($A303="","",IFERROR(INDEX(Data_Analitik!$AB$2:$AB$351,MATCH($A303,Data_Analitik!$AL$2:$AL$351,0)),""))</f>
        <v>Relatif Mantap</v>
      </c>
    </row>
    <row r="304" spans="1:12" ht="21.95" customHeight="1" x14ac:dyDescent="0.25">
      <c r="A304" s="32">
        <f>IF(ROW()-9&lt;=SUM(Data_Analitik!$AK$2:$AK$351),ROW()-9,"")</f>
        <v>295</v>
      </c>
      <c r="B304" s="99" t="str">
        <f>IF($A304="","",IFERROR(INDEX(Data_Analitik!$B$2:$B$351,MATCH($A304,Data_Analitik!$AL$2:$AL$351,0)),""))</f>
        <v>295</v>
      </c>
      <c r="C304" s="101" t="str">
        <f>IF($A304="","",IFERROR(INDEX(Data_Analitik!$C$2:$C$351,MATCH($A304,Data_Analitik!$AL$2:$AL$351,0)),""))</f>
        <v>Jl. Mawar</v>
      </c>
      <c r="D304" s="101" t="str">
        <f>IF($A304="","",IFERROR(INDEX(Data_Analitik!$D$2:$D$351,MATCH($A304,Data_Analitik!$AL$2:$AL$351,0)),""))</f>
        <v>Daha Selatan</v>
      </c>
      <c r="E304" s="100">
        <f>IF($A304="","",IFERROR(INDEX(Data_Analitik!$E$2:$E$351,MATCH($A304,Data_Analitik!$AL$2:$AL$351,0)),""))</f>
        <v>0.27</v>
      </c>
      <c r="F304" s="97">
        <f>IF($A304="","",IFERROR(INDEX(Data_Analitik!$P$2:$P$351,MATCH($A304,Data_Analitik!$AL$2:$AL$351,0)),""))</f>
        <v>0</v>
      </c>
      <c r="G304" s="97">
        <f>IF($A304="","",IFERROR(INDEX(Data_Analitik!$R$2:$R$351,MATCH($A304,Data_Analitik!$AL$2:$AL$351,0)),""))</f>
        <v>0</v>
      </c>
      <c r="H304" s="97">
        <f>IF($A304="","",IFERROR(INDEX(Data_Analitik!$T$2:$T$351,MATCH($A304,Data_Analitik!$AL$2:$AL$351,0)),""))</f>
        <v>1.0000000397364297</v>
      </c>
      <c r="I304" s="97">
        <f>IF($A304="","",IFERROR(INDEX(Data_Analitik!$V$2:$V$351,MATCH($A304,Data_Analitik!$AL$2:$AL$351,0)),""))</f>
        <v>0</v>
      </c>
      <c r="J304" s="97">
        <f>IF($A304="","",IFERROR(INDEX(Data_Analitik!$X$2:$X$351,MATCH($A304,Data_Analitik!$AL$2:$AL$351,0)),""))</f>
        <v>0</v>
      </c>
      <c r="K304" s="97">
        <f>IF($A304="","",IFERROR(INDEX(Data_Analitik!$Z$2:$Z$351,MATCH($A304,Data_Analitik!$AL$2:$AL$351,0)),""))</f>
        <v>1.0000000397364297</v>
      </c>
      <c r="L304" s="33" t="str">
        <f>IF($A304="","",IFERROR(INDEX(Data_Analitik!$AB$2:$AB$351,MATCH($A304,Data_Analitik!$AL$2:$AL$351,0)),""))</f>
        <v>Tidak Mantap Tinggi</v>
      </c>
    </row>
    <row r="305" spans="1:12" ht="21.95" customHeight="1" x14ac:dyDescent="0.25">
      <c r="A305" s="32">
        <f>IF(ROW()-9&lt;=SUM(Data_Analitik!$AK$2:$AK$351),ROW()-9,"")</f>
        <v>296</v>
      </c>
      <c r="B305" s="99" t="str">
        <f>IF($A305="","",IFERROR(INDEX(Data_Analitik!$B$2:$B$351,MATCH($A305,Data_Analitik!$AL$2:$AL$351,0)),""))</f>
        <v>296</v>
      </c>
      <c r="C305" s="101" t="str">
        <f>IF($A305="","",IFERROR(INDEX(Data_Analitik!$C$2:$C$351,MATCH($A305,Data_Analitik!$AL$2:$AL$351,0)),""))</f>
        <v>Jl. Inst. PDAM Negara</v>
      </c>
      <c r="D305" s="101" t="str">
        <f>IF($A305="","",IFERROR(INDEX(Data_Analitik!$D$2:$D$351,MATCH($A305,Data_Analitik!$AL$2:$AL$351,0)),""))</f>
        <v>Daha Selatan</v>
      </c>
      <c r="E305" s="100">
        <f>IF($A305="","",IFERROR(INDEX(Data_Analitik!$E$2:$E$351,MATCH($A305,Data_Analitik!$AL$2:$AL$351,0)),""))</f>
        <v>0.26</v>
      </c>
      <c r="F305" s="97">
        <f>IF($A305="","",IFERROR(INDEX(Data_Analitik!$P$2:$P$351,MATCH($A305,Data_Analitik!$AL$2:$AL$351,0)),""))</f>
        <v>0</v>
      </c>
      <c r="G305" s="97">
        <f>IF($A305="","",IFERROR(INDEX(Data_Analitik!$R$2:$R$351,MATCH($A305,Data_Analitik!$AL$2:$AL$351,0)),""))</f>
        <v>0.61538460162969733</v>
      </c>
      <c r="H305" s="97">
        <f>IF($A305="","",IFERROR(INDEX(Data_Analitik!$T$2:$T$351,MATCH($A305,Data_Analitik!$AL$2:$AL$351,0)),""))</f>
        <v>0.38461539034660047</v>
      </c>
      <c r="I305" s="97">
        <f>IF($A305="","",IFERROR(INDEX(Data_Analitik!$V$2:$V$351,MATCH($A305,Data_Analitik!$AL$2:$AL$351,0)),""))</f>
        <v>0</v>
      </c>
      <c r="J305" s="97">
        <f>IF($A305="","",IFERROR(INDEX(Data_Analitik!$X$2:$X$351,MATCH($A305,Data_Analitik!$AL$2:$AL$351,0)),""))</f>
        <v>0.61538460162969733</v>
      </c>
      <c r="K305" s="97">
        <f>IF($A305="","",IFERROR(INDEX(Data_Analitik!$Z$2:$Z$351,MATCH($A305,Data_Analitik!$AL$2:$AL$351,0)),""))</f>
        <v>0.38461539034660047</v>
      </c>
      <c r="L305" s="33" t="str">
        <f>IF($A305="","",IFERROR(INDEX(Data_Analitik!$AB$2:$AB$351,MATCH($A305,Data_Analitik!$AL$2:$AL$351,0)),""))</f>
        <v>Tidak Mantap Sedang</v>
      </c>
    </row>
    <row r="306" spans="1:12" ht="21.95" customHeight="1" x14ac:dyDescent="0.25">
      <c r="A306" s="32">
        <f>IF(ROW()-9&lt;=SUM(Data_Analitik!$AK$2:$AK$351),ROW()-9,"")</f>
        <v>297</v>
      </c>
      <c r="B306" s="99" t="str">
        <f>IF($A306="","",IFERROR(INDEX(Data_Analitik!$B$2:$B$351,MATCH($A306,Data_Analitik!$AL$2:$AL$351,0)),""))</f>
        <v>297</v>
      </c>
      <c r="C306" s="101" t="str">
        <f>IF($A306="","",IFERROR(INDEX(Data_Analitik!$C$2:$C$351,MATCH($A306,Data_Analitik!$AL$2:$AL$351,0)),""))</f>
        <v>Jl. Gerilya / (Depan PUSTU Habirau)</v>
      </c>
      <c r="D306" s="101" t="str">
        <f>IF($A306="","",IFERROR(INDEX(Data_Analitik!$D$2:$D$351,MATCH($A306,Data_Analitik!$AL$2:$AL$351,0)),""))</f>
        <v>Daha Selatan</v>
      </c>
      <c r="E306" s="100">
        <f>IF($A306="","",IFERROR(INDEX(Data_Analitik!$E$2:$E$351,MATCH($A306,Data_Analitik!$AL$2:$AL$351,0)),""))</f>
        <v>0.24</v>
      </c>
      <c r="F306" s="97">
        <f>IF($A306="","",IFERROR(INDEX(Data_Analitik!$P$2:$P$351,MATCH($A306,Data_Analitik!$AL$2:$AL$351,0)),""))</f>
        <v>0</v>
      </c>
      <c r="G306" s="97">
        <f>IF($A306="","",IFERROR(INDEX(Data_Analitik!$R$2:$R$351,MATCH($A306,Data_Analitik!$AL$2:$AL$351,0)),""))</f>
        <v>0</v>
      </c>
      <c r="H306" s="97">
        <f>IF($A306="","",IFERROR(INDEX(Data_Analitik!$T$2:$T$351,MATCH($A306,Data_Analitik!$AL$2:$AL$351,0)),""))</f>
        <v>0</v>
      </c>
      <c r="I306" s="97">
        <f>IF($A306="","",IFERROR(INDEX(Data_Analitik!$V$2:$V$351,MATCH($A306,Data_Analitik!$AL$2:$AL$351,0)),""))</f>
        <v>0.99999997764825821</v>
      </c>
      <c r="J306" s="97">
        <f>IF($A306="","",IFERROR(INDEX(Data_Analitik!$X$2:$X$351,MATCH($A306,Data_Analitik!$AL$2:$AL$351,0)),""))</f>
        <v>0</v>
      </c>
      <c r="K306" s="97">
        <f>IF($A306="","",IFERROR(INDEX(Data_Analitik!$Z$2:$Z$351,MATCH($A306,Data_Analitik!$AL$2:$AL$351,0)),""))</f>
        <v>0.99999997764825821</v>
      </c>
      <c r="L306" s="33" t="str">
        <f>IF($A306="","",IFERROR(INDEX(Data_Analitik!$AB$2:$AB$351,MATCH($A306,Data_Analitik!$AL$2:$AL$351,0)),""))</f>
        <v>Rusak Berat Dominan</v>
      </c>
    </row>
    <row r="307" spans="1:12" ht="21.95" customHeight="1" x14ac:dyDescent="0.25">
      <c r="A307" s="32">
        <f>IF(ROW()-9&lt;=SUM(Data_Analitik!$AK$2:$AK$351),ROW()-9,"")</f>
        <v>298</v>
      </c>
      <c r="B307" s="99" t="str">
        <f>IF($A307="","",IFERROR(INDEX(Data_Analitik!$B$2:$B$351,MATCH($A307,Data_Analitik!$AL$2:$AL$351,0)),""))</f>
        <v>298</v>
      </c>
      <c r="C307" s="101" t="str">
        <f>IF($A307="","",IFERROR(INDEX(Data_Analitik!$C$2:$C$351,MATCH($A307,Data_Analitik!$AL$2:$AL$351,0)),""))</f>
        <v>Jl. Harapan (SDN Habirau II)/ Sei. Palangan</v>
      </c>
      <c r="D307" s="101" t="str">
        <f>IF($A307="","",IFERROR(INDEX(Data_Analitik!$D$2:$D$351,MATCH($A307,Data_Analitik!$AL$2:$AL$351,0)),""))</f>
        <v>Daha Selatan</v>
      </c>
      <c r="E307" s="100">
        <f>IF($A307="","",IFERROR(INDEX(Data_Analitik!$E$2:$E$351,MATCH($A307,Data_Analitik!$AL$2:$AL$351,0)),""))</f>
        <v>0.21</v>
      </c>
      <c r="F307" s="97">
        <f>IF($A307="","",IFERROR(INDEX(Data_Analitik!$P$2:$P$351,MATCH($A307,Data_Analitik!$AL$2:$AL$351,0)),""))</f>
        <v>0</v>
      </c>
      <c r="G307" s="97">
        <f>IF($A307="","",IFERROR(INDEX(Data_Analitik!$R$2:$R$351,MATCH($A307,Data_Analitik!$AL$2:$AL$351,0)),""))</f>
        <v>0</v>
      </c>
      <c r="H307" s="97">
        <f>IF($A307="","",IFERROR(INDEX(Data_Analitik!$T$2:$T$351,MATCH($A307,Data_Analitik!$AL$2:$AL$351,0)),""))</f>
        <v>0.99999996877851949</v>
      </c>
      <c r="I307" s="97">
        <f>IF($A307="","",IFERROR(INDEX(Data_Analitik!$V$2:$V$351,MATCH($A307,Data_Analitik!$AL$2:$AL$351,0)),""))</f>
        <v>0</v>
      </c>
      <c r="J307" s="97">
        <f>IF($A307="","",IFERROR(INDEX(Data_Analitik!$X$2:$X$351,MATCH($A307,Data_Analitik!$AL$2:$AL$351,0)),""))</f>
        <v>0</v>
      </c>
      <c r="K307" s="97">
        <f>IF($A307="","",IFERROR(INDEX(Data_Analitik!$Z$2:$Z$351,MATCH($A307,Data_Analitik!$AL$2:$AL$351,0)),""))</f>
        <v>0.99999996877851949</v>
      </c>
      <c r="L307" s="33" t="str">
        <f>IF($A307="","",IFERROR(INDEX(Data_Analitik!$AB$2:$AB$351,MATCH($A307,Data_Analitik!$AL$2:$AL$351,0)),""))</f>
        <v>Tidak Mantap Tinggi</v>
      </c>
    </row>
    <row r="308" spans="1:12" ht="21.95" customHeight="1" x14ac:dyDescent="0.25">
      <c r="A308" s="32">
        <f>IF(ROW()-9&lt;=SUM(Data_Analitik!$AK$2:$AK$351),ROW()-9,"")</f>
        <v>299</v>
      </c>
      <c r="B308" s="99" t="str">
        <f>IF($A308="","",IFERROR(INDEX(Data_Analitik!$B$2:$B$351,MATCH($A308,Data_Analitik!$AL$2:$AL$351,0)),""))</f>
        <v>299</v>
      </c>
      <c r="C308" s="101" t="str">
        <f>IF($A308="","",IFERROR(INDEX(Data_Analitik!$C$2:$C$351,MATCH($A308,Data_Analitik!$AL$2:$AL$351,0)),""))</f>
        <v>Samuda - Bajayau</v>
      </c>
      <c r="D308" s="101" t="str">
        <f>IF($A308="","",IFERROR(INDEX(Data_Analitik!$D$2:$D$351,MATCH($A308,Data_Analitik!$AL$2:$AL$351,0)),""))</f>
        <v>Daha Selatan - Daha Barat</v>
      </c>
      <c r="E308" s="100">
        <f>IF($A308="","",IFERROR(INDEX(Data_Analitik!$E$2:$E$351,MATCH($A308,Data_Analitik!$AL$2:$AL$351,0)),""))</f>
        <v>8.5</v>
      </c>
      <c r="F308" s="97">
        <f>IF($A308="","",IFERROR(INDEX(Data_Analitik!$P$2:$P$351,MATCH($A308,Data_Analitik!$AL$2:$AL$351,0)),""))</f>
        <v>0.58823529411764708</v>
      </c>
      <c r="G308" s="97">
        <f>IF($A308="","",IFERROR(INDEX(Data_Analitik!$R$2:$R$351,MATCH($A308,Data_Analitik!$AL$2:$AL$351,0)),""))</f>
        <v>8.2352939774008357E-2</v>
      </c>
      <c r="H308" s="97">
        <f>IF($A308="","",IFERROR(INDEX(Data_Analitik!$T$2:$T$351,MATCH($A308,Data_Analitik!$AL$2:$AL$351,0)),""))</f>
        <v>8.2352939774008357E-2</v>
      </c>
      <c r="I308" s="97">
        <f>IF($A308="","",IFERROR(INDEX(Data_Analitik!$V$2:$V$351,MATCH($A308,Data_Analitik!$AL$2:$AL$351,0)),""))</f>
        <v>0.24705881230971394</v>
      </c>
      <c r="J308" s="97">
        <f>IF($A308="","",IFERROR(INDEX(Data_Analitik!$X$2:$X$351,MATCH($A308,Data_Analitik!$AL$2:$AL$351,0)),""))</f>
        <v>0.67058823389165545</v>
      </c>
      <c r="K308" s="97">
        <f>IF($A308="","",IFERROR(INDEX(Data_Analitik!$Z$2:$Z$351,MATCH($A308,Data_Analitik!$AL$2:$AL$351,0)),""))</f>
        <v>0.32941175208372231</v>
      </c>
      <c r="L308" s="33" t="str">
        <f>IF($A308="","",IFERROR(INDEX(Data_Analitik!$AB$2:$AB$351,MATCH($A308,Data_Analitik!$AL$2:$AL$351,0)),""))</f>
        <v>Rusak Berat Dominan</v>
      </c>
    </row>
    <row r="309" spans="1:12" ht="21.95" customHeight="1" x14ac:dyDescent="0.25">
      <c r="A309" s="32">
        <f>IF(ROW()-9&lt;=SUM(Data_Analitik!$AK$2:$AK$351),ROW()-9,"")</f>
        <v>300</v>
      </c>
      <c r="B309" s="99" t="str">
        <f>IF($A309="","",IFERROR(INDEX(Data_Analitik!$B$2:$B$351,MATCH($A309,Data_Analitik!$AL$2:$AL$351,0)),""))</f>
        <v>300</v>
      </c>
      <c r="C309" s="101" t="str">
        <f>IF($A309="","",IFERROR(INDEX(Data_Analitik!$C$2:$C$351,MATCH($A309,Data_Analitik!$AL$2:$AL$351,0)),""))</f>
        <v>Jl. Tambangan - Ds. Baruh Jaya</v>
      </c>
      <c r="D309" s="101" t="str">
        <f>IF($A309="","",IFERROR(INDEX(Data_Analitik!$D$2:$D$351,MATCH($A309,Data_Analitik!$AL$2:$AL$351,0)),""))</f>
        <v>Daha Selatan - Daha Utara</v>
      </c>
      <c r="E309" s="100">
        <f>IF($A309="","",IFERROR(INDEX(Data_Analitik!$E$2:$E$351,MATCH($A309,Data_Analitik!$AL$2:$AL$351,0)),""))</f>
        <v>2.23</v>
      </c>
      <c r="F309" s="97">
        <f>IF($A309="","",IFERROR(INDEX(Data_Analitik!$P$2:$P$351,MATCH($A309,Data_Analitik!$AL$2:$AL$351,0)),""))</f>
        <v>0</v>
      </c>
      <c r="G309" s="97">
        <f>IF($A309="","",IFERROR(INDEX(Data_Analitik!$R$2:$R$351,MATCH($A309,Data_Analitik!$AL$2:$AL$351,0)),""))</f>
        <v>0</v>
      </c>
      <c r="H309" s="97">
        <f>IF($A309="","",IFERROR(INDEX(Data_Analitik!$T$2:$T$351,MATCH($A309,Data_Analitik!$AL$2:$AL$351,0)),""))</f>
        <v>0.2825112086240486</v>
      </c>
      <c r="I309" s="97">
        <f>IF($A309="","",IFERROR(INDEX(Data_Analitik!$V$2:$V$351,MATCH($A309,Data_Analitik!$AL$2:$AL$351,0)),""))</f>
        <v>0.71748879992908432</v>
      </c>
      <c r="J309" s="97">
        <f>IF($A309="","",IFERROR(INDEX(Data_Analitik!$X$2:$X$351,MATCH($A309,Data_Analitik!$AL$2:$AL$351,0)),""))</f>
        <v>0</v>
      </c>
      <c r="K309" s="97">
        <f>IF($A309="","",IFERROR(INDEX(Data_Analitik!$Z$2:$Z$351,MATCH($A309,Data_Analitik!$AL$2:$AL$351,0)),""))</f>
        <v>1.0000000085531329</v>
      </c>
      <c r="L309" s="33" t="str">
        <f>IF($A309="","",IFERROR(INDEX(Data_Analitik!$AB$2:$AB$351,MATCH($A309,Data_Analitik!$AL$2:$AL$351,0)),""))</f>
        <v>Rusak Berat Dominan</v>
      </c>
    </row>
    <row r="310" spans="1:12" ht="21.95" customHeight="1" x14ac:dyDescent="0.25">
      <c r="A310" s="32">
        <f>IF(ROW()-9&lt;=SUM(Data_Analitik!$AK$2:$AK$351),ROW()-9,"")</f>
        <v>301</v>
      </c>
      <c r="B310" s="99" t="str">
        <f>IF($A310="","",IFERROR(INDEX(Data_Analitik!$B$2:$B$351,MATCH($A310,Data_Analitik!$AL$2:$AL$351,0)),""))</f>
        <v>301</v>
      </c>
      <c r="C310" s="101" t="str">
        <f>IF($A310="","",IFERROR(INDEX(Data_Analitik!$C$2:$C$351,MATCH($A310,Data_Analitik!$AL$2:$AL$351,0)),""))</f>
        <v>Muning Tengah - Batang Alai (Pihanin Raya)</v>
      </c>
      <c r="D310" s="101" t="str">
        <f>IF($A310="","",IFERROR(INDEX(Data_Analitik!$D$2:$D$351,MATCH($A310,Data_Analitik!$AL$2:$AL$351,0)),""))</f>
        <v>Daha Selatan</v>
      </c>
      <c r="E310" s="100">
        <f>IF($A310="","",IFERROR(INDEX(Data_Analitik!$E$2:$E$351,MATCH($A310,Data_Analitik!$AL$2:$AL$351,0)),""))</f>
        <v>5.26</v>
      </c>
      <c r="F310" s="97">
        <f>IF($A310="","",IFERROR(INDEX(Data_Analitik!$P$2:$P$351,MATCH($A310,Data_Analitik!$AL$2:$AL$351,0)),""))</f>
        <v>0</v>
      </c>
      <c r="G310" s="97">
        <f>IF($A310="","",IFERROR(INDEX(Data_Analitik!$R$2:$R$351,MATCH($A310,Data_Analitik!$AL$2:$AL$351,0)),""))</f>
        <v>0</v>
      </c>
      <c r="H310" s="97">
        <f>IF($A310="","",IFERROR(INDEX(Data_Analitik!$T$2:$T$351,MATCH($A310,Data_Analitik!$AL$2:$AL$351,0)),""))</f>
        <v>0</v>
      </c>
      <c r="I310" s="97">
        <f>IF($A310="","",IFERROR(INDEX(Data_Analitik!$V$2:$V$351,MATCH($A310,Data_Analitik!$AL$2:$AL$351,0)),""))</f>
        <v>1.0000000435136571</v>
      </c>
      <c r="J310" s="97">
        <f>IF($A310="","",IFERROR(INDEX(Data_Analitik!$X$2:$X$351,MATCH($A310,Data_Analitik!$AL$2:$AL$351,0)),""))</f>
        <v>0</v>
      </c>
      <c r="K310" s="97">
        <f>IF($A310="","",IFERROR(INDEX(Data_Analitik!$Z$2:$Z$351,MATCH($A310,Data_Analitik!$AL$2:$AL$351,0)),""))</f>
        <v>1.0000000435136571</v>
      </c>
      <c r="L310" s="33" t="str">
        <f>IF($A310="","",IFERROR(INDEX(Data_Analitik!$AB$2:$AB$351,MATCH($A310,Data_Analitik!$AL$2:$AL$351,0)),""))</f>
        <v>Rusak Berat Dominan</v>
      </c>
    </row>
    <row r="311" spans="1:12" ht="21.95" customHeight="1" x14ac:dyDescent="0.25">
      <c r="A311" s="32">
        <f>IF(ROW()-9&lt;=SUM(Data_Analitik!$AK$2:$AK$351),ROW()-9,"")</f>
        <v>302</v>
      </c>
      <c r="B311" s="99" t="str">
        <f>IF($A311="","",IFERROR(INDEX(Data_Analitik!$B$2:$B$351,MATCH($A311,Data_Analitik!$AL$2:$AL$351,0)),""))</f>
        <v>302</v>
      </c>
      <c r="C311" s="101" t="str">
        <f>IF($A311="","",IFERROR(INDEX(Data_Analitik!$C$2:$C$351,MATCH($A311,Data_Analitik!$AL$2:$AL$351,0)),""))</f>
        <v>Muning Tengah - Ds. Muning Dalam</v>
      </c>
      <c r="D311" s="101" t="str">
        <f>IF($A311="","",IFERROR(INDEX(Data_Analitik!$D$2:$D$351,MATCH($A311,Data_Analitik!$AL$2:$AL$351,0)),""))</f>
        <v>Daha Selatan</v>
      </c>
      <c r="E311" s="100">
        <f>IF($A311="","",IFERROR(INDEX(Data_Analitik!$E$2:$E$351,MATCH($A311,Data_Analitik!$AL$2:$AL$351,0)),""))</f>
        <v>17.11</v>
      </c>
      <c r="F311" s="97">
        <f>IF($A311="","",IFERROR(INDEX(Data_Analitik!$P$2:$P$351,MATCH($A311,Data_Analitik!$AL$2:$AL$351,0)),""))</f>
        <v>0</v>
      </c>
      <c r="G311" s="97">
        <f>IF($A311="","",IFERROR(INDEX(Data_Analitik!$R$2:$R$351,MATCH($A311,Data_Analitik!$AL$2:$AL$351,0)),""))</f>
        <v>0</v>
      </c>
      <c r="H311" s="97">
        <f>IF($A311="","",IFERROR(INDEX(Data_Analitik!$T$2:$T$351,MATCH($A311,Data_Analitik!$AL$2:$AL$351,0)),""))</f>
        <v>0</v>
      </c>
      <c r="I311" s="97">
        <f>IF($A311="","",IFERROR(INDEX(Data_Analitik!$V$2:$V$351,MATCH($A311,Data_Analitik!$AL$2:$AL$351,0)),""))</f>
        <v>1.000000035672213</v>
      </c>
      <c r="J311" s="97">
        <f>IF($A311="","",IFERROR(INDEX(Data_Analitik!$X$2:$X$351,MATCH($A311,Data_Analitik!$AL$2:$AL$351,0)),""))</f>
        <v>0</v>
      </c>
      <c r="K311" s="97">
        <f>IF($A311="","",IFERROR(INDEX(Data_Analitik!$Z$2:$Z$351,MATCH($A311,Data_Analitik!$AL$2:$AL$351,0)),""))</f>
        <v>1.000000035672213</v>
      </c>
      <c r="L311" s="33" t="str">
        <f>IF($A311="","",IFERROR(INDEX(Data_Analitik!$AB$2:$AB$351,MATCH($A311,Data_Analitik!$AL$2:$AL$351,0)),""))</f>
        <v>Rusak Berat Dominan</v>
      </c>
    </row>
    <row r="312" spans="1:12" ht="21.95" customHeight="1" x14ac:dyDescent="0.25">
      <c r="A312" s="32">
        <f>IF(ROW()-9&lt;=SUM(Data_Analitik!$AK$2:$AK$351),ROW()-9,"")</f>
        <v>303</v>
      </c>
      <c r="B312" s="99" t="str">
        <f>IF($A312="","",IFERROR(INDEX(Data_Analitik!$B$2:$B$351,MATCH($A312,Data_Analitik!$AL$2:$AL$351,0)),""))</f>
        <v>303</v>
      </c>
      <c r="C312" s="101" t="str">
        <f>IF($A312="","",IFERROR(INDEX(Data_Analitik!$C$2:$C$351,MATCH($A312,Data_Analitik!$AL$2:$AL$351,0)),""))</f>
        <v>SP.4 Banjarbaru - Pasar Negara</v>
      </c>
      <c r="D312" s="101" t="str">
        <f>IF($A312="","",IFERROR(INDEX(Data_Analitik!$D$2:$D$351,MATCH($A312,Data_Analitik!$AL$2:$AL$351,0)),""))</f>
        <v>Daha Selatan</v>
      </c>
      <c r="E312" s="100">
        <f>IF($A312="","",IFERROR(INDEX(Data_Analitik!$E$2:$E$351,MATCH($A312,Data_Analitik!$AL$2:$AL$351,0)),""))</f>
        <v>0.66</v>
      </c>
      <c r="F312" s="97">
        <f>IF($A312="","",IFERROR(INDEX(Data_Analitik!$P$2:$P$351,MATCH($A312,Data_Analitik!$AL$2:$AL$351,0)),""))</f>
        <v>0</v>
      </c>
      <c r="G312" s="97">
        <f>IF($A312="","",IFERROR(INDEX(Data_Analitik!$R$2:$R$351,MATCH($A312,Data_Analitik!$AL$2:$AL$351,0)),""))</f>
        <v>0.84848485209725111</v>
      </c>
      <c r="H312" s="97">
        <f>IF($A312="","",IFERROR(INDEX(Data_Analitik!$T$2:$T$351,MATCH($A312,Data_Analitik!$AL$2:$AL$351,0)),""))</f>
        <v>0.1515151537729032</v>
      </c>
      <c r="I312" s="97">
        <f>IF($A312="","",IFERROR(INDEX(Data_Analitik!$V$2:$V$351,MATCH($A312,Data_Analitik!$AL$2:$AL$351,0)),""))</f>
        <v>0</v>
      </c>
      <c r="J312" s="97">
        <f>IF($A312="","",IFERROR(INDEX(Data_Analitik!$X$2:$X$351,MATCH($A312,Data_Analitik!$AL$2:$AL$351,0)),""))</f>
        <v>0.84848485209725111</v>
      </c>
      <c r="K312" s="97">
        <f>IF($A312="","",IFERROR(INDEX(Data_Analitik!$Z$2:$Z$351,MATCH($A312,Data_Analitik!$AL$2:$AL$351,0)),""))</f>
        <v>0.1515151537729032</v>
      </c>
      <c r="L312" s="33" t="str">
        <f>IF($A312="","",IFERROR(INDEX(Data_Analitik!$AB$2:$AB$351,MATCH($A312,Data_Analitik!$AL$2:$AL$351,0)),""))</f>
        <v>Relatif Mantap</v>
      </c>
    </row>
    <row r="313" spans="1:12" ht="21.95" customHeight="1" x14ac:dyDescent="0.25">
      <c r="A313" s="32">
        <f>IF(ROW()-9&lt;=SUM(Data_Analitik!$AK$2:$AK$351),ROW()-9,"")</f>
        <v>304</v>
      </c>
      <c r="B313" s="99" t="str">
        <f>IF($A313="","",IFERROR(INDEX(Data_Analitik!$B$2:$B$351,MATCH($A313,Data_Analitik!$AL$2:$AL$351,0)),""))</f>
        <v>304</v>
      </c>
      <c r="C313" s="101" t="str">
        <f>IF($A313="","",IFERROR(INDEX(Data_Analitik!$C$2:$C$351,MATCH($A313,Data_Analitik!$AL$2:$AL$351,0)),""))</f>
        <v>Negara - Tumbukan Banyu</v>
      </c>
      <c r="D313" s="101" t="str">
        <f>IF($A313="","",IFERROR(INDEX(Data_Analitik!$D$2:$D$351,MATCH($A313,Data_Analitik!$AL$2:$AL$351,0)),""))</f>
        <v>Daha Selatan</v>
      </c>
      <c r="E313" s="100">
        <f>IF($A313="","",IFERROR(INDEX(Data_Analitik!$E$2:$E$351,MATCH($A313,Data_Analitik!$AL$2:$AL$351,0)),""))</f>
        <v>0.53</v>
      </c>
      <c r="F313" s="97">
        <f>IF($A313="","",IFERROR(INDEX(Data_Analitik!$P$2:$P$351,MATCH($A313,Data_Analitik!$AL$2:$AL$351,0)),""))</f>
        <v>0.24528300987099699</v>
      </c>
      <c r="G313" s="97">
        <f>IF($A313="","",IFERROR(INDEX(Data_Analitik!$R$2:$R$351,MATCH($A313,Data_Analitik!$AL$2:$AL$351,0)),""))</f>
        <v>0.56603775834137537</v>
      </c>
      <c r="H313" s="97">
        <f>IF($A313="","",IFERROR(INDEX(Data_Analitik!$T$2:$T$351,MATCH($A313,Data_Analitik!$AL$2:$AL$351,0)),""))</f>
        <v>0.18867924809455872</v>
      </c>
      <c r="I313" s="97">
        <f>IF($A313="","",IFERROR(INDEX(Data_Analitik!$V$2:$V$351,MATCH($A313,Data_Analitik!$AL$2:$AL$351,0)),""))</f>
        <v>0</v>
      </c>
      <c r="J313" s="97">
        <f>IF($A313="","",IFERROR(INDEX(Data_Analitik!$X$2:$X$351,MATCH($A313,Data_Analitik!$AL$2:$AL$351,0)),""))</f>
        <v>0.81132076821237231</v>
      </c>
      <c r="K313" s="97">
        <f>IF($A313="","",IFERROR(INDEX(Data_Analitik!$Z$2:$Z$351,MATCH($A313,Data_Analitik!$AL$2:$AL$351,0)),""))</f>
        <v>0.18867924809455872</v>
      </c>
      <c r="L313" s="33" t="str">
        <f>IF($A313="","",IFERROR(INDEX(Data_Analitik!$AB$2:$AB$351,MATCH($A313,Data_Analitik!$AL$2:$AL$351,0)),""))</f>
        <v>Relatif Mantap</v>
      </c>
    </row>
    <row r="314" spans="1:12" ht="21.95" customHeight="1" x14ac:dyDescent="0.25">
      <c r="A314" s="32">
        <f>IF(ROW()-9&lt;=SUM(Data_Analitik!$AK$2:$AK$351),ROW()-9,"")</f>
        <v>305</v>
      </c>
      <c r="B314" s="99" t="str">
        <f>IF($A314="","",IFERROR(INDEX(Data_Analitik!$B$2:$B$351,MATCH($A314,Data_Analitik!$AL$2:$AL$351,0)),""))</f>
        <v>305</v>
      </c>
      <c r="C314" s="101" t="str">
        <f>IF($A314="","",IFERROR(INDEX(Data_Analitik!$C$2:$C$351,MATCH($A314,Data_Analitik!$AL$2:$AL$351,0)),""))</f>
        <v>SP.4. Banjarbaru - Pihanin Raya</v>
      </c>
      <c r="D314" s="101" t="str">
        <f>IF($A314="","",IFERROR(INDEX(Data_Analitik!$D$2:$D$351,MATCH($A314,Data_Analitik!$AL$2:$AL$351,0)),""))</f>
        <v>Daha Selatan</v>
      </c>
      <c r="E314" s="100">
        <f>IF($A314="","",IFERROR(INDEX(Data_Analitik!$E$2:$E$351,MATCH($A314,Data_Analitik!$AL$2:$AL$351,0)),""))</f>
        <v>1.04</v>
      </c>
      <c r="F314" s="97">
        <f>IF($A314="","",IFERROR(INDEX(Data_Analitik!$P$2:$P$351,MATCH($A314,Data_Analitik!$AL$2:$AL$351,0)),""))</f>
        <v>0.99999996332021857</v>
      </c>
      <c r="G314" s="97">
        <f>IF($A314="","",IFERROR(INDEX(Data_Analitik!$R$2:$R$351,MATCH($A314,Data_Analitik!$AL$2:$AL$351,0)),""))</f>
        <v>0</v>
      </c>
      <c r="H314" s="97">
        <f>IF($A314="","",IFERROR(INDEX(Data_Analitik!$T$2:$T$351,MATCH($A314,Data_Analitik!$AL$2:$AL$351,0)),""))</f>
        <v>0</v>
      </c>
      <c r="I314" s="97">
        <f>IF($A314="","",IFERROR(INDEX(Data_Analitik!$V$2:$V$351,MATCH($A314,Data_Analitik!$AL$2:$AL$351,0)),""))</f>
        <v>0</v>
      </c>
      <c r="J314" s="97">
        <f>IF($A314="","",IFERROR(INDEX(Data_Analitik!$X$2:$X$351,MATCH($A314,Data_Analitik!$AL$2:$AL$351,0)),""))</f>
        <v>0.99999996332021857</v>
      </c>
      <c r="K314" s="97">
        <f>IF($A314="","",IFERROR(INDEX(Data_Analitik!$Z$2:$Z$351,MATCH($A314,Data_Analitik!$AL$2:$AL$351,0)),""))</f>
        <v>0</v>
      </c>
      <c r="L314" s="33" t="str">
        <f>IF($A314="","",IFERROR(INDEX(Data_Analitik!$AB$2:$AB$351,MATCH($A314,Data_Analitik!$AL$2:$AL$351,0)),""))</f>
        <v>Relatif Mantap</v>
      </c>
    </row>
    <row r="315" spans="1:12" ht="21.95" customHeight="1" x14ac:dyDescent="0.25">
      <c r="A315" s="32">
        <f>IF(ROW()-9&lt;=SUM(Data_Analitik!$AK$2:$AK$351),ROW()-9,"")</f>
        <v>306</v>
      </c>
      <c r="B315" s="99" t="str">
        <f>IF($A315="","",IFERROR(INDEX(Data_Analitik!$B$2:$B$351,MATCH($A315,Data_Analitik!$AL$2:$AL$351,0)),""))</f>
        <v>306</v>
      </c>
      <c r="C315" s="101" t="str">
        <f>IF($A315="","",IFERROR(INDEX(Data_Analitik!$C$2:$C$351,MATCH($A315,Data_Analitik!$AL$2:$AL$351,0)),""))</f>
        <v>Bayanan - Pihanin</v>
      </c>
      <c r="D315" s="101" t="str">
        <f>IF($A315="","",IFERROR(INDEX(Data_Analitik!$D$2:$D$351,MATCH($A315,Data_Analitik!$AL$2:$AL$351,0)),""))</f>
        <v>Daha Selatan</v>
      </c>
      <c r="E315" s="100">
        <f>IF($A315="","",IFERROR(INDEX(Data_Analitik!$E$2:$E$351,MATCH($A315,Data_Analitik!$AL$2:$AL$351,0)),""))</f>
        <v>2.21</v>
      </c>
      <c r="F315" s="97">
        <f>IF($A315="","",IFERROR(INDEX(Data_Analitik!$P$2:$P$351,MATCH($A315,Data_Analitik!$AL$2:$AL$351,0)),""))</f>
        <v>0.27149322345785426</v>
      </c>
      <c r="G315" s="97">
        <f>IF($A315="","",IFERROR(INDEX(Data_Analitik!$R$2:$R$351,MATCH($A315,Data_Analitik!$AL$2:$AL$351,0)),""))</f>
        <v>0.18099547781016492</v>
      </c>
      <c r="H315" s="97">
        <f>IF($A315="","",IFERROR(INDEX(Data_Analitik!$T$2:$T$351,MATCH($A315,Data_Analitik!$AL$2:$AL$351,0)),""))</f>
        <v>0.27149322345785426</v>
      </c>
      <c r="I315" s="97">
        <f>IF($A315="","",IFERROR(INDEX(Data_Analitik!$V$2:$V$351,MATCH($A315,Data_Analitik!$AL$2:$AL$351,0)),""))</f>
        <v>0.27601809927780702</v>
      </c>
      <c r="J315" s="97">
        <f>IF($A315="","",IFERROR(INDEX(Data_Analitik!$X$2:$X$351,MATCH($A315,Data_Analitik!$AL$2:$AL$351,0)),""))</f>
        <v>0.45248870126801921</v>
      </c>
      <c r="K315" s="97">
        <f>IF($A315="","",IFERROR(INDEX(Data_Analitik!$Z$2:$Z$351,MATCH($A315,Data_Analitik!$AL$2:$AL$351,0)),""))</f>
        <v>0.54751132273566128</v>
      </c>
      <c r="L315" s="33" t="str">
        <f>IF($A315="","",IFERROR(INDEX(Data_Analitik!$AB$2:$AB$351,MATCH($A315,Data_Analitik!$AL$2:$AL$351,0)),""))</f>
        <v>Rusak Berat Dominan</v>
      </c>
    </row>
    <row r="316" spans="1:12" ht="21.95" customHeight="1" x14ac:dyDescent="0.25">
      <c r="A316" s="32">
        <f>IF(ROW()-9&lt;=SUM(Data_Analitik!$AK$2:$AK$351),ROW()-9,"")</f>
        <v>307</v>
      </c>
      <c r="B316" s="99" t="str">
        <f>IF($A316="","",IFERROR(INDEX(Data_Analitik!$B$2:$B$351,MATCH($A316,Data_Analitik!$AL$2:$AL$351,0)),""))</f>
        <v>307</v>
      </c>
      <c r="C316" s="101" t="str">
        <f>IF($A316="","",IFERROR(INDEX(Data_Analitik!$C$2:$C$351,MATCH($A316,Data_Analitik!$AL$2:$AL$351,0)),""))</f>
        <v>Jl. Kantor Camat Daha Selatan II</v>
      </c>
      <c r="D316" s="101" t="str">
        <f>IF($A316="","",IFERROR(INDEX(Data_Analitik!$D$2:$D$351,MATCH($A316,Data_Analitik!$AL$2:$AL$351,0)),""))</f>
        <v>Daha Selatan</v>
      </c>
      <c r="E316" s="100">
        <f>IF($A316="","",IFERROR(INDEX(Data_Analitik!$E$2:$E$351,MATCH($A316,Data_Analitik!$AL$2:$AL$351,0)),""))</f>
        <v>0.32</v>
      </c>
      <c r="F316" s="97">
        <f>IF($A316="","",IFERROR(INDEX(Data_Analitik!$P$2:$P$351,MATCH($A316,Data_Analitik!$AL$2:$AL$351,0)),""))</f>
        <v>0</v>
      </c>
      <c r="G316" s="97">
        <f>IF($A316="","",IFERROR(INDEX(Data_Analitik!$R$2:$R$351,MATCH($A316,Data_Analitik!$AL$2:$AL$351,0)),""))</f>
        <v>0.99999997764825821</v>
      </c>
      <c r="H316" s="97">
        <f>IF($A316="","",IFERROR(INDEX(Data_Analitik!$T$2:$T$351,MATCH($A316,Data_Analitik!$AL$2:$AL$351,0)),""))</f>
        <v>0</v>
      </c>
      <c r="I316" s="97">
        <f>IF($A316="","",IFERROR(INDEX(Data_Analitik!$V$2:$V$351,MATCH($A316,Data_Analitik!$AL$2:$AL$351,0)),""))</f>
        <v>0</v>
      </c>
      <c r="J316" s="97">
        <f>IF($A316="","",IFERROR(INDEX(Data_Analitik!$X$2:$X$351,MATCH($A316,Data_Analitik!$AL$2:$AL$351,0)),""))</f>
        <v>0.99999997764825821</v>
      </c>
      <c r="K316" s="97">
        <f>IF($A316="","",IFERROR(INDEX(Data_Analitik!$Z$2:$Z$351,MATCH($A316,Data_Analitik!$AL$2:$AL$351,0)),""))</f>
        <v>0</v>
      </c>
      <c r="L316" s="33" t="str">
        <f>IF($A316="","",IFERROR(INDEX(Data_Analitik!$AB$2:$AB$351,MATCH($A316,Data_Analitik!$AL$2:$AL$351,0)),""))</f>
        <v>Relatif Mantap</v>
      </c>
    </row>
    <row r="317" spans="1:12" ht="21.95" customHeight="1" x14ac:dyDescent="0.25">
      <c r="A317" s="32">
        <f>IF(ROW()-9&lt;=SUM(Data_Analitik!$AK$2:$AK$351),ROW()-9,"")</f>
        <v>308</v>
      </c>
      <c r="B317" s="99" t="str">
        <f>IF($A317="","",IFERROR(INDEX(Data_Analitik!$B$2:$B$351,MATCH($A317,Data_Analitik!$AL$2:$AL$351,0)),""))</f>
        <v>308</v>
      </c>
      <c r="C317" s="101" t="str">
        <f>IF($A317="","",IFERROR(INDEX(Data_Analitik!$C$2:$C$351,MATCH($A317,Data_Analitik!$AL$2:$AL$351,0)),""))</f>
        <v>Jl. Sungai Bugundi</v>
      </c>
      <c r="D317" s="101" t="str">
        <f>IF($A317="","",IFERROR(INDEX(Data_Analitik!$D$2:$D$351,MATCH($A317,Data_Analitik!$AL$2:$AL$351,0)),""))</f>
        <v>Daha Selatan</v>
      </c>
      <c r="E317" s="100">
        <f>IF($A317="","",IFERROR(INDEX(Data_Analitik!$E$2:$E$351,MATCH($A317,Data_Analitik!$AL$2:$AL$351,0)),""))</f>
        <v>0.31</v>
      </c>
      <c r="F317" s="97">
        <f>IF($A317="","",IFERROR(INDEX(Data_Analitik!$P$2:$P$351,MATCH($A317,Data_Analitik!$AL$2:$AL$351,0)),""))</f>
        <v>0</v>
      </c>
      <c r="G317" s="97">
        <f>IF($A317="","",IFERROR(INDEX(Data_Analitik!$R$2:$R$351,MATCH($A317,Data_Analitik!$AL$2:$AL$351,0)),""))</f>
        <v>0</v>
      </c>
      <c r="H317" s="97">
        <f>IF($A317="","",IFERROR(INDEX(Data_Analitik!$T$2:$T$351,MATCH($A317,Data_Analitik!$AL$2:$AL$351,0)),""))</f>
        <v>1.0000000076909219</v>
      </c>
      <c r="I317" s="97">
        <f>IF($A317="","",IFERROR(INDEX(Data_Analitik!$V$2:$V$351,MATCH($A317,Data_Analitik!$AL$2:$AL$351,0)),""))</f>
        <v>0</v>
      </c>
      <c r="J317" s="97">
        <f>IF($A317="","",IFERROR(INDEX(Data_Analitik!$X$2:$X$351,MATCH($A317,Data_Analitik!$AL$2:$AL$351,0)),""))</f>
        <v>0</v>
      </c>
      <c r="K317" s="97">
        <f>IF($A317="","",IFERROR(INDEX(Data_Analitik!$Z$2:$Z$351,MATCH($A317,Data_Analitik!$AL$2:$AL$351,0)),""))</f>
        <v>1.0000000076909219</v>
      </c>
      <c r="L317" s="33" t="str">
        <f>IF($A317="","",IFERROR(INDEX(Data_Analitik!$AB$2:$AB$351,MATCH($A317,Data_Analitik!$AL$2:$AL$351,0)),""))</f>
        <v>Tidak Mantap Tinggi</v>
      </c>
    </row>
    <row r="318" spans="1:12" ht="21.95" customHeight="1" x14ac:dyDescent="0.25">
      <c r="A318" s="32">
        <f>IF(ROW()-9&lt;=SUM(Data_Analitik!$AK$2:$AK$351),ROW()-9,"")</f>
        <v>309</v>
      </c>
      <c r="B318" s="99" t="str">
        <f>IF($A318="","",IFERROR(INDEX(Data_Analitik!$B$2:$B$351,MATCH($A318,Data_Analitik!$AL$2:$AL$351,0)),""))</f>
        <v>309</v>
      </c>
      <c r="C318" s="101" t="str">
        <f>IF($A318="","",IFERROR(INDEX(Data_Analitik!$C$2:$C$351,MATCH($A318,Data_Analitik!$AL$2:$AL$351,0)),""))</f>
        <v>Jl. Tukang Garit (Tambangan)</v>
      </c>
      <c r="D318" s="101" t="str">
        <f>IF($A318="","",IFERROR(INDEX(Data_Analitik!$D$2:$D$351,MATCH($A318,Data_Analitik!$AL$2:$AL$351,0)),""))</f>
        <v>Daha Selatan</v>
      </c>
      <c r="E318" s="100">
        <f>IF($A318="","",IFERROR(INDEX(Data_Analitik!$E$2:$E$351,MATCH($A318,Data_Analitik!$AL$2:$AL$351,0)),""))</f>
        <v>0.48</v>
      </c>
      <c r="F318" s="97">
        <f>IF($A318="","",IFERROR(INDEX(Data_Analitik!$P$2:$P$351,MATCH($A318,Data_Analitik!$AL$2:$AL$351,0)),""))</f>
        <v>0</v>
      </c>
      <c r="G318" s="97">
        <f>IF($A318="","",IFERROR(INDEX(Data_Analitik!$R$2:$R$351,MATCH($A318,Data_Analitik!$AL$2:$AL$351,0)),""))</f>
        <v>0</v>
      </c>
      <c r="H318" s="97">
        <f>IF($A318="","",IFERROR(INDEX(Data_Analitik!$T$2:$T$351,MATCH($A318,Data_Analitik!$AL$2:$AL$351,0)),""))</f>
        <v>0</v>
      </c>
      <c r="I318" s="97">
        <f>IF($A318="","",IFERROR(INDEX(Data_Analitik!$V$2:$V$351,MATCH($A318,Data_Analitik!$AL$2:$AL$351,0)),""))</f>
        <v>0.99999997764825821</v>
      </c>
      <c r="J318" s="97">
        <f>IF($A318="","",IFERROR(INDEX(Data_Analitik!$X$2:$X$351,MATCH($A318,Data_Analitik!$AL$2:$AL$351,0)),""))</f>
        <v>0</v>
      </c>
      <c r="K318" s="97">
        <f>IF($A318="","",IFERROR(INDEX(Data_Analitik!$Z$2:$Z$351,MATCH($A318,Data_Analitik!$AL$2:$AL$351,0)),""))</f>
        <v>0.99999997764825821</v>
      </c>
      <c r="L318" s="33" t="str">
        <f>IF($A318="","",IFERROR(INDEX(Data_Analitik!$AB$2:$AB$351,MATCH($A318,Data_Analitik!$AL$2:$AL$351,0)),""))</f>
        <v>Rusak Berat Dominan</v>
      </c>
    </row>
    <row r="319" spans="1:12" ht="21.95" customHeight="1" x14ac:dyDescent="0.25">
      <c r="A319" s="32">
        <f>IF(ROW()-9&lt;=SUM(Data_Analitik!$AK$2:$AK$351),ROW()-9,"")</f>
        <v>310</v>
      </c>
      <c r="B319" s="99" t="str">
        <f>IF($A319="","",IFERROR(INDEX(Data_Analitik!$B$2:$B$351,MATCH($A319,Data_Analitik!$AL$2:$AL$351,0)),""))</f>
        <v>310</v>
      </c>
      <c r="C319" s="101" t="str">
        <f>IF($A319="","",IFERROR(INDEX(Data_Analitik!$C$2:$C$351,MATCH($A319,Data_Analitik!$AL$2:$AL$351,0)),""))</f>
        <v>Pandak Daun - Baruh Jaya - Samuda</v>
      </c>
      <c r="D319" s="101" t="str">
        <f>IF($A319="","",IFERROR(INDEX(Data_Analitik!$D$2:$D$351,MATCH($A319,Data_Analitik!$AL$2:$AL$351,0)),""))</f>
        <v>Daha Utara - Daha Selatan</v>
      </c>
      <c r="E319" s="100">
        <f>IF($A319="","",IFERROR(INDEX(Data_Analitik!$E$2:$E$351,MATCH($A319,Data_Analitik!$AL$2:$AL$351,0)),""))</f>
        <v>7.33</v>
      </c>
      <c r="F319" s="97">
        <f>IF($A319="","",IFERROR(INDEX(Data_Analitik!$P$2:$P$351,MATCH($A319,Data_Analitik!$AL$2:$AL$351,0)),""))</f>
        <v>2.7285130010945735E-2</v>
      </c>
      <c r="G319" s="97">
        <f>IF($A319="","",IFERROR(INDEX(Data_Analitik!$R$2:$R$351,MATCH($A319,Data_Analitik!$AL$2:$AL$351,0)),""))</f>
        <v>0.69577079190075963</v>
      </c>
      <c r="H319" s="97">
        <f>IF($A319="","",IFERROR(INDEX(Data_Analitik!$T$2:$T$351,MATCH($A319,Data_Analitik!$AL$2:$AL$351,0)),""))</f>
        <v>0.20873123757022791</v>
      </c>
      <c r="I319" s="97">
        <f>IF($A319="","",IFERROR(INDEX(Data_Analitik!$V$2:$V$351,MATCH($A319,Data_Analitik!$AL$2:$AL$351,0)),""))</f>
        <v>6.8212824010914053E-2</v>
      </c>
      <c r="J319" s="97">
        <f>IF($A319="","",IFERROR(INDEX(Data_Analitik!$X$2:$X$351,MATCH($A319,Data_Analitik!$AL$2:$AL$351,0)),""))</f>
        <v>0.72305592191170542</v>
      </c>
      <c r="K319" s="97">
        <f>IF($A319="","",IFERROR(INDEX(Data_Analitik!$Z$2:$Z$351,MATCH($A319,Data_Analitik!$AL$2:$AL$351,0)),""))</f>
        <v>0.27694406158114193</v>
      </c>
      <c r="L319" s="33" t="str">
        <f>IF($A319="","",IFERROR(INDEX(Data_Analitik!$AB$2:$AB$351,MATCH($A319,Data_Analitik!$AL$2:$AL$351,0)),""))</f>
        <v>Tidak Mantap Sedang</v>
      </c>
    </row>
    <row r="320" spans="1:12" ht="21.95" customHeight="1" x14ac:dyDescent="0.25">
      <c r="A320" s="32">
        <f>IF(ROW()-9&lt;=SUM(Data_Analitik!$AK$2:$AK$351),ROW()-9,"")</f>
        <v>311</v>
      </c>
      <c r="B320" s="99" t="str">
        <f>IF($A320="","",IFERROR(INDEX(Data_Analitik!$B$2:$B$351,MATCH($A320,Data_Analitik!$AL$2:$AL$351,0)),""))</f>
        <v>311</v>
      </c>
      <c r="C320" s="101" t="str">
        <f>IF($A320="","",IFERROR(INDEX(Data_Analitik!$C$2:$C$351,MATCH($A320,Data_Analitik!$AL$2:$AL$351,0)),""))</f>
        <v>Sei. Mandala Murung Raya</v>
      </c>
      <c r="D320" s="101" t="str">
        <f>IF($A320="","",IFERROR(INDEX(Data_Analitik!$D$2:$D$351,MATCH($A320,Data_Analitik!$AL$2:$AL$351,0)),""))</f>
        <v>Daha Utara</v>
      </c>
      <c r="E320" s="100">
        <f>IF($A320="","",IFERROR(INDEX(Data_Analitik!$E$2:$E$351,MATCH($A320,Data_Analitik!$AL$2:$AL$351,0)),""))</f>
        <v>2.1</v>
      </c>
      <c r="F320" s="97">
        <f>IF($A320="","",IFERROR(INDEX(Data_Analitik!$P$2:$P$351,MATCH($A320,Data_Analitik!$AL$2:$AL$351,0)),""))</f>
        <v>4.761904832862672E-2</v>
      </c>
      <c r="G320" s="97">
        <f>IF($A320="","",IFERROR(INDEX(Data_Analitik!$R$2:$R$351,MATCH($A320,Data_Analitik!$AL$2:$AL$351,0)),""))</f>
        <v>0.14285714853377568</v>
      </c>
      <c r="H320" s="97">
        <f>IF($A320="","",IFERROR(INDEX(Data_Analitik!$T$2:$T$351,MATCH($A320,Data_Analitik!$AL$2:$AL$351,0)),""))</f>
        <v>0.47619047619047616</v>
      </c>
      <c r="I320" s="97">
        <f>IF($A320="","",IFERROR(INDEX(Data_Analitik!$V$2:$V$351,MATCH($A320,Data_Analitik!$AL$2:$AL$351,0)),""))</f>
        <v>0.33333332765670048</v>
      </c>
      <c r="J320" s="97">
        <f>IF($A320="","",IFERROR(INDEX(Data_Analitik!$X$2:$X$351,MATCH($A320,Data_Analitik!$AL$2:$AL$351,0)),""))</f>
        <v>0.19047619686240241</v>
      </c>
      <c r="K320" s="97">
        <f>IF($A320="","",IFERROR(INDEX(Data_Analitik!$Z$2:$Z$351,MATCH($A320,Data_Analitik!$AL$2:$AL$351,0)),""))</f>
        <v>0.8095238038471767</v>
      </c>
      <c r="L320" s="33" t="str">
        <f>IF($A320="","",IFERROR(INDEX(Data_Analitik!$AB$2:$AB$351,MATCH($A320,Data_Analitik!$AL$2:$AL$351,0)),""))</f>
        <v>Rusak Berat Dominan</v>
      </c>
    </row>
    <row r="321" spans="1:12" ht="21.95" customHeight="1" x14ac:dyDescent="0.25">
      <c r="A321" s="32">
        <f>IF(ROW()-9&lt;=SUM(Data_Analitik!$AK$2:$AK$351),ROW()-9,"")</f>
        <v>312</v>
      </c>
      <c r="B321" s="99" t="str">
        <f>IF($A321="","",IFERROR(INDEX(Data_Analitik!$B$2:$B$351,MATCH($A321,Data_Analitik!$AL$2:$AL$351,0)),""))</f>
        <v>312</v>
      </c>
      <c r="C321" s="101" t="str">
        <f>IF($A321="","",IFERROR(INDEX(Data_Analitik!$C$2:$C$351,MATCH($A321,Data_Analitik!$AL$2:$AL$351,0)),""))</f>
        <v>Jl. Teluk Haur I</v>
      </c>
      <c r="D321" s="101" t="str">
        <f>IF($A321="","",IFERROR(INDEX(Data_Analitik!$D$2:$D$351,MATCH($A321,Data_Analitik!$AL$2:$AL$351,0)),""))</f>
        <v>Daha Utara</v>
      </c>
      <c r="E321" s="100">
        <f>IF($A321="","",IFERROR(INDEX(Data_Analitik!$E$2:$E$351,MATCH($A321,Data_Analitik!$AL$2:$AL$351,0)),""))</f>
        <v>0.18</v>
      </c>
      <c r="F321" s="97">
        <f>IF($A321="","",IFERROR(INDEX(Data_Analitik!$P$2:$P$351,MATCH($A321,Data_Analitik!$AL$2:$AL$351,0)),""))</f>
        <v>0</v>
      </c>
      <c r="G321" s="97">
        <f>IF($A321="","",IFERROR(INDEX(Data_Analitik!$R$2:$R$351,MATCH($A321,Data_Analitik!$AL$2:$AL$351,0)),""))</f>
        <v>0</v>
      </c>
      <c r="H321" s="97">
        <f>IF($A321="","",IFERROR(INDEX(Data_Analitik!$T$2:$T$351,MATCH($A321,Data_Analitik!$AL$2:$AL$351,0)),""))</f>
        <v>0</v>
      </c>
      <c r="I321" s="97">
        <f>IF($A321="","",IFERROR(INDEX(Data_Analitik!$V$2:$V$351,MATCH($A321,Data_Analitik!$AL$2:$AL$351,0)),""))</f>
        <v>1.0000000397364299</v>
      </c>
      <c r="J321" s="97">
        <f>IF($A321="","",IFERROR(INDEX(Data_Analitik!$X$2:$X$351,MATCH($A321,Data_Analitik!$AL$2:$AL$351,0)),""))</f>
        <v>0</v>
      </c>
      <c r="K321" s="97">
        <f>IF($A321="","",IFERROR(INDEX(Data_Analitik!$Z$2:$Z$351,MATCH($A321,Data_Analitik!$AL$2:$AL$351,0)),""))</f>
        <v>1.0000000397364299</v>
      </c>
      <c r="L321" s="33" t="str">
        <f>IF($A321="","",IFERROR(INDEX(Data_Analitik!$AB$2:$AB$351,MATCH($A321,Data_Analitik!$AL$2:$AL$351,0)),""))</f>
        <v>Rusak Berat Dominan</v>
      </c>
    </row>
    <row r="322" spans="1:12" ht="21.95" customHeight="1" x14ac:dyDescent="0.25">
      <c r="A322" s="32">
        <f>IF(ROW()-9&lt;=SUM(Data_Analitik!$AK$2:$AK$351),ROW()-9,"")</f>
        <v>313</v>
      </c>
      <c r="B322" s="99" t="str">
        <f>IF($A322="","",IFERROR(INDEX(Data_Analitik!$B$2:$B$351,MATCH($A322,Data_Analitik!$AL$2:$AL$351,0)),""))</f>
        <v>313</v>
      </c>
      <c r="C322" s="101" t="str">
        <f>IF($A322="","",IFERROR(INDEX(Data_Analitik!$C$2:$C$351,MATCH($A322,Data_Analitik!$AL$2:$AL$351,0)),""))</f>
        <v>Jl. Teluk Haur II</v>
      </c>
      <c r="D322" s="101" t="str">
        <f>IF($A322="","",IFERROR(INDEX(Data_Analitik!$D$2:$D$351,MATCH($A322,Data_Analitik!$AL$2:$AL$351,0)),""))</f>
        <v>Daha Utara</v>
      </c>
      <c r="E322" s="100">
        <f>IF($A322="","",IFERROR(INDEX(Data_Analitik!$E$2:$E$351,MATCH($A322,Data_Analitik!$AL$2:$AL$351,0)),""))</f>
        <v>0.21</v>
      </c>
      <c r="F322" s="97">
        <f>IF($A322="","",IFERROR(INDEX(Data_Analitik!$P$2:$P$351,MATCH($A322,Data_Analitik!$AL$2:$AL$351,0)),""))</f>
        <v>0</v>
      </c>
      <c r="G322" s="97">
        <f>IF($A322="","",IFERROR(INDEX(Data_Analitik!$R$2:$R$351,MATCH($A322,Data_Analitik!$AL$2:$AL$351,0)),""))</f>
        <v>0</v>
      </c>
      <c r="H322" s="97">
        <f>IF($A322="","",IFERROR(INDEX(Data_Analitik!$T$2:$T$351,MATCH($A322,Data_Analitik!$AL$2:$AL$351,0)),""))</f>
        <v>0</v>
      </c>
      <c r="I322" s="97">
        <f>IF($A322="","",IFERROR(INDEX(Data_Analitik!$V$2:$V$351,MATCH($A322,Data_Analitik!$AL$2:$AL$351,0)),""))</f>
        <v>1.0000000042574746</v>
      </c>
      <c r="J322" s="97">
        <f>IF($A322="","",IFERROR(INDEX(Data_Analitik!$X$2:$X$351,MATCH($A322,Data_Analitik!$AL$2:$AL$351,0)),""))</f>
        <v>0</v>
      </c>
      <c r="K322" s="97">
        <f>IF($A322="","",IFERROR(INDEX(Data_Analitik!$Z$2:$Z$351,MATCH($A322,Data_Analitik!$AL$2:$AL$351,0)),""))</f>
        <v>1.0000000042574746</v>
      </c>
      <c r="L322" s="33" t="str">
        <f>IF($A322="","",IFERROR(INDEX(Data_Analitik!$AB$2:$AB$351,MATCH($A322,Data_Analitik!$AL$2:$AL$351,0)),""))</f>
        <v>Rusak Berat Dominan</v>
      </c>
    </row>
    <row r="323" spans="1:12" ht="21.95" customHeight="1" x14ac:dyDescent="0.25">
      <c r="A323" s="32">
        <f>IF(ROW()-9&lt;=SUM(Data_Analitik!$AK$2:$AK$351),ROW()-9,"")</f>
        <v>314</v>
      </c>
      <c r="B323" s="99" t="str">
        <f>IF($A323="","",IFERROR(INDEX(Data_Analitik!$B$2:$B$351,MATCH($A323,Data_Analitik!$AL$2:$AL$351,0)),""))</f>
        <v>314</v>
      </c>
      <c r="C323" s="101" t="str">
        <f>IF($A323="","",IFERROR(INDEX(Data_Analitik!$C$2:$C$351,MATCH($A323,Data_Analitik!$AL$2:$AL$351,0)),""))</f>
        <v>Jl. H.M. Thaib</v>
      </c>
      <c r="D323" s="101" t="str">
        <f>IF($A323="","",IFERROR(INDEX(Data_Analitik!$D$2:$D$351,MATCH($A323,Data_Analitik!$AL$2:$AL$351,0)),""))</f>
        <v>Daha Utara</v>
      </c>
      <c r="E323" s="100">
        <f>IF($A323="","",IFERROR(INDEX(Data_Analitik!$E$2:$E$351,MATCH($A323,Data_Analitik!$AL$2:$AL$351,0)),""))</f>
        <v>0.35</v>
      </c>
      <c r="F323" s="97">
        <f>IF($A323="","",IFERROR(INDEX(Data_Analitik!$P$2:$P$351,MATCH($A323,Data_Analitik!$AL$2:$AL$351,0)),""))</f>
        <v>0</v>
      </c>
      <c r="G323" s="97">
        <f>IF($A323="","",IFERROR(INDEX(Data_Analitik!$R$2:$R$351,MATCH($A323,Data_Analitik!$AL$2:$AL$351,0)),""))</f>
        <v>0.42857144560132709</v>
      </c>
      <c r="H323" s="97">
        <f>IF($A323="","",IFERROR(INDEX(Data_Analitik!$T$2:$T$351,MATCH($A323,Data_Analitik!$AL$2:$AL$351,0)),""))</f>
        <v>0.28571428997176035</v>
      </c>
      <c r="I323" s="97">
        <f>IF($A323="","",IFERROR(INDEX(Data_Analitik!$V$2:$V$351,MATCH($A323,Data_Analitik!$AL$2:$AL$351,0)),""))</f>
        <v>0.28571428997176035</v>
      </c>
      <c r="J323" s="97">
        <f>IF($A323="","",IFERROR(INDEX(Data_Analitik!$X$2:$X$351,MATCH($A323,Data_Analitik!$AL$2:$AL$351,0)),""))</f>
        <v>0.42857144560132709</v>
      </c>
      <c r="K323" s="97">
        <f>IF($A323="","",IFERROR(INDEX(Data_Analitik!$Z$2:$Z$351,MATCH($A323,Data_Analitik!$AL$2:$AL$351,0)),""))</f>
        <v>0.5714285799435207</v>
      </c>
      <c r="L323" s="33" t="str">
        <f>IF($A323="","",IFERROR(INDEX(Data_Analitik!$AB$2:$AB$351,MATCH($A323,Data_Analitik!$AL$2:$AL$351,0)),""))</f>
        <v>Rusak Berat Dominan</v>
      </c>
    </row>
    <row r="324" spans="1:12" ht="21.95" customHeight="1" x14ac:dyDescent="0.25">
      <c r="A324" s="32">
        <f>IF(ROW()-9&lt;=SUM(Data_Analitik!$AK$2:$AK$351),ROW()-9,"")</f>
        <v>315</v>
      </c>
      <c r="B324" s="99" t="str">
        <f>IF($A324="","",IFERROR(INDEX(Data_Analitik!$B$2:$B$351,MATCH($A324,Data_Analitik!$AL$2:$AL$351,0)),""))</f>
        <v>315</v>
      </c>
      <c r="C324" s="101" t="str">
        <f>IF($A324="","",IFERROR(INDEX(Data_Analitik!$C$2:$C$351,MATCH($A324,Data_Analitik!$AL$2:$AL$351,0)),""))</f>
        <v>Jl. Kenanga - Ds. Baruh Kambang</v>
      </c>
      <c r="D324" s="101" t="str">
        <f>IF($A324="","",IFERROR(INDEX(Data_Analitik!$D$2:$D$351,MATCH($A324,Data_Analitik!$AL$2:$AL$351,0)),""))</f>
        <v>Daha Utara</v>
      </c>
      <c r="E324" s="100">
        <f>IF($A324="","",IFERROR(INDEX(Data_Analitik!$E$2:$E$351,MATCH($A324,Data_Analitik!$AL$2:$AL$351,0)),""))</f>
        <v>0.31</v>
      </c>
      <c r="F324" s="97">
        <f>IF($A324="","",IFERROR(INDEX(Data_Analitik!$P$2:$P$351,MATCH($A324,Data_Analitik!$AL$2:$AL$351,0)),""))</f>
        <v>0.64516129993623306</v>
      </c>
      <c r="G324" s="97">
        <f>IF($A324="","",IFERROR(INDEX(Data_Analitik!$R$2:$R$351,MATCH($A324,Data_Analitik!$AL$2:$AL$351,0)),""))</f>
        <v>0</v>
      </c>
      <c r="H324" s="97">
        <f>IF($A324="","",IFERROR(INDEX(Data_Analitik!$T$2:$T$351,MATCH($A324,Data_Analitik!$AL$2:$AL$351,0)),""))</f>
        <v>0</v>
      </c>
      <c r="I324" s="97">
        <f>IF($A324="","",IFERROR(INDEX(Data_Analitik!$V$2:$V$351,MATCH($A324,Data_Analitik!$AL$2:$AL$351,0)),""))</f>
        <v>0.3548387077546889</v>
      </c>
      <c r="J324" s="97">
        <f>IF($A324="","",IFERROR(INDEX(Data_Analitik!$X$2:$X$351,MATCH($A324,Data_Analitik!$AL$2:$AL$351,0)),""))</f>
        <v>0.64516129993623306</v>
      </c>
      <c r="K324" s="97">
        <f>IF($A324="","",IFERROR(INDEX(Data_Analitik!$Z$2:$Z$351,MATCH($A324,Data_Analitik!$AL$2:$AL$351,0)),""))</f>
        <v>0.3548387077546889</v>
      </c>
      <c r="L324" s="33" t="str">
        <f>IF($A324="","",IFERROR(INDEX(Data_Analitik!$AB$2:$AB$351,MATCH($A324,Data_Analitik!$AL$2:$AL$351,0)),""))</f>
        <v>Rusak Berat Dominan</v>
      </c>
    </row>
    <row r="325" spans="1:12" ht="21.95" customHeight="1" x14ac:dyDescent="0.25">
      <c r="A325" s="32">
        <f>IF(ROW()-9&lt;=SUM(Data_Analitik!$AK$2:$AK$351),ROW()-9,"")</f>
        <v>316</v>
      </c>
      <c r="B325" s="99" t="str">
        <f>IF($A325="","",IFERROR(INDEX(Data_Analitik!$B$2:$B$351,MATCH($A325,Data_Analitik!$AL$2:$AL$351,0)),""))</f>
        <v>316</v>
      </c>
      <c r="C325" s="101" t="str">
        <f>IF($A325="","",IFERROR(INDEX(Data_Analitik!$C$2:$C$351,MATCH($A325,Data_Analitik!$AL$2:$AL$351,0)),""))</f>
        <v>Jl. SMAN Negara (KH. Abdullah)</v>
      </c>
      <c r="D325" s="101" t="str">
        <f>IF($A325="","",IFERROR(INDEX(Data_Analitik!$D$2:$D$351,MATCH($A325,Data_Analitik!$AL$2:$AL$351,0)),""))</f>
        <v>Daha Utara</v>
      </c>
      <c r="E325" s="100">
        <f>IF($A325="","",IFERROR(INDEX(Data_Analitik!$E$2:$E$351,MATCH($A325,Data_Analitik!$AL$2:$AL$351,0)),""))</f>
        <v>0.34</v>
      </c>
      <c r="F325" s="97">
        <f>IF($A325="","",IFERROR(INDEX(Data_Analitik!$P$2:$P$351,MATCH($A325,Data_Analitik!$AL$2:$AL$351,0)),""))</f>
        <v>1.0000000105184665</v>
      </c>
      <c r="G325" s="97">
        <f>IF($A325="","",IFERROR(INDEX(Data_Analitik!$R$2:$R$351,MATCH($A325,Data_Analitik!$AL$2:$AL$351,0)),""))</f>
        <v>0</v>
      </c>
      <c r="H325" s="97">
        <f>IF($A325="","",IFERROR(INDEX(Data_Analitik!$T$2:$T$351,MATCH($A325,Data_Analitik!$AL$2:$AL$351,0)),""))</f>
        <v>0</v>
      </c>
      <c r="I325" s="97">
        <f>IF($A325="","",IFERROR(INDEX(Data_Analitik!$V$2:$V$351,MATCH($A325,Data_Analitik!$AL$2:$AL$351,0)),""))</f>
        <v>0</v>
      </c>
      <c r="J325" s="97">
        <f>IF($A325="","",IFERROR(INDEX(Data_Analitik!$X$2:$X$351,MATCH($A325,Data_Analitik!$AL$2:$AL$351,0)),""))</f>
        <v>1.0000000105184665</v>
      </c>
      <c r="K325" s="97">
        <f>IF($A325="","",IFERROR(INDEX(Data_Analitik!$Z$2:$Z$351,MATCH($A325,Data_Analitik!$AL$2:$AL$351,0)),""))</f>
        <v>0</v>
      </c>
      <c r="L325" s="33" t="str">
        <f>IF($A325="","",IFERROR(INDEX(Data_Analitik!$AB$2:$AB$351,MATCH($A325,Data_Analitik!$AL$2:$AL$351,0)),""))</f>
        <v>Relatif Mantap</v>
      </c>
    </row>
    <row r="326" spans="1:12" ht="21.95" customHeight="1" x14ac:dyDescent="0.25">
      <c r="A326" s="32">
        <f>IF(ROW()-9&lt;=SUM(Data_Analitik!$AK$2:$AK$351),ROW()-9,"")</f>
        <v>317</v>
      </c>
      <c r="B326" s="99" t="str">
        <f>IF($A326="","",IFERROR(INDEX(Data_Analitik!$B$2:$B$351,MATCH($A326,Data_Analitik!$AL$2:$AL$351,0)),""))</f>
        <v>317</v>
      </c>
      <c r="C326" s="101" t="str">
        <f>IF($A326="","",IFERROR(INDEX(Data_Analitik!$C$2:$C$351,MATCH($A326,Data_Analitik!$AL$2:$AL$351,0)),""))</f>
        <v>Jl. Pertukangan</v>
      </c>
      <c r="D326" s="101" t="str">
        <f>IF($A326="","",IFERROR(INDEX(Data_Analitik!$D$2:$D$351,MATCH($A326,Data_Analitik!$AL$2:$AL$351,0)),""))</f>
        <v>Daha Utara</v>
      </c>
      <c r="E326" s="100">
        <f>IF($A326="","",IFERROR(INDEX(Data_Analitik!$E$2:$E$351,MATCH($A326,Data_Analitik!$AL$2:$AL$351,0)),""))</f>
        <v>0.32</v>
      </c>
      <c r="F326" s="97">
        <f>IF($A326="","",IFERROR(INDEX(Data_Analitik!$P$2:$P$351,MATCH($A326,Data_Analitik!$AL$2:$AL$351,0)),""))</f>
        <v>0.99999997764825821</v>
      </c>
      <c r="G326" s="97">
        <f>IF($A326="","",IFERROR(INDEX(Data_Analitik!$R$2:$R$351,MATCH($A326,Data_Analitik!$AL$2:$AL$351,0)),""))</f>
        <v>0</v>
      </c>
      <c r="H326" s="97">
        <f>IF($A326="","",IFERROR(INDEX(Data_Analitik!$T$2:$T$351,MATCH($A326,Data_Analitik!$AL$2:$AL$351,0)),""))</f>
        <v>0</v>
      </c>
      <c r="I326" s="97">
        <f>IF($A326="","",IFERROR(INDEX(Data_Analitik!$V$2:$V$351,MATCH($A326,Data_Analitik!$AL$2:$AL$351,0)),""))</f>
        <v>0</v>
      </c>
      <c r="J326" s="97">
        <f>IF($A326="","",IFERROR(INDEX(Data_Analitik!$X$2:$X$351,MATCH($A326,Data_Analitik!$AL$2:$AL$351,0)),""))</f>
        <v>0.99999997764825821</v>
      </c>
      <c r="K326" s="97">
        <f>IF($A326="","",IFERROR(INDEX(Data_Analitik!$Z$2:$Z$351,MATCH($A326,Data_Analitik!$AL$2:$AL$351,0)),""))</f>
        <v>0</v>
      </c>
      <c r="L326" s="33" t="str">
        <f>IF($A326="","",IFERROR(INDEX(Data_Analitik!$AB$2:$AB$351,MATCH($A326,Data_Analitik!$AL$2:$AL$351,0)),""))</f>
        <v>Relatif Mantap</v>
      </c>
    </row>
    <row r="327" spans="1:12" ht="21.95" customHeight="1" x14ac:dyDescent="0.25">
      <c r="A327" s="32">
        <f>IF(ROW()-9&lt;=SUM(Data_Analitik!$AK$2:$AK$351),ROW()-9,"")</f>
        <v>318</v>
      </c>
      <c r="B327" s="99" t="str">
        <f>IF($A327="","",IFERROR(INDEX(Data_Analitik!$B$2:$B$351,MATCH($A327,Data_Analitik!$AL$2:$AL$351,0)),""))</f>
        <v>318</v>
      </c>
      <c r="C327" s="101" t="str">
        <f>IF($A327="","",IFERROR(INDEX(Data_Analitik!$C$2:$C$351,MATCH($A327,Data_Analitik!$AL$2:$AL$351,0)),""))</f>
        <v>Jl. Silaturrahim</v>
      </c>
      <c r="D327" s="101" t="str">
        <f>IF($A327="","",IFERROR(INDEX(Data_Analitik!$D$2:$D$351,MATCH($A327,Data_Analitik!$AL$2:$AL$351,0)),""))</f>
        <v>Daha Utara</v>
      </c>
      <c r="E327" s="100">
        <f>IF($A327="","",IFERROR(INDEX(Data_Analitik!$E$2:$E$351,MATCH($A327,Data_Analitik!$AL$2:$AL$351,0)),""))</f>
        <v>0.28000000000000003</v>
      </c>
      <c r="F327" s="97">
        <f>IF($A327="","",IFERROR(INDEX(Data_Analitik!$P$2:$P$351,MATCH($A327,Data_Analitik!$AL$2:$AL$351,0)),""))</f>
        <v>1.0000000042574746</v>
      </c>
      <c r="G327" s="97">
        <f>IF($A327="","",IFERROR(INDEX(Data_Analitik!$R$2:$R$351,MATCH($A327,Data_Analitik!$AL$2:$AL$351,0)),""))</f>
        <v>0</v>
      </c>
      <c r="H327" s="97">
        <f>IF($A327="","",IFERROR(INDEX(Data_Analitik!$T$2:$T$351,MATCH($A327,Data_Analitik!$AL$2:$AL$351,0)),""))</f>
        <v>0</v>
      </c>
      <c r="I327" s="97">
        <f>IF($A327="","",IFERROR(INDEX(Data_Analitik!$V$2:$V$351,MATCH($A327,Data_Analitik!$AL$2:$AL$351,0)),""))</f>
        <v>0</v>
      </c>
      <c r="J327" s="97">
        <f>IF($A327="","",IFERROR(INDEX(Data_Analitik!$X$2:$X$351,MATCH($A327,Data_Analitik!$AL$2:$AL$351,0)),""))</f>
        <v>1.0000000042574746</v>
      </c>
      <c r="K327" s="97">
        <f>IF($A327="","",IFERROR(INDEX(Data_Analitik!$Z$2:$Z$351,MATCH($A327,Data_Analitik!$AL$2:$AL$351,0)),""))</f>
        <v>0</v>
      </c>
      <c r="L327" s="33" t="str">
        <f>IF($A327="","",IFERROR(INDEX(Data_Analitik!$AB$2:$AB$351,MATCH($A327,Data_Analitik!$AL$2:$AL$351,0)),""))</f>
        <v>Relatif Mantap</v>
      </c>
    </row>
    <row r="328" spans="1:12" ht="21.95" customHeight="1" x14ac:dyDescent="0.25">
      <c r="A328" s="32">
        <f>IF(ROW()-9&lt;=SUM(Data_Analitik!$AK$2:$AK$351),ROW()-9,"")</f>
        <v>319</v>
      </c>
      <c r="B328" s="99" t="str">
        <f>IF($A328="","",IFERROR(INDEX(Data_Analitik!$B$2:$B$351,MATCH($A328,Data_Analitik!$AL$2:$AL$351,0)),""))</f>
        <v>319</v>
      </c>
      <c r="C328" s="101" t="str">
        <f>IF($A328="","",IFERROR(INDEX(Data_Analitik!$C$2:$C$351,MATCH($A328,Data_Analitik!$AL$2:$AL$351,0)),""))</f>
        <v>Jl. Habib Ibrahim - Ds. Sei Mandala</v>
      </c>
      <c r="D328" s="101" t="str">
        <f>IF($A328="","",IFERROR(INDEX(Data_Analitik!$D$2:$D$351,MATCH($A328,Data_Analitik!$AL$2:$AL$351,0)),""))</f>
        <v>Daha Utara</v>
      </c>
      <c r="E328" s="100">
        <f>IF($A328="","",IFERROR(INDEX(Data_Analitik!$E$2:$E$351,MATCH($A328,Data_Analitik!$AL$2:$AL$351,0)),""))</f>
        <v>0.17</v>
      </c>
      <c r="F328" s="97">
        <f>IF($A328="","",IFERROR(INDEX(Data_Analitik!$P$2:$P$351,MATCH($A328,Data_Analitik!$AL$2:$AL$351,0)),""))</f>
        <v>1.0000000105184665</v>
      </c>
      <c r="G328" s="97">
        <f>IF($A328="","",IFERROR(INDEX(Data_Analitik!$R$2:$R$351,MATCH($A328,Data_Analitik!$AL$2:$AL$351,0)),""))</f>
        <v>0</v>
      </c>
      <c r="H328" s="97">
        <f>IF($A328="","",IFERROR(INDEX(Data_Analitik!$T$2:$T$351,MATCH($A328,Data_Analitik!$AL$2:$AL$351,0)),""))</f>
        <v>0</v>
      </c>
      <c r="I328" s="97">
        <f>IF($A328="","",IFERROR(INDEX(Data_Analitik!$V$2:$V$351,MATCH($A328,Data_Analitik!$AL$2:$AL$351,0)),""))</f>
        <v>0</v>
      </c>
      <c r="J328" s="97">
        <f>IF($A328="","",IFERROR(INDEX(Data_Analitik!$X$2:$X$351,MATCH($A328,Data_Analitik!$AL$2:$AL$351,0)),""))</f>
        <v>1.0000000105184665</v>
      </c>
      <c r="K328" s="97">
        <f>IF($A328="","",IFERROR(INDEX(Data_Analitik!$Z$2:$Z$351,MATCH($A328,Data_Analitik!$AL$2:$AL$351,0)),""))</f>
        <v>0</v>
      </c>
      <c r="L328" s="33" t="str">
        <f>IF($A328="","",IFERROR(INDEX(Data_Analitik!$AB$2:$AB$351,MATCH($A328,Data_Analitik!$AL$2:$AL$351,0)),""))</f>
        <v>Relatif Mantap</v>
      </c>
    </row>
    <row r="329" spans="1:12" ht="21.95" customHeight="1" x14ac:dyDescent="0.25">
      <c r="A329" s="32">
        <f>IF(ROW()-9&lt;=SUM(Data_Analitik!$AK$2:$AK$351),ROW()-9,"")</f>
        <v>320</v>
      </c>
      <c r="B329" s="99" t="str">
        <f>IF($A329="","",IFERROR(INDEX(Data_Analitik!$B$2:$B$351,MATCH($A329,Data_Analitik!$AL$2:$AL$351,0)),""))</f>
        <v>320</v>
      </c>
      <c r="C329" s="101" t="str">
        <f>IF($A329="","",IFERROR(INDEX(Data_Analitik!$C$2:$C$351,MATCH($A329,Data_Analitik!$AL$2:$AL$351,0)),""))</f>
        <v>Jl. Sukaramai - Keramat</v>
      </c>
      <c r="D329" s="101" t="str">
        <f>IF($A329="","",IFERROR(INDEX(Data_Analitik!$D$2:$D$351,MATCH($A329,Data_Analitik!$AL$2:$AL$351,0)),""))</f>
        <v>Daha Utara</v>
      </c>
      <c r="E329" s="100">
        <f>IF($A329="","",IFERROR(INDEX(Data_Analitik!$E$2:$E$351,MATCH($A329,Data_Analitik!$AL$2:$AL$351,0)),""))</f>
        <v>0.73</v>
      </c>
      <c r="F329" s="97">
        <f>IF($A329="","",IFERROR(INDEX(Data_Analitik!$P$2:$P$351,MATCH($A329,Data_Analitik!$AL$2:$AL$351,0)),""))</f>
        <v>1.0000000261280635</v>
      </c>
      <c r="G329" s="97">
        <f>IF($A329="","",IFERROR(INDEX(Data_Analitik!$R$2:$R$351,MATCH($A329,Data_Analitik!$AL$2:$AL$351,0)),""))</f>
        <v>0</v>
      </c>
      <c r="H329" s="97">
        <f>IF($A329="","",IFERROR(INDEX(Data_Analitik!$T$2:$T$351,MATCH($A329,Data_Analitik!$AL$2:$AL$351,0)),""))</f>
        <v>0</v>
      </c>
      <c r="I329" s="97">
        <f>IF($A329="","",IFERROR(INDEX(Data_Analitik!$V$2:$V$351,MATCH($A329,Data_Analitik!$AL$2:$AL$351,0)),""))</f>
        <v>0</v>
      </c>
      <c r="J329" s="97">
        <f>IF($A329="","",IFERROR(INDEX(Data_Analitik!$X$2:$X$351,MATCH($A329,Data_Analitik!$AL$2:$AL$351,0)),""))</f>
        <v>1.0000000261280635</v>
      </c>
      <c r="K329" s="97">
        <f>IF($A329="","",IFERROR(INDEX(Data_Analitik!$Z$2:$Z$351,MATCH($A329,Data_Analitik!$AL$2:$AL$351,0)),""))</f>
        <v>0</v>
      </c>
      <c r="L329" s="33" t="str">
        <f>IF($A329="","",IFERROR(INDEX(Data_Analitik!$AB$2:$AB$351,MATCH($A329,Data_Analitik!$AL$2:$AL$351,0)),""))</f>
        <v>Relatif Mantap</v>
      </c>
    </row>
    <row r="330" spans="1:12" ht="21.95" customHeight="1" x14ac:dyDescent="0.25">
      <c r="A330" s="32">
        <f>IF(ROW()-9&lt;=SUM(Data_Analitik!$AK$2:$AK$351),ROW()-9,"")</f>
        <v>321</v>
      </c>
      <c r="B330" s="99" t="str">
        <f>IF($A330="","",IFERROR(INDEX(Data_Analitik!$B$2:$B$351,MATCH($A330,Data_Analitik!$AL$2:$AL$351,0)),""))</f>
        <v>321</v>
      </c>
      <c r="C330" s="101" t="str">
        <f>IF($A330="","",IFERROR(INDEX(Data_Analitik!$C$2:$C$351,MATCH($A330,Data_Analitik!$AL$2:$AL$351,0)),""))</f>
        <v>Jl. Pakan Dalam I</v>
      </c>
      <c r="D330" s="101" t="str">
        <f>IF($A330="","",IFERROR(INDEX(Data_Analitik!$D$2:$D$351,MATCH($A330,Data_Analitik!$AL$2:$AL$351,0)),""))</f>
        <v>Daha Utara</v>
      </c>
      <c r="E330" s="100">
        <f>IF($A330="","",IFERROR(INDEX(Data_Analitik!$E$2:$E$351,MATCH($A330,Data_Analitik!$AL$2:$AL$351,0)),""))</f>
        <v>0.32</v>
      </c>
      <c r="F330" s="97">
        <f>IF($A330="","",IFERROR(INDEX(Data_Analitik!$P$2:$P$351,MATCH($A330,Data_Analitik!$AL$2:$AL$351,0)),""))</f>
        <v>0</v>
      </c>
      <c r="G330" s="97">
        <f>IF($A330="","",IFERROR(INDEX(Data_Analitik!$R$2:$R$351,MATCH($A330,Data_Analitik!$AL$2:$AL$351,0)),""))</f>
        <v>0.99999997764825821</v>
      </c>
      <c r="H330" s="97">
        <f>IF($A330="","",IFERROR(INDEX(Data_Analitik!$T$2:$T$351,MATCH($A330,Data_Analitik!$AL$2:$AL$351,0)),""))</f>
        <v>0</v>
      </c>
      <c r="I330" s="97">
        <f>IF($A330="","",IFERROR(INDEX(Data_Analitik!$V$2:$V$351,MATCH($A330,Data_Analitik!$AL$2:$AL$351,0)),""))</f>
        <v>0</v>
      </c>
      <c r="J330" s="97">
        <f>IF($A330="","",IFERROR(INDEX(Data_Analitik!$X$2:$X$351,MATCH($A330,Data_Analitik!$AL$2:$AL$351,0)),""))</f>
        <v>0.99999997764825821</v>
      </c>
      <c r="K330" s="97">
        <f>IF($A330="","",IFERROR(INDEX(Data_Analitik!$Z$2:$Z$351,MATCH($A330,Data_Analitik!$AL$2:$AL$351,0)),""))</f>
        <v>0</v>
      </c>
      <c r="L330" s="33" t="str">
        <f>IF($A330="","",IFERROR(INDEX(Data_Analitik!$AB$2:$AB$351,MATCH($A330,Data_Analitik!$AL$2:$AL$351,0)),""))</f>
        <v>Relatif Mantap</v>
      </c>
    </row>
    <row r="331" spans="1:12" ht="21.95" customHeight="1" x14ac:dyDescent="0.25">
      <c r="A331" s="32">
        <f>IF(ROW()-9&lt;=SUM(Data_Analitik!$AK$2:$AK$351),ROW()-9,"")</f>
        <v>322</v>
      </c>
      <c r="B331" s="99" t="str">
        <f>IF($A331="","",IFERROR(INDEX(Data_Analitik!$B$2:$B$351,MATCH($A331,Data_Analitik!$AL$2:$AL$351,0)),""))</f>
        <v>322</v>
      </c>
      <c r="C331" s="101" t="str">
        <f>IF($A331="","",IFERROR(INDEX(Data_Analitik!$C$2:$C$351,MATCH($A331,Data_Analitik!$AL$2:$AL$351,0)),""))</f>
        <v>Jl. Pakan Dalam II</v>
      </c>
      <c r="D331" s="101" t="str">
        <f>IF($A331="","",IFERROR(INDEX(Data_Analitik!$D$2:$D$351,MATCH($A331,Data_Analitik!$AL$2:$AL$351,0)),""))</f>
        <v>Daha Utara</v>
      </c>
      <c r="E331" s="100">
        <f>IF($A331="","",IFERROR(INDEX(Data_Analitik!$E$2:$E$351,MATCH($A331,Data_Analitik!$AL$2:$AL$351,0)),""))</f>
        <v>0.28999999999999998</v>
      </c>
      <c r="F331" s="97">
        <f>IF($A331="","",IFERROR(INDEX(Data_Analitik!$P$2:$P$351,MATCH($A331,Data_Analitik!$AL$2:$AL$351,0)),""))</f>
        <v>0</v>
      </c>
      <c r="G331" s="97">
        <f>IF($A331="","",IFERROR(INDEX(Data_Analitik!$R$2:$R$351,MATCH($A331,Data_Analitik!$AL$2:$AL$351,0)),""))</f>
        <v>0.99999997122534401</v>
      </c>
      <c r="H331" s="97">
        <f>IF($A331="","",IFERROR(INDEX(Data_Analitik!$T$2:$T$351,MATCH($A331,Data_Analitik!$AL$2:$AL$351,0)),""))</f>
        <v>0</v>
      </c>
      <c r="I331" s="97">
        <f>IF($A331="","",IFERROR(INDEX(Data_Analitik!$V$2:$V$351,MATCH($A331,Data_Analitik!$AL$2:$AL$351,0)),""))</f>
        <v>0</v>
      </c>
      <c r="J331" s="97">
        <f>IF($A331="","",IFERROR(INDEX(Data_Analitik!$X$2:$X$351,MATCH($A331,Data_Analitik!$AL$2:$AL$351,0)),""))</f>
        <v>0.99999997122534401</v>
      </c>
      <c r="K331" s="97">
        <f>IF($A331="","",IFERROR(INDEX(Data_Analitik!$Z$2:$Z$351,MATCH($A331,Data_Analitik!$AL$2:$AL$351,0)),""))</f>
        <v>0</v>
      </c>
      <c r="L331" s="33" t="str">
        <f>IF($A331="","",IFERROR(INDEX(Data_Analitik!$AB$2:$AB$351,MATCH($A331,Data_Analitik!$AL$2:$AL$351,0)),""))</f>
        <v>Relatif Mantap</v>
      </c>
    </row>
    <row r="332" spans="1:12" ht="21.95" customHeight="1" x14ac:dyDescent="0.25">
      <c r="A332" s="32">
        <f>IF(ROW()-9&lt;=SUM(Data_Analitik!$AK$2:$AK$351),ROW()-9,"")</f>
        <v>323</v>
      </c>
      <c r="B332" s="99" t="str">
        <f>IF($A332="","",IFERROR(INDEX(Data_Analitik!$B$2:$B$351,MATCH($A332,Data_Analitik!$AL$2:$AL$351,0)),""))</f>
        <v>323</v>
      </c>
      <c r="C332" s="101" t="str">
        <f>IF($A332="","",IFERROR(INDEX(Data_Analitik!$C$2:$C$351,MATCH($A332,Data_Analitik!$AL$2:$AL$351,0)),""))</f>
        <v>Jl. Pakan Dalam III</v>
      </c>
      <c r="D332" s="101" t="str">
        <f>IF($A332="","",IFERROR(INDEX(Data_Analitik!$D$2:$D$351,MATCH($A332,Data_Analitik!$AL$2:$AL$351,0)),""))</f>
        <v>Daha Utara</v>
      </c>
      <c r="E332" s="100">
        <f>IF($A332="","",IFERROR(INDEX(Data_Analitik!$E$2:$E$351,MATCH($A332,Data_Analitik!$AL$2:$AL$351,0)),""))</f>
        <v>0.28000000000000003</v>
      </c>
      <c r="F332" s="97">
        <f>IF($A332="","",IFERROR(INDEX(Data_Analitik!$P$2:$P$351,MATCH($A332,Data_Analitik!$AL$2:$AL$351,0)),""))</f>
        <v>0</v>
      </c>
      <c r="G332" s="97">
        <f>IF($A332="","",IFERROR(INDEX(Data_Analitik!$R$2:$R$351,MATCH($A332,Data_Analitik!$AL$2:$AL$351,0)),""))</f>
        <v>1.0000000042574746</v>
      </c>
      <c r="H332" s="97">
        <f>IF($A332="","",IFERROR(INDEX(Data_Analitik!$T$2:$T$351,MATCH($A332,Data_Analitik!$AL$2:$AL$351,0)),""))</f>
        <v>0</v>
      </c>
      <c r="I332" s="97">
        <f>IF($A332="","",IFERROR(INDEX(Data_Analitik!$V$2:$V$351,MATCH($A332,Data_Analitik!$AL$2:$AL$351,0)),""))</f>
        <v>0</v>
      </c>
      <c r="J332" s="97">
        <f>IF($A332="","",IFERROR(INDEX(Data_Analitik!$X$2:$X$351,MATCH($A332,Data_Analitik!$AL$2:$AL$351,0)),""))</f>
        <v>1.0000000042574746</v>
      </c>
      <c r="K332" s="97">
        <f>IF($A332="","",IFERROR(INDEX(Data_Analitik!$Z$2:$Z$351,MATCH($A332,Data_Analitik!$AL$2:$AL$351,0)),""))</f>
        <v>0</v>
      </c>
      <c r="L332" s="33" t="str">
        <f>IF($A332="","",IFERROR(INDEX(Data_Analitik!$AB$2:$AB$351,MATCH($A332,Data_Analitik!$AL$2:$AL$351,0)),""))</f>
        <v>Relatif Mantap</v>
      </c>
    </row>
    <row r="333" spans="1:12" ht="21.95" customHeight="1" x14ac:dyDescent="0.25">
      <c r="A333" s="32">
        <f>IF(ROW()-9&lt;=SUM(Data_Analitik!$AK$2:$AK$351),ROW()-9,"")</f>
        <v>324</v>
      </c>
      <c r="B333" s="99" t="str">
        <f>IF($A333="","",IFERROR(INDEX(Data_Analitik!$B$2:$B$351,MATCH($A333,Data_Analitik!$AL$2:$AL$351,0)),""))</f>
        <v>324</v>
      </c>
      <c r="C333" s="101" t="str">
        <f>IF($A333="","",IFERROR(INDEX(Data_Analitik!$C$2:$C$351,MATCH($A333,Data_Analitik!$AL$2:$AL$351,0)),""))</f>
        <v>Jl. Paramaian</v>
      </c>
      <c r="D333" s="101" t="str">
        <f>IF($A333="","",IFERROR(INDEX(Data_Analitik!$D$2:$D$351,MATCH($A333,Data_Analitik!$AL$2:$AL$351,0)),""))</f>
        <v>Daha Utara</v>
      </c>
      <c r="E333" s="100">
        <f>IF($A333="","",IFERROR(INDEX(Data_Analitik!$E$2:$E$351,MATCH($A333,Data_Analitik!$AL$2:$AL$351,0)),""))</f>
        <v>0.3</v>
      </c>
      <c r="F333" s="97">
        <f>IF($A333="","",IFERROR(INDEX(Data_Analitik!$P$2:$P$351,MATCH($A333,Data_Analitik!$AL$2:$AL$351,0)),""))</f>
        <v>0</v>
      </c>
      <c r="G333" s="97">
        <f>IF($A333="","",IFERROR(INDEX(Data_Analitik!$R$2:$R$351,MATCH($A333,Data_Analitik!$AL$2:$AL$351,0)),""))</f>
        <v>0</v>
      </c>
      <c r="H333" s="97">
        <f>IF($A333="","",IFERROR(INDEX(Data_Analitik!$T$2:$T$351,MATCH($A333,Data_Analitik!$AL$2:$AL$351,0)),""))</f>
        <v>0</v>
      </c>
      <c r="I333" s="97">
        <f>IF($A333="","",IFERROR(INDEX(Data_Analitik!$V$2:$V$351,MATCH($A333,Data_Analitik!$AL$2:$AL$351,0)),""))</f>
        <v>1.0000000149011612</v>
      </c>
      <c r="J333" s="97">
        <f>IF($A333="","",IFERROR(INDEX(Data_Analitik!$X$2:$X$351,MATCH($A333,Data_Analitik!$AL$2:$AL$351,0)),""))</f>
        <v>0</v>
      </c>
      <c r="K333" s="97">
        <f>IF($A333="","",IFERROR(INDEX(Data_Analitik!$Z$2:$Z$351,MATCH($A333,Data_Analitik!$AL$2:$AL$351,0)),""))</f>
        <v>1.0000000149011612</v>
      </c>
      <c r="L333" s="33" t="str">
        <f>IF($A333="","",IFERROR(INDEX(Data_Analitik!$AB$2:$AB$351,MATCH($A333,Data_Analitik!$AL$2:$AL$351,0)),""))</f>
        <v>Rusak Berat Dominan</v>
      </c>
    </row>
    <row r="334" spans="1:12" ht="21.95" customHeight="1" x14ac:dyDescent="0.25">
      <c r="A334" s="32">
        <f>IF(ROW()-9&lt;=SUM(Data_Analitik!$AK$2:$AK$351),ROW()-9,"")</f>
        <v>325</v>
      </c>
      <c r="B334" s="99" t="str">
        <f>IF($A334="","",IFERROR(INDEX(Data_Analitik!$B$2:$B$351,MATCH($A334,Data_Analitik!$AL$2:$AL$351,0)),""))</f>
        <v>325</v>
      </c>
      <c r="C334" s="101" t="str">
        <f>IF($A334="","",IFERROR(INDEX(Data_Analitik!$C$2:$C$351,MATCH($A334,Data_Analitik!$AL$2:$AL$351,0)),""))</f>
        <v>Jl. MIN Pandak Daun</v>
      </c>
      <c r="D334" s="101" t="str">
        <f>IF($A334="","",IFERROR(INDEX(Data_Analitik!$D$2:$D$351,MATCH($A334,Data_Analitik!$AL$2:$AL$351,0)),""))</f>
        <v>Daha Utara</v>
      </c>
      <c r="E334" s="100">
        <f>IF($A334="","",IFERROR(INDEX(Data_Analitik!$E$2:$E$351,MATCH($A334,Data_Analitik!$AL$2:$AL$351,0)),""))</f>
        <v>0.3</v>
      </c>
      <c r="F334" s="97">
        <f>IF($A334="","",IFERROR(INDEX(Data_Analitik!$P$2:$P$351,MATCH($A334,Data_Analitik!$AL$2:$AL$351,0)),""))</f>
        <v>0</v>
      </c>
      <c r="G334" s="97">
        <f>IF($A334="","",IFERROR(INDEX(Data_Analitik!$R$2:$R$351,MATCH($A334,Data_Analitik!$AL$2:$AL$351,0)),""))</f>
        <v>0.33333333830038708</v>
      </c>
      <c r="H334" s="97">
        <f>IF($A334="","",IFERROR(INDEX(Data_Analitik!$T$2:$T$351,MATCH($A334,Data_Analitik!$AL$2:$AL$351,0)),""))</f>
        <v>0</v>
      </c>
      <c r="I334" s="97">
        <f>IF($A334="","",IFERROR(INDEX(Data_Analitik!$V$2:$V$351,MATCH($A334,Data_Analitik!$AL$2:$AL$351,0)),""))</f>
        <v>0.66666667660077417</v>
      </c>
      <c r="J334" s="97">
        <f>IF($A334="","",IFERROR(INDEX(Data_Analitik!$X$2:$X$351,MATCH($A334,Data_Analitik!$AL$2:$AL$351,0)),""))</f>
        <v>0.33333333830038708</v>
      </c>
      <c r="K334" s="97">
        <f>IF($A334="","",IFERROR(INDEX(Data_Analitik!$Z$2:$Z$351,MATCH($A334,Data_Analitik!$AL$2:$AL$351,0)),""))</f>
        <v>0.66666667660077417</v>
      </c>
      <c r="L334" s="33" t="str">
        <f>IF($A334="","",IFERROR(INDEX(Data_Analitik!$AB$2:$AB$351,MATCH($A334,Data_Analitik!$AL$2:$AL$351,0)),""))</f>
        <v>Rusak Berat Dominan</v>
      </c>
    </row>
    <row r="335" spans="1:12" ht="21.95" customHeight="1" x14ac:dyDescent="0.25">
      <c r="A335" s="32">
        <f>IF(ROW()-9&lt;=SUM(Data_Analitik!$AK$2:$AK$351),ROW()-9,"")</f>
        <v>326</v>
      </c>
      <c r="B335" s="99" t="str">
        <f>IF($A335="","",IFERROR(INDEX(Data_Analitik!$B$2:$B$351,MATCH($A335,Data_Analitik!$AL$2:$AL$351,0)),""))</f>
        <v>326</v>
      </c>
      <c r="C335" s="101" t="str">
        <f>IF($A335="","",IFERROR(INDEX(Data_Analitik!$C$2:$C$351,MATCH($A335,Data_Analitik!$AL$2:$AL$351,0)),""))</f>
        <v>Jl. Pesantren Muradiyah</v>
      </c>
      <c r="D335" s="101" t="str">
        <f>IF($A335="","",IFERROR(INDEX(Data_Analitik!$D$2:$D$351,MATCH($A335,Data_Analitik!$AL$2:$AL$351,0)),""))</f>
        <v>Daha Utara</v>
      </c>
      <c r="E335" s="100">
        <f>IF($A335="","",IFERROR(INDEX(Data_Analitik!$E$2:$E$351,MATCH($A335,Data_Analitik!$AL$2:$AL$351,0)),""))</f>
        <v>0.27</v>
      </c>
      <c r="F335" s="97">
        <f>IF($A335="","",IFERROR(INDEX(Data_Analitik!$P$2:$P$351,MATCH($A335,Data_Analitik!$AL$2:$AL$351,0)),""))</f>
        <v>0</v>
      </c>
      <c r="G335" s="97">
        <f>IF($A335="","",IFERROR(INDEX(Data_Analitik!$R$2:$R$351,MATCH($A335,Data_Analitik!$AL$2:$AL$351,0)),""))</f>
        <v>1.0000000397364297</v>
      </c>
      <c r="H335" s="97">
        <f>IF($A335="","",IFERROR(INDEX(Data_Analitik!$T$2:$T$351,MATCH($A335,Data_Analitik!$AL$2:$AL$351,0)),""))</f>
        <v>0</v>
      </c>
      <c r="I335" s="97">
        <f>IF($A335="","",IFERROR(INDEX(Data_Analitik!$V$2:$V$351,MATCH($A335,Data_Analitik!$AL$2:$AL$351,0)),""))</f>
        <v>0</v>
      </c>
      <c r="J335" s="97">
        <f>IF($A335="","",IFERROR(INDEX(Data_Analitik!$X$2:$X$351,MATCH($A335,Data_Analitik!$AL$2:$AL$351,0)),""))</f>
        <v>1.0000000397364297</v>
      </c>
      <c r="K335" s="97">
        <f>IF($A335="","",IFERROR(INDEX(Data_Analitik!$Z$2:$Z$351,MATCH($A335,Data_Analitik!$AL$2:$AL$351,0)),""))</f>
        <v>0</v>
      </c>
      <c r="L335" s="33" t="str">
        <f>IF($A335="","",IFERROR(INDEX(Data_Analitik!$AB$2:$AB$351,MATCH($A335,Data_Analitik!$AL$2:$AL$351,0)),""))</f>
        <v>Relatif Mantap</v>
      </c>
    </row>
    <row r="336" spans="1:12" ht="21.95" customHeight="1" x14ac:dyDescent="0.25">
      <c r="A336" s="32">
        <f>IF(ROW()-9&lt;=SUM(Data_Analitik!$AK$2:$AK$351),ROW()-9,"")</f>
        <v>327</v>
      </c>
      <c r="B336" s="99" t="str">
        <f>IF($A336="","",IFERROR(INDEX(Data_Analitik!$B$2:$B$351,MATCH($A336,Data_Analitik!$AL$2:$AL$351,0)),""))</f>
        <v>327</v>
      </c>
      <c r="C336" s="101" t="str">
        <f>IF($A336="","",IFERROR(INDEX(Data_Analitik!$C$2:$C$351,MATCH($A336,Data_Analitik!$AL$2:$AL$351,0)),""))</f>
        <v>Pandak Daun (Buntut Muradiyah) - Pakan Dalam</v>
      </c>
      <c r="D336" s="101" t="str">
        <f>IF($A336="","",IFERROR(INDEX(Data_Analitik!$D$2:$D$351,MATCH($A336,Data_Analitik!$AL$2:$AL$351,0)),""))</f>
        <v>Daha Utara</v>
      </c>
      <c r="E336" s="100">
        <f>IF($A336="","",IFERROR(INDEX(Data_Analitik!$E$2:$E$351,MATCH($A336,Data_Analitik!$AL$2:$AL$351,0)),""))</f>
        <v>1.65</v>
      </c>
      <c r="F336" s="97">
        <f>IF($A336="","",IFERROR(INDEX(Data_Analitik!$P$2:$P$351,MATCH($A336,Data_Analitik!$AL$2:$AL$351,0)),""))</f>
        <v>0</v>
      </c>
      <c r="G336" s="97">
        <f>IF($A336="","",IFERROR(INDEX(Data_Analitik!$R$2:$R$351,MATCH($A336,Data_Analitik!$AL$2:$AL$351,0)),""))</f>
        <v>0</v>
      </c>
      <c r="H336" s="97">
        <f>IF($A336="","",IFERROR(INDEX(Data_Analitik!$T$2:$T$351,MATCH($A336,Data_Analitik!$AL$2:$AL$351,0)),""))</f>
        <v>0</v>
      </c>
      <c r="I336" s="97">
        <f>IF($A336="","",IFERROR(INDEX(Data_Analitik!$V$2:$V$351,MATCH($A336,Data_Analitik!$AL$2:$AL$351,0)),""))</f>
        <v>0.99999998555038916</v>
      </c>
      <c r="J336" s="97">
        <f>IF($A336="","",IFERROR(INDEX(Data_Analitik!$X$2:$X$351,MATCH($A336,Data_Analitik!$AL$2:$AL$351,0)),""))</f>
        <v>0</v>
      </c>
      <c r="K336" s="97">
        <f>IF($A336="","",IFERROR(INDEX(Data_Analitik!$Z$2:$Z$351,MATCH($A336,Data_Analitik!$AL$2:$AL$351,0)),""))</f>
        <v>0.99999998555038916</v>
      </c>
      <c r="L336" s="33" t="str">
        <f>IF($A336="","",IFERROR(INDEX(Data_Analitik!$AB$2:$AB$351,MATCH($A336,Data_Analitik!$AL$2:$AL$351,0)),""))</f>
        <v>Rusak Berat Dominan</v>
      </c>
    </row>
    <row r="337" spans="1:12" ht="21.95" customHeight="1" x14ac:dyDescent="0.25">
      <c r="A337" s="32">
        <f>IF(ROW()-9&lt;=SUM(Data_Analitik!$AK$2:$AK$351),ROW()-9,"")</f>
        <v>328</v>
      </c>
      <c r="B337" s="99" t="str">
        <f>IF($A337="","",IFERROR(INDEX(Data_Analitik!$B$2:$B$351,MATCH($A337,Data_Analitik!$AL$2:$AL$351,0)),""))</f>
        <v>328</v>
      </c>
      <c r="C337" s="101" t="str">
        <f>IF($A337="","",IFERROR(INDEX(Data_Analitik!$C$2:$C$351,MATCH($A337,Data_Analitik!$AL$2:$AL$351,0)),""))</f>
        <v>Pakan Dalam - Kaminting Batu</v>
      </c>
      <c r="D337" s="101" t="str">
        <f>IF($A337="","",IFERROR(INDEX(Data_Analitik!$D$2:$D$351,MATCH($A337,Data_Analitik!$AL$2:$AL$351,0)),""))</f>
        <v>Daha Utara</v>
      </c>
      <c r="E337" s="100">
        <f>IF($A337="","",IFERROR(INDEX(Data_Analitik!$E$2:$E$351,MATCH($A337,Data_Analitik!$AL$2:$AL$351,0)),""))</f>
        <v>1.82</v>
      </c>
      <c r="F337" s="97">
        <f>IF($A337="","",IFERROR(INDEX(Data_Analitik!$P$2:$P$351,MATCH($A337,Data_Analitik!$AL$2:$AL$351,0)),""))</f>
        <v>0.10989011152760013</v>
      </c>
      <c r="G337" s="97">
        <f>IF($A337="","",IFERROR(INDEX(Data_Analitik!$R$2:$R$351,MATCH($A337,Data_Analitik!$AL$2:$AL$351,0)),""))</f>
        <v>0.43956044611040052</v>
      </c>
      <c r="H337" s="97">
        <f>IF($A337="","",IFERROR(INDEX(Data_Analitik!$T$2:$T$351,MATCH($A337,Data_Analitik!$AL$2:$AL$351,0)),""))</f>
        <v>0.12087912022412478</v>
      </c>
      <c r="I337" s="97">
        <f>IF($A337="","",IFERROR(INDEX(Data_Analitik!$V$2:$V$351,MATCH($A337,Data_Analitik!$AL$2:$AL$351,0)),""))</f>
        <v>0.32967034277025159</v>
      </c>
      <c r="J337" s="97">
        <f>IF($A337="","",IFERROR(INDEX(Data_Analitik!$X$2:$X$351,MATCH($A337,Data_Analitik!$AL$2:$AL$351,0)),""))</f>
        <v>0.54945055763800066</v>
      </c>
      <c r="K337" s="97">
        <f>IF($A337="","",IFERROR(INDEX(Data_Analitik!$Z$2:$Z$351,MATCH($A337,Data_Analitik!$AL$2:$AL$351,0)),""))</f>
        <v>0.45054946299437637</v>
      </c>
      <c r="L337" s="33" t="str">
        <f>IF($A337="","",IFERROR(INDEX(Data_Analitik!$AB$2:$AB$351,MATCH($A337,Data_Analitik!$AL$2:$AL$351,0)),""))</f>
        <v>Rusak Berat Dominan</v>
      </c>
    </row>
    <row r="338" spans="1:12" ht="21.95" customHeight="1" x14ac:dyDescent="0.25">
      <c r="A338" s="32">
        <f>IF(ROW()-9&lt;=SUM(Data_Analitik!$AK$2:$AK$351),ROW()-9,"")</f>
        <v>329</v>
      </c>
      <c r="B338" s="99" t="str">
        <f>IF($A338="","",IFERROR(INDEX(Data_Analitik!$B$2:$B$351,MATCH($A338,Data_Analitik!$AL$2:$AL$351,0)),""))</f>
        <v>329</v>
      </c>
      <c r="C338" s="101" t="str">
        <f>IF($A338="","",IFERROR(INDEX(Data_Analitik!$C$2:$C$351,MATCH($A338,Data_Analitik!$AL$2:$AL$351,0)),""))</f>
        <v>Jl. Samping Kantor Camat Daha Utara</v>
      </c>
      <c r="D338" s="101" t="str">
        <f>IF($A338="","",IFERROR(INDEX(Data_Analitik!$D$2:$D$351,MATCH($A338,Data_Analitik!$AL$2:$AL$351,0)),""))</f>
        <v>Daha Utara</v>
      </c>
      <c r="E338" s="100">
        <f>IF($A338="","",IFERROR(INDEX(Data_Analitik!$E$2:$E$351,MATCH($A338,Data_Analitik!$AL$2:$AL$351,0)),""))</f>
        <v>0.15</v>
      </c>
      <c r="F338" s="97">
        <f>IF($A338="","",IFERROR(INDEX(Data_Analitik!$P$2:$P$351,MATCH($A338,Data_Analitik!$AL$2:$AL$351,0)),""))</f>
        <v>0</v>
      </c>
      <c r="G338" s="97">
        <f>IF($A338="","",IFERROR(INDEX(Data_Analitik!$R$2:$R$351,MATCH($A338,Data_Analitik!$AL$2:$AL$351,0)),""))</f>
        <v>1.0000000397364299</v>
      </c>
      <c r="H338" s="97">
        <f>IF($A338="","",IFERROR(INDEX(Data_Analitik!$T$2:$T$351,MATCH($A338,Data_Analitik!$AL$2:$AL$351,0)),""))</f>
        <v>0</v>
      </c>
      <c r="I338" s="97">
        <f>IF($A338="","",IFERROR(INDEX(Data_Analitik!$V$2:$V$351,MATCH($A338,Data_Analitik!$AL$2:$AL$351,0)),""))</f>
        <v>0</v>
      </c>
      <c r="J338" s="97">
        <f>IF($A338="","",IFERROR(INDEX(Data_Analitik!$X$2:$X$351,MATCH($A338,Data_Analitik!$AL$2:$AL$351,0)),""))</f>
        <v>1.0000000397364299</v>
      </c>
      <c r="K338" s="97">
        <f>IF($A338="","",IFERROR(INDEX(Data_Analitik!$Z$2:$Z$351,MATCH($A338,Data_Analitik!$AL$2:$AL$351,0)),""))</f>
        <v>0</v>
      </c>
      <c r="L338" s="33" t="str">
        <f>IF($A338="","",IFERROR(INDEX(Data_Analitik!$AB$2:$AB$351,MATCH($A338,Data_Analitik!$AL$2:$AL$351,0)),""))</f>
        <v>Relatif Mantap</v>
      </c>
    </row>
    <row r="339" spans="1:12" ht="21.95" customHeight="1" x14ac:dyDescent="0.25">
      <c r="A339" s="32">
        <f>IF(ROW()-9&lt;=SUM(Data_Analitik!$AK$2:$AK$351),ROW()-9,"")</f>
        <v>330</v>
      </c>
      <c r="B339" s="99" t="str">
        <f>IF($A339="","",IFERROR(INDEX(Data_Analitik!$B$2:$B$351,MATCH($A339,Data_Analitik!$AL$2:$AL$351,0)),""))</f>
        <v>330</v>
      </c>
      <c r="C339" s="101" t="str">
        <f>IF($A339="","",IFERROR(INDEX(Data_Analitik!$C$2:$C$351,MATCH($A339,Data_Analitik!$AL$2:$AL$351,0)),""))</f>
        <v>Jl. Gang Bidan (Ds. Tambak Bitin)</v>
      </c>
      <c r="D339" s="101" t="str">
        <f>IF($A339="","",IFERROR(INDEX(Data_Analitik!$D$2:$D$351,MATCH($A339,Data_Analitik!$AL$2:$AL$351,0)),""))</f>
        <v>Daha Utara</v>
      </c>
      <c r="E339" s="100">
        <f>IF($A339="","",IFERROR(INDEX(Data_Analitik!$E$2:$E$351,MATCH($A339,Data_Analitik!$AL$2:$AL$351,0)),""))</f>
        <v>0.56999999999999995</v>
      </c>
      <c r="F339" s="97">
        <f>IF($A339="","",IFERROR(INDEX(Data_Analitik!$P$2:$P$351,MATCH($A339,Data_Analitik!$AL$2:$AL$351,0)),""))</f>
        <v>0.99999998745165386</v>
      </c>
      <c r="G339" s="97">
        <f>IF($A339="","",IFERROR(INDEX(Data_Analitik!$R$2:$R$351,MATCH($A339,Data_Analitik!$AL$2:$AL$351,0)),""))</f>
        <v>0</v>
      </c>
      <c r="H339" s="97">
        <f>IF($A339="","",IFERROR(INDEX(Data_Analitik!$T$2:$T$351,MATCH($A339,Data_Analitik!$AL$2:$AL$351,0)),""))</f>
        <v>0</v>
      </c>
      <c r="I339" s="97">
        <f>IF($A339="","",IFERROR(INDEX(Data_Analitik!$V$2:$V$351,MATCH($A339,Data_Analitik!$AL$2:$AL$351,0)),""))</f>
        <v>0</v>
      </c>
      <c r="J339" s="97">
        <f>IF($A339="","",IFERROR(INDEX(Data_Analitik!$X$2:$X$351,MATCH($A339,Data_Analitik!$AL$2:$AL$351,0)),""))</f>
        <v>0.99999998745165386</v>
      </c>
      <c r="K339" s="97">
        <f>IF($A339="","",IFERROR(INDEX(Data_Analitik!$Z$2:$Z$351,MATCH($A339,Data_Analitik!$AL$2:$AL$351,0)),""))</f>
        <v>0</v>
      </c>
      <c r="L339" s="33" t="str">
        <f>IF($A339="","",IFERROR(INDEX(Data_Analitik!$AB$2:$AB$351,MATCH($A339,Data_Analitik!$AL$2:$AL$351,0)),""))</f>
        <v>Relatif Mantap</v>
      </c>
    </row>
    <row r="340" spans="1:12" ht="21.95" customHeight="1" x14ac:dyDescent="0.25">
      <c r="A340" s="32">
        <f>IF(ROW()-9&lt;=SUM(Data_Analitik!$AK$2:$AK$351),ROW()-9,"")</f>
        <v>331</v>
      </c>
      <c r="B340" s="99" t="str">
        <f>IF($A340="","",IFERROR(INDEX(Data_Analitik!$B$2:$B$351,MATCH($A340,Data_Analitik!$AL$2:$AL$351,0)),""))</f>
        <v>331</v>
      </c>
      <c r="C340" s="101" t="str">
        <f>IF($A340="","",IFERROR(INDEX(Data_Analitik!$C$2:$C$351,MATCH($A340,Data_Analitik!$AL$2:$AL$351,0)),""))</f>
        <v>Jl. Cangkingan Herman</v>
      </c>
      <c r="D340" s="101" t="str">
        <f>IF($A340="","",IFERROR(INDEX(Data_Analitik!$D$2:$D$351,MATCH($A340,Data_Analitik!$AL$2:$AL$351,0)),""))</f>
        <v>Daha Utara</v>
      </c>
      <c r="E340" s="100">
        <f>IF($A340="","",IFERROR(INDEX(Data_Analitik!$E$2:$E$351,MATCH($A340,Data_Analitik!$AL$2:$AL$351,0)),""))</f>
        <v>0.32</v>
      </c>
      <c r="F340" s="97">
        <f>IF($A340="","",IFERROR(INDEX(Data_Analitik!$P$2:$P$351,MATCH($A340,Data_Analitik!$AL$2:$AL$351,0)),""))</f>
        <v>0</v>
      </c>
      <c r="G340" s="97">
        <f>IF($A340="","",IFERROR(INDEX(Data_Analitik!$R$2:$R$351,MATCH($A340,Data_Analitik!$AL$2:$AL$351,0)),""))</f>
        <v>0.62500000931322575</v>
      </c>
      <c r="H340" s="97">
        <f>IF($A340="","",IFERROR(INDEX(Data_Analitik!$T$2:$T$351,MATCH($A340,Data_Analitik!$AL$2:$AL$351,0)),""))</f>
        <v>0.31250000465661287</v>
      </c>
      <c r="I340" s="97">
        <f>IF($A340="","",IFERROR(INDEX(Data_Analitik!$V$2:$V$351,MATCH($A340,Data_Analitik!$AL$2:$AL$351,0)),""))</f>
        <v>6.2499998603016138E-2</v>
      </c>
      <c r="J340" s="97">
        <f>IF($A340="","",IFERROR(INDEX(Data_Analitik!$X$2:$X$351,MATCH($A340,Data_Analitik!$AL$2:$AL$351,0)),""))</f>
        <v>0.62500000931322575</v>
      </c>
      <c r="K340" s="97">
        <f>IF($A340="","",IFERROR(INDEX(Data_Analitik!$Z$2:$Z$351,MATCH($A340,Data_Analitik!$AL$2:$AL$351,0)),""))</f>
        <v>0.37500000325962901</v>
      </c>
      <c r="L340" s="33" t="str">
        <f>IF($A340="","",IFERROR(INDEX(Data_Analitik!$AB$2:$AB$351,MATCH($A340,Data_Analitik!$AL$2:$AL$351,0)),""))</f>
        <v>Tidak Mantap Sedang</v>
      </c>
    </row>
    <row r="341" spans="1:12" ht="21.95" customHeight="1" x14ac:dyDescent="0.25">
      <c r="A341" s="32">
        <f>IF(ROW()-9&lt;=SUM(Data_Analitik!$AK$2:$AK$351),ROW()-9,"")</f>
        <v>332</v>
      </c>
      <c r="B341" s="99" t="str">
        <f>IF($A341="","",IFERROR(INDEX(Data_Analitik!$B$2:$B$351,MATCH($A341,Data_Analitik!$AL$2:$AL$351,0)),""))</f>
        <v>332</v>
      </c>
      <c r="C341" s="101" t="str">
        <f>IF($A341="","",IFERROR(INDEX(Data_Analitik!$C$2:$C$351,MATCH($A341,Data_Analitik!$AL$2:$AL$351,0)),""))</f>
        <v>Jl. Kampung Kawat</v>
      </c>
      <c r="D341" s="101" t="str">
        <f>IF($A341="","",IFERROR(INDEX(Data_Analitik!$D$2:$D$351,MATCH($A341,Data_Analitik!$AL$2:$AL$351,0)),""))</f>
        <v>Daha Utara</v>
      </c>
      <c r="E341" s="100">
        <f>IF($A341="","",IFERROR(INDEX(Data_Analitik!$E$2:$E$351,MATCH($A341,Data_Analitik!$AL$2:$AL$351,0)),""))</f>
        <v>0.33</v>
      </c>
      <c r="F341" s="97">
        <f>IF($A341="","",IFERROR(INDEX(Data_Analitik!$P$2:$P$351,MATCH($A341,Data_Analitik!$AL$2:$AL$351,0)),""))</f>
        <v>0</v>
      </c>
      <c r="G341" s="97">
        <f>IF($A341="","",IFERROR(INDEX(Data_Analitik!$R$2:$R$351,MATCH($A341,Data_Analitik!$AL$2:$AL$351,0)),""))</f>
        <v>0</v>
      </c>
      <c r="H341" s="97">
        <f>IF($A341="","",IFERROR(INDEX(Data_Analitik!$T$2:$T$351,MATCH($A341,Data_Analitik!$AL$2:$AL$351,0)),""))</f>
        <v>0</v>
      </c>
      <c r="I341" s="97">
        <f>IF($A341="","",IFERROR(INDEX(Data_Analitik!$V$2:$V$351,MATCH($A341,Data_Analitik!$AL$2:$AL$351,0)),""))</f>
        <v>1.0000000397364297</v>
      </c>
      <c r="J341" s="97">
        <f>IF($A341="","",IFERROR(INDEX(Data_Analitik!$X$2:$X$351,MATCH($A341,Data_Analitik!$AL$2:$AL$351,0)),""))</f>
        <v>0</v>
      </c>
      <c r="K341" s="97">
        <f>IF($A341="","",IFERROR(INDEX(Data_Analitik!$Z$2:$Z$351,MATCH($A341,Data_Analitik!$AL$2:$AL$351,0)),""))</f>
        <v>1.0000000397364297</v>
      </c>
      <c r="L341" s="33" t="str">
        <f>IF($A341="","",IFERROR(INDEX(Data_Analitik!$AB$2:$AB$351,MATCH($A341,Data_Analitik!$AL$2:$AL$351,0)),""))</f>
        <v>Rusak Berat Dominan</v>
      </c>
    </row>
    <row r="342" spans="1:12" ht="21.95" customHeight="1" x14ac:dyDescent="0.25">
      <c r="A342" s="32">
        <f>IF(ROW()-9&lt;=SUM(Data_Analitik!$AK$2:$AK$351),ROW()-9,"")</f>
        <v>333</v>
      </c>
      <c r="B342" s="99" t="str">
        <f>IF($A342="","",IFERROR(INDEX(Data_Analitik!$B$2:$B$351,MATCH($A342,Data_Analitik!$AL$2:$AL$351,0)),""))</f>
        <v>333</v>
      </c>
      <c r="C342" s="101" t="str">
        <f>IF($A342="","",IFERROR(INDEX(Data_Analitik!$C$2:$C$351,MATCH($A342,Data_Analitik!$AL$2:$AL$351,0)),""))</f>
        <v>Jl. Kaminting Batu</v>
      </c>
      <c r="D342" s="101" t="str">
        <f>IF($A342="","",IFERROR(INDEX(Data_Analitik!$D$2:$D$351,MATCH($A342,Data_Analitik!$AL$2:$AL$351,0)),""))</f>
        <v>Daha Utara</v>
      </c>
      <c r="E342" s="100">
        <f>IF($A342="","",IFERROR(INDEX(Data_Analitik!$E$2:$E$351,MATCH($A342,Data_Analitik!$AL$2:$AL$351,0)),""))</f>
        <v>0.35</v>
      </c>
      <c r="F342" s="97">
        <f>IF($A342="","",IFERROR(INDEX(Data_Analitik!$P$2:$P$351,MATCH($A342,Data_Analitik!$AL$2:$AL$351,0)),""))</f>
        <v>0</v>
      </c>
      <c r="G342" s="97">
        <f>IF($A342="","",IFERROR(INDEX(Data_Analitik!$R$2:$R$351,MATCH($A342,Data_Analitik!$AL$2:$AL$351,0)),""))</f>
        <v>0</v>
      </c>
      <c r="H342" s="97">
        <f>IF($A342="","",IFERROR(INDEX(Data_Analitik!$T$2:$T$351,MATCH($A342,Data_Analitik!$AL$2:$AL$351,0)),""))</f>
        <v>0</v>
      </c>
      <c r="I342" s="97">
        <f>IF($A342="","",IFERROR(INDEX(Data_Analitik!$V$2:$V$351,MATCH($A342,Data_Analitik!$AL$2:$AL$351,0)),""))</f>
        <v>0.99999998297010151</v>
      </c>
      <c r="J342" s="97">
        <f>IF($A342="","",IFERROR(INDEX(Data_Analitik!$X$2:$X$351,MATCH($A342,Data_Analitik!$AL$2:$AL$351,0)),""))</f>
        <v>0</v>
      </c>
      <c r="K342" s="97">
        <f>IF($A342="","",IFERROR(INDEX(Data_Analitik!$Z$2:$Z$351,MATCH($A342,Data_Analitik!$AL$2:$AL$351,0)),""))</f>
        <v>0.99999998297010151</v>
      </c>
      <c r="L342" s="33" t="str">
        <f>IF($A342="","",IFERROR(INDEX(Data_Analitik!$AB$2:$AB$351,MATCH($A342,Data_Analitik!$AL$2:$AL$351,0)),""))</f>
        <v>Rusak Berat Dominan</v>
      </c>
    </row>
    <row r="343" spans="1:12" ht="21.95" customHeight="1" x14ac:dyDescent="0.25">
      <c r="A343" s="32">
        <f>IF(ROW()-9&lt;=SUM(Data_Analitik!$AK$2:$AK$351),ROW()-9,"")</f>
        <v>334</v>
      </c>
      <c r="B343" s="99" t="str">
        <f>IF($A343="","",IFERROR(INDEX(Data_Analitik!$B$2:$B$351,MATCH($A343,Data_Analitik!$AL$2:$AL$351,0)),""))</f>
        <v>334</v>
      </c>
      <c r="C343" s="101" t="str">
        <f>IF($A343="","",IFERROR(INDEX(Data_Analitik!$C$2:$C$351,MATCH($A343,Data_Analitik!$AL$2:$AL$351,0)),""))</f>
        <v>Jl. Hamayung - Hakurung Dalam</v>
      </c>
      <c r="D343" s="101" t="str">
        <f>IF($A343="","",IFERROR(INDEX(Data_Analitik!$D$2:$D$351,MATCH($A343,Data_Analitik!$AL$2:$AL$351,0)),""))</f>
        <v>Daha Utara</v>
      </c>
      <c r="E343" s="100">
        <f>IF($A343="","",IFERROR(INDEX(Data_Analitik!$E$2:$E$351,MATCH($A343,Data_Analitik!$AL$2:$AL$351,0)),""))</f>
        <v>4.0999999999999996</v>
      </c>
      <c r="F343" s="97">
        <f>IF($A343="","",IFERROR(INDEX(Data_Analitik!$P$2:$P$351,MATCH($A343,Data_Analitik!$AL$2:$AL$351,0)),""))</f>
        <v>0</v>
      </c>
      <c r="G343" s="97">
        <f>IF($A343="","",IFERROR(INDEX(Data_Analitik!$R$2:$R$351,MATCH($A343,Data_Analitik!$AL$2:$AL$351,0)),""))</f>
        <v>2.4390244265881982E-2</v>
      </c>
      <c r="H343" s="97">
        <f>IF($A343="","",IFERROR(INDEX(Data_Analitik!$T$2:$T$351,MATCH($A343,Data_Analitik!$AL$2:$AL$351,0)),""))</f>
        <v>0.34146340881905907</v>
      </c>
      <c r="I343" s="97">
        <f>IF($A343="","",IFERROR(INDEX(Data_Analitik!$V$2:$V$351,MATCH($A343,Data_Analitik!$AL$2:$AL$351,0)),""))</f>
        <v>0.63414634727850194</v>
      </c>
      <c r="J343" s="97">
        <f>IF($A343="","",IFERROR(INDEX(Data_Analitik!$X$2:$X$351,MATCH($A343,Data_Analitik!$AL$2:$AL$351,0)),""))</f>
        <v>2.4390244265881982E-2</v>
      </c>
      <c r="K343" s="97">
        <f>IF($A343="","",IFERROR(INDEX(Data_Analitik!$Z$2:$Z$351,MATCH($A343,Data_Analitik!$AL$2:$AL$351,0)),""))</f>
        <v>0.97560975609756106</v>
      </c>
      <c r="L343" s="33" t="str">
        <f>IF($A343="","",IFERROR(INDEX(Data_Analitik!$AB$2:$AB$351,MATCH($A343,Data_Analitik!$AL$2:$AL$351,0)),""))</f>
        <v>Rusak Berat Dominan</v>
      </c>
    </row>
    <row r="344" spans="1:12" ht="21.95" customHeight="1" x14ac:dyDescent="0.25">
      <c r="A344" s="32">
        <f>IF(ROW()-9&lt;=SUM(Data_Analitik!$AK$2:$AK$351),ROW()-9,"")</f>
        <v>335</v>
      </c>
      <c r="B344" s="99" t="str">
        <f>IF($A344="","",IFERROR(INDEX(Data_Analitik!$B$2:$B$351,MATCH($A344,Data_Analitik!$AL$2:$AL$351,0)),""))</f>
        <v>335</v>
      </c>
      <c r="C344" s="101" t="str">
        <f>IF($A344="","",IFERROR(INDEX(Data_Analitik!$C$2:$C$351,MATCH($A344,Data_Analitik!$AL$2:$AL$351,0)),""))</f>
        <v>Simpang Jadi Makmur - Ds. Samuda</v>
      </c>
      <c r="D344" s="101" t="str">
        <f>IF($A344="","",IFERROR(INDEX(Data_Analitik!$D$2:$D$351,MATCH($A344,Data_Analitik!$AL$2:$AL$351,0)),""))</f>
        <v>Daha Utara</v>
      </c>
      <c r="E344" s="100">
        <f>IF($A344="","",IFERROR(INDEX(Data_Analitik!$E$2:$E$351,MATCH($A344,Data_Analitik!$AL$2:$AL$351,0)),""))</f>
        <v>0.66</v>
      </c>
      <c r="F344" s="97">
        <f>IF($A344="","",IFERROR(INDEX(Data_Analitik!$P$2:$P$351,MATCH($A344,Data_Analitik!$AL$2:$AL$351,0)),""))</f>
        <v>0</v>
      </c>
      <c r="G344" s="97">
        <f>IF($A344="","",IFERROR(INDEX(Data_Analitik!$R$2:$R$351,MATCH($A344,Data_Analitik!$AL$2:$AL$351,0)),""))</f>
        <v>1.0000000397364297</v>
      </c>
      <c r="H344" s="97">
        <f>IF($A344="","",IFERROR(INDEX(Data_Analitik!$T$2:$T$351,MATCH($A344,Data_Analitik!$AL$2:$AL$351,0)),""))</f>
        <v>0</v>
      </c>
      <c r="I344" s="97">
        <f>IF($A344="","",IFERROR(INDEX(Data_Analitik!$V$2:$V$351,MATCH($A344,Data_Analitik!$AL$2:$AL$351,0)),""))</f>
        <v>0</v>
      </c>
      <c r="J344" s="97">
        <f>IF($A344="","",IFERROR(INDEX(Data_Analitik!$X$2:$X$351,MATCH($A344,Data_Analitik!$AL$2:$AL$351,0)),""))</f>
        <v>1.0000000397364297</v>
      </c>
      <c r="K344" s="97">
        <f>IF($A344="","",IFERROR(INDEX(Data_Analitik!$Z$2:$Z$351,MATCH($A344,Data_Analitik!$AL$2:$AL$351,0)),""))</f>
        <v>0</v>
      </c>
      <c r="L344" s="33" t="str">
        <f>IF($A344="","",IFERROR(INDEX(Data_Analitik!$AB$2:$AB$351,MATCH($A344,Data_Analitik!$AL$2:$AL$351,0)),""))</f>
        <v>Relatif Mantap</v>
      </c>
    </row>
    <row r="345" spans="1:12" ht="21.95" customHeight="1" x14ac:dyDescent="0.25">
      <c r="A345" s="32">
        <f>IF(ROW()-9&lt;=SUM(Data_Analitik!$AK$2:$AK$351),ROW()-9,"")</f>
        <v>336</v>
      </c>
      <c r="B345" s="99" t="str">
        <f>IF($A345="","",IFERROR(INDEX(Data_Analitik!$B$2:$B$351,MATCH($A345,Data_Analitik!$AL$2:$AL$351,0)),""))</f>
        <v>336</v>
      </c>
      <c r="C345" s="101" t="str">
        <f>IF($A345="","",IFERROR(INDEX(Data_Analitik!$C$2:$C$351,MATCH($A345,Data_Analitik!$AL$2:$AL$351,0)),""))</f>
        <v>Jl. Sakincung - Ds. Hakurung Dalam</v>
      </c>
      <c r="D345" s="101" t="str">
        <f>IF($A345="","",IFERROR(INDEX(Data_Analitik!$D$2:$D$351,MATCH($A345,Data_Analitik!$AL$2:$AL$351,0)),""))</f>
        <v>Daha Utara</v>
      </c>
      <c r="E345" s="100">
        <f>IF($A345="","",IFERROR(INDEX(Data_Analitik!$E$2:$E$351,MATCH($A345,Data_Analitik!$AL$2:$AL$351,0)),""))</f>
        <v>1.34</v>
      </c>
      <c r="F345" s="97">
        <f>IF($A345="","",IFERROR(INDEX(Data_Analitik!$P$2:$P$351,MATCH($A345,Data_Analitik!$AL$2:$AL$351,0)),""))</f>
        <v>0</v>
      </c>
      <c r="G345" s="97">
        <f>IF($A345="","",IFERROR(INDEX(Data_Analitik!$R$2:$R$351,MATCH($A345,Data_Analitik!$AL$2:$AL$351,0)),""))</f>
        <v>0.25373134595244679</v>
      </c>
      <c r="H345" s="97">
        <f>IF($A345="","",IFERROR(INDEX(Data_Analitik!$T$2:$T$351,MATCH($A345,Data_Analitik!$AL$2:$AL$351,0)),""))</f>
        <v>0.44776121182228201</v>
      </c>
      <c r="I345" s="97">
        <f>IF($A345="","",IFERROR(INDEX(Data_Analitik!$V$2:$V$351,MATCH($A345,Data_Analitik!$AL$2:$AL$351,0)),""))</f>
        <v>0.29850747269480976</v>
      </c>
      <c r="J345" s="97">
        <f>IF($A345="","",IFERROR(INDEX(Data_Analitik!$X$2:$X$351,MATCH($A345,Data_Analitik!$AL$2:$AL$351,0)),""))</f>
        <v>0.25373134595244679</v>
      </c>
      <c r="K345" s="97">
        <f>IF($A345="","",IFERROR(INDEX(Data_Analitik!$Z$2:$Z$351,MATCH($A345,Data_Analitik!$AL$2:$AL$351,0)),""))</f>
        <v>0.74626868451709172</v>
      </c>
      <c r="L345" s="33" t="str">
        <f>IF($A345="","",IFERROR(INDEX(Data_Analitik!$AB$2:$AB$351,MATCH($A345,Data_Analitik!$AL$2:$AL$351,0)),""))</f>
        <v>Rusak Berat Dominan</v>
      </c>
    </row>
    <row r="346" spans="1:12" ht="21.95" customHeight="1" x14ac:dyDescent="0.25">
      <c r="A346" s="32">
        <f>IF(ROW()-9&lt;=SUM(Data_Analitik!$AK$2:$AK$351),ROW()-9,"")</f>
        <v>337</v>
      </c>
      <c r="B346" s="99" t="str">
        <f>IF($A346="","",IFERROR(INDEX(Data_Analitik!$B$2:$B$351,MATCH($A346,Data_Analitik!$AL$2:$AL$351,0)),""))</f>
        <v>337</v>
      </c>
      <c r="C346" s="101" t="str">
        <f>IF($A346="","",IFERROR(INDEX(Data_Analitik!$C$2:$C$351,MATCH($A346,Data_Analitik!$AL$2:$AL$351,0)),""))</f>
        <v>Jl. Hakurung Dalam - Ds. Sungai Haji</v>
      </c>
      <c r="D346" s="101" t="str">
        <f>IF($A346="","",IFERROR(INDEX(Data_Analitik!$D$2:$D$351,MATCH($A346,Data_Analitik!$AL$2:$AL$351,0)),""))</f>
        <v>Daha Utara</v>
      </c>
      <c r="E346" s="100">
        <f>IF($A346="","",IFERROR(INDEX(Data_Analitik!$E$2:$E$351,MATCH($A346,Data_Analitik!$AL$2:$AL$351,0)),""))</f>
        <v>0.56999999999999995</v>
      </c>
      <c r="F346" s="97">
        <f>IF($A346="","",IFERROR(INDEX(Data_Analitik!$P$2:$P$351,MATCH($A346,Data_Analitik!$AL$2:$AL$351,0)),""))</f>
        <v>0</v>
      </c>
      <c r="G346" s="97">
        <f>IF($A346="","",IFERROR(INDEX(Data_Analitik!$R$2:$R$351,MATCH($A346,Data_Analitik!$AL$2:$AL$351,0)),""))</f>
        <v>0.47368422934883525</v>
      </c>
      <c r="H346" s="97">
        <f>IF($A346="","",IFERROR(INDEX(Data_Analitik!$T$2:$T$351,MATCH($A346,Data_Analitik!$AL$2:$AL$351,0)),""))</f>
        <v>0.17543859910546689</v>
      </c>
      <c r="I346" s="97">
        <f>IF($A346="","",IFERROR(INDEX(Data_Analitik!$V$2:$V$351,MATCH($A346,Data_Analitik!$AL$2:$AL$351,0)),""))</f>
        <v>0.35087719821093377</v>
      </c>
      <c r="J346" s="97">
        <f>IF($A346="","",IFERROR(INDEX(Data_Analitik!$X$2:$X$351,MATCH($A346,Data_Analitik!$AL$2:$AL$351,0)),""))</f>
        <v>0.47368422934883525</v>
      </c>
      <c r="K346" s="97">
        <f>IF($A346="","",IFERROR(INDEX(Data_Analitik!$Z$2:$Z$351,MATCH($A346,Data_Analitik!$AL$2:$AL$351,0)),""))</f>
        <v>0.52631579731640066</v>
      </c>
      <c r="L346" s="33" t="str">
        <f>IF($A346="","",IFERROR(INDEX(Data_Analitik!$AB$2:$AB$351,MATCH($A346,Data_Analitik!$AL$2:$AL$351,0)),""))</f>
        <v>Rusak Berat Dominan</v>
      </c>
    </row>
    <row r="347" spans="1:12" ht="21.95" customHeight="1" x14ac:dyDescent="0.25">
      <c r="A347" s="32">
        <f>IF(ROW()-9&lt;=SUM(Data_Analitik!$AK$2:$AK$351),ROW()-9,"")</f>
        <v>338</v>
      </c>
      <c r="B347" s="99" t="str">
        <f>IF($A347="","",IFERROR(INDEX(Data_Analitik!$B$2:$B$351,MATCH($A347,Data_Analitik!$AL$2:$AL$351,0)),""))</f>
        <v>338</v>
      </c>
      <c r="C347" s="101" t="str">
        <f>IF($A347="","",IFERROR(INDEX(Data_Analitik!$C$2:$C$351,MATCH($A347,Data_Analitik!$AL$2:$AL$351,0)),""))</f>
        <v>Jl. Siang Gantung - Ds. Baru</v>
      </c>
      <c r="D347" s="101" t="str">
        <f>IF($A347="","",IFERROR(INDEX(Data_Analitik!$D$2:$D$351,MATCH($A347,Data_Analitik!$AL$2:$AL$351,0)),""))</f>
        <v>Daha Barat</v>
      </c>
      <c r="E347" s="100">
        <f>IF($A347="","",IFERROR(INDEX(Data_Analitik!$E$2:$E$351,MATCH($A347,Data_Analitik!$AL$2:$AL$351,0)),""))</f>
        <v>6.93</v>
      </c>
      <c r="F347" s="97">
        <f>IF($A347="","",IFERROR(INDEX(Data_Analitik!$P$2:$P$351,MATCH($A347,Data_Analitik!$AL$2:$AL$351,0)),""))</f>
        <v>0</v>
      </c>
      <c r="G347" s="97">
        <f>IF($A347="","",IFERROR(INDEX(Data_Analitik!$R$2:$R$351,MATCH($A347,Data_Analitik!$AL$2:$AL$351,0)),""))</f>
        <v>0.27849927093043475</v>
      </c>
      <c r="H347" s="97">
        <f>IF($A347="","",IFERROR(INDEX(Data_Analitik!$T$2:$T$351,MATCH($A347,Data_Analitik!$AL$2:$AL$351,0)),""))</f>
        <v>8.6580090020470124E-2</v>
      </c>
      <c r="I347" s="97">
        <f>IF($A347="","",IFERROR(INDEX(Data_Analitik!$V$2:$V$351,MATCH($A347,Data_Analitik!$AL$2:$AL$351,0)),""))</f>
        <v>0.63492063148025146</v>
      </c>
      <c r="J347" s="97">
        <f>IF($A347="","",IFERROR(INDEX(Data_Analitik!$X$2:$X$351,MATCH($A347,Data_Analitik!$AL$2:$AL$351,0)),""))</f>
        <v>0.27849927093043475</v>
      </c>
      <c r="K347" s="97">
        <f>IF($A347="","",IFERROR(INDEX(Data_Analitik!$Z$2:$Z$351,MATCH($A347,Data_Analitik!$AL$2:$AL$351,0)),""))</f>
        <v>0.72150072150072153</v>
      </c>
      <c r="L347" s="33" t="str">
        <f>IF($A347="","",IFERROR(INDEX(Data_Analitik!$AB$2:$AB$351,MATCH($A347,Data_Analitik!$AL$2:$AL$351,0)),""))</f>
        <v>Rusak Berat Dominan</v>
      </c>
    </row>
    <row r="348" spans="1:12" ht="21.95" customHeight="1" x14ac:dyDescent="0.25">
      <c r="A348" s="32">
        <f>IF(ROW()-9&lt;=SUM(Data_Analitik!$AK$2:$AK$351),ROW()-9,"")</f>
        <v>339</v>
      </c>
      <c r="B348" s="99" t="str">
        <f>IF($A348="","",IFERROR(INDEX(Data_Analitik!$B$2:$B$351,MATCH($A348,Data_Analitik!$AL$2:$AL$351,0)),""))</f>
        <v>339</v>
      </c>
      <c r="C348" s="101" t="str">
        <f>IF($A348="","",IFERROR(INDEX(Data_Analitik!$C$2:$C$351,MATCH($A348,Data_Analitik!$AL$2:$AL$351,0)),""))</f>
        <v>Jl. Baru - Ds. Bajayau</v>
      </c>
      <c r="D348" s="101" t="str">
        <f>IF($A348="","",IFERROR(INDEX(Data_Analitik!$D$2:$D$351,MATCH($A348,Data_Analitik!$AL$2:$AL$351,0)),""))</f>
        <v>Daha Barat</v>
      </c>
      <c r="E348" s="100">
        <f>IF($A348="","",IFERROR(INDEX(Data_Analitik!$E$2:$E$351,MATCH($A348,Data_Analitik!$AL$2:$AL$351,0)),""))</f>
        <v>2.33</v>
      </c>
      <c r="F348" s="97">
        <f>IF($A348="","",IFERROR(INDEX(Data_Analitik!$P$2:$P$351,MATCH($A348,Data_Analitik!$AL$2:$AL$351,0)),""))</f>
        <v>0</v>
      </c>
      <c r="G348" s="97">
        <f>IF($A348="","",IFERROR(INDEX(Data_Analitik!$R$2:$R$351,MATCH($A348,Data_Analitik!$AL$2:$AL$351,0)),""))</f>
        <v>0</v>
      </c>
      <c r="H348" s="97">
        <f>IF($A348="","",IFERROR(INDEX(Data_Analitik!$T$2:$T$351,MATCH($A348,Data_Analitik!$AL$2:$AL$351,0)),""))</f>
        <v>0</v>
      </c>
      <c r="I348" s="97">
        <f>IF($A348="","",IFERROR(INDEX(Data_Analitik!$V$2:$V$351,MATCH($A348,Data_Analitik!$AL$2:$AL$351,0)),""))</f>
        <v>0.99999996725581741</v>
      </c>
      <c r="J348" s="97">
        <f>IF($A348="","",IFERROR(INDEX(Data_Analitik!$X$2:$X$351,MATCH($A348,Data_Analitik!$AL$2:$AL$351,0)),""))</f>
        <v>0</v>
      </c>
      <c r="K348" s="97">
        <f>IF($A348="","",IFERROR(INDEX(Data_Analitik!$Z$2:$Z$351,MATCH($A348,Data_Analitik!$AL$2:$AL$351,0)),""))</f>
        <v>0.99999996725581741</v>
      </c>
      <c r="L348" s="33" t="str">
        <f>IF($A348="","",IFERROR(INDEX(Data_Analitik!$AB$2:$AB$351,MATCH($A348,Data_Analitik!$AL$2:$AL$351,0)),""))</f>
        <v>Rusak Berat Dominan</v>
      </c>
    </row>
    <row r="349" spans="1:12" ht="21.95" customHeight="1" x14ac:dyDescent="0.25">
      <c r="A349" s="32">
        <f>IF(ROW()-9&lt;=SUM(Data_Analitik!$AK$2:$AK$351),ROW()-9,"")</f>
        <v>340</v>
      </c>
      <c r="B349" s="99" t="str">
        <f>IF($A349="","",IFERROR(INDEX(Data_Analitik!$B$2:$B$351,MATCH($A349,Data_Analitik!$AL$2:$AL$351,0)),""))</f>
        <v>340</v>
      </c>
      <c r="C349" s="101" t="str">
        <f>IF($A349="","",IFERROR(INDEX(Data_Analitik!$C$2:$C$351,MATCH($A349,Data_Analitik!$AL$2:$AL$351,0)),""))</f>
        <v>Jl. Bajayau - Ds. Bajayau Tengah</v>
      </c>
      <c r="D349" s="101" t="str">
        <f>IF($A349="","",IFERROR(INDEX(Data_Analitik!$D$2:$D$351,MATCH($A349,Data_Analitik!$AL$2:$AL$351,0)),""))</f>
        <v>Daha Barat</v>
      </c>
      <c r="E349" s="100">
        <f>IF($A349="","",IFERROR(INDEX(Data_Analitik!$E$2:$E$351,MATCH($A349,Data_Analitik!$AL$2:$AL$351,0)),""))</f>
        <v>7.58</v>
      </c>
      <c r="F349" s="97">
        <f>IF($A349="","",IFERROR(INDEX(Data_Analitik!$P$2:$P$351,MATCH($A349,Data_Analitik!$AL$2:$AL$351,0)),""))</f>
        <v>0.27704484229981113</v>
      </c>
      <c r="G349" s="97">
        <f>IF($A349="","",IFERROR(INDEX(Data_Analitik!$R$2:$R$351,MATCH($A349,Data_Analitik!$AL$2:$AL$351,0)),""))</f>
        <v>5.2770449335153624E-2</v>
      </c>
      <c r="H349" s="97">
        <f>IF($A349="","",IFERROR(INDEX(Data_Analitik!$T$2:$T$351,MATCH($A349,Data_Analitik!$AL$2:$AL$351,0)),""))</f>
        <v>1.3192612333788406E-2</v>
      </c>
      <c r="I349" s="97">
        <f>IF($A349="","",IFERROR(INDEX(Data_Analitik!$V$2:$V$351,MATCH($A349,Data_Analitik!$AL$2:$AL$351,0)),""))</f>
        <v>0.65699207515389435</v>
      </c>
      <c r="J349" s="97">
        <f>IF($A349="","",IFERROR(INDEX(Data_Analitik!$X$2:$X$351,MATCH($A349,Data_Analitik!$AL$2:$AL$351,0)),""))</f>
        <v>0.32981529163496476</v>
      </c>
      <c r="K349" s="97">
        <f>IF($A349="","",IFERROR(INDEX(Data_Analitik!$Z$2:$Z$351,MATCH($A349,Data_Analitik!$AL$2:$AL$351,0)),""))</f>
        <v>0.67018468748768278</v>
      </c>
      <c r="L349" s="33" t="str">
        <f>IF($A349="","",IFERROR(INDEX(Data_Analitik!$AB$2:$AB$351,MATCH($A349,Data_Analitik!$AL$2:$AL$351,0)),""))</f>
        <v>Rusak Berat Dominan</v>
      </c>
    </row>
    <row r="350" spans="1:12" ht="21.95" customHeight="1" x14ac:dyDescent="0.25">
      <c r="A350" s="32">
        <f>IF(ROW()-9&lt;=SUM(Data_Analitik!$AK$2:$AK$351),ROW()-9,"")</f>
        <v>341</v>
      </c>
      <c r="B350" s="99" t="str">
        <f>IF($A350="","",IFERROR(INDEX(Data_Analitik!$B$2:$B$351,MATCH($A350,Data_Analitik!$AL$2:$AL$351,0)),""))</f>
        <v>341</v>
      </c>
      <c r="C350" s="101" t="str">
        <f>IF($A350="","",IFERROR(INDEX(Data_Analitik!$C$2:$C$351,MATCH($A350,Data_Analitik!$AL$2:$AL$351,0)),""))</f>
        <v>Jl. Banua Hanyar - Ds. Tanjung Selor</v>
      </c>
      <c r="D350" s="101" t="str">
        <f>IF($A350="","",IFERROR(INDEX(Data_Analitik!$D$2:$D$351,MATCH($A350,Data_Analitik!$AL$2:$AL$351,0)),""))</f>
        <v>Daha Barat</v>
      </c>
      <c r="E350" s="100">
        <f>IF($A350="","",IFERROR(INDEX(Data_Analitik!$E$2:$E$351,MATCH($A350,Data_Analitik!$AL$2:$AL$351,0)),""))</f>
        <v>5.61</v>
      </c>
      <c r="F350" s="97">
        <f>IF($A350="","",IFERROR(INDEX(Data_Analitik!$P$2:$P$351,MATCH($A350,Data_Analitik!$AL$2:$AL$351,0)),""))</f>
        <v>0</v>
      </c>
      <c r="G350" s="97">
        <f>IF($A350="","",IFERROR(INDEX(Data_Analitik!$R$2:$R$351,MATCH($A350,Data_Analitik!$AL$2:$AL$351,0)),""))</f>
        <v>0</v>
      </c>
      <c r="H350" s="97">
        <f>IF($A350="","",IFERROR(INDEX(Data_Analitik!$T$2:$T$351,MATCH($A350,Data_Analitik!$AL$2:$AL$351,0)),""))</f>
        <v>0</v>
      </c>
      <c r="I350" s="97">
        <f>IF($A350="","",IFERROR(INDEX(Data_Analitik!$V$2:$V$351,MATCH($A350,Data_Analitik!$AL$2:$AL$351,0)),""))</f>
        <v>1.0000000237993589</v>
      </c>
      <c r="J350" s="97">
        <f>IF($A350="","",IFERROR(INDEX(Data_Analitik!$X$2:$X$351,MATCH($A350,Data_Analitik!$AL$2:$AL$351,0)),""))</f>
        <v>0</v>
      </c>
      <c r="K350" s="97">
        <f>IF($A350="","",IFERROR(INDEX(Data_Analitik!$Z$2:$Z$351,MATCH($A350,Data_Analitik!$AL$2:$AL$351,0)),""))</f>
        <v>1.0000000237993589</v>
      </c>
      <c r="L350" s="33" t="str">
        <f>IF($A350="","",IFERROR(INDEX(Data_Analitik!$AB$2:$AB$351,MATCH($A350,Data_Analitik!$AL$2:$AL$351,0)),""))</f>
        <v>Rusak Berat Dominan</v>
      </c>
    </row>
    <row r="351" spans="1:12" ht="21.95" customHeight="1" x14ac:dyDescent="0.25">
      <c r="A351" s="32">
        <f>IF(ROW()-9&lt;=SUM(Data_Analitik!$AK$2:$AK$351),ROW()-9,"")</f>
        <v>342</v>
      </c>
      <c r="B351" s="99" t="str">
        <f>IF($A351="","",IFERROR(INDEX(Data_Analitik!$B$2:$B$351,MATCH($A351,Data_Analitik!$AL$2:$AL$351,0)),""))</f>
        <v>342</v>
      </c>
      <c r="C351" s="101" t="str">
        <f>IF($A351="","",IFERROR(INDEX(Data_Analitik!$C$2:$C$351,MATCH($A351,Data_Analitik!$AL$2:$AL$351,0)),""))</f>
        <v>Jl. Tanjung Selor - Ds. Badaun</v>
      </c>
      <c r="D351" s="101" t="str">
        <f>IF($A351="","",IFERROR(INDEX(Data_Analitik!$D$2:$D$351,MATCH($A351,Data_Analitik!$AL$2:$AL$351,0)),""))</f>
        <v>Daha Barat</v>
      </c>
      <c r="E351" s="100">
        <f>IF($A351="","",IFERROR(INDEX(Data_Analitik!$E$2:$E$351,MATCH($A351,Data_Analitik!$AL$2:$AL$351,0)),""))</f>
        <v>8.0299999999999994</v>
      </c>
      <c r="F351" s="97">
        <f>IF($A351="","",IFERROR(INDEX(Data_Analitik!$P$2:$P$351,MATCH($A351,Data_Analitik!$AL$2:$AL$351,0)),""))</f>
        <v>0</v>
      </c>
      <c r="G351" s="97">
        <f>IF($A351="","",IFERROR(INDEX(Data_Analitik!$R$2:$R$351,MATCH($A351,Data_Analitik!$AL$2:$AL$351,0)),""))</f>
        <v>0</v>
      </c>
      <c r="H351" s="97">
        <f>IF($A351="","",IFERROR(INDEX(Data_Analitik!$T$2:$T$351,MATCH($A351,Data_Analitik!$AL$2:$AL$351,0)),""))</f>
        <v>0</v>
      </c>
      <c r="I351" s="97">
        <f>IF($A351="","",IFERROR(INDEX(Data_Analitik!$V$2:$V$351,MATCH($A351,Data_Analitik!$AL$2:$AL$351,0)),""))</f>
        <v>0.99999996674610114</v>
      </c>
      <c r="J351" s="97">
        <f>IF($A351="","",IFERROR(INDEX(Data_Analitik!$X$2:$X$351,MATCH($A351,Data_Analitik!$AL$2:$AL$351,0)),""))</f>
        <v>0</v>
      </c>
      <c r="K351" s="97">
        <f>IF($A351="","",IFERROR(INDEX(Data_Analitik!$Z$2:$Z$351,MATCH($A351,Data_Analitik!$AL$2:$AL$351,0)),""))</f>
        <v>0.99999996674610114</v>
      </c>
      <c r="L351" s="33" t="str">
        <f>IF($A351="","",IFERROR(INDEX(Data_Analitik!$AB$2:$AB$351,MATCH($A351,Data_Analitik!$AL$2:$AL$351,0)),""))</f>
        <v>Rusak Berat Dominan</v>
      </c>
    </row>
    <row r="352" spans="1:12" ht="21.95" customHeight="1" x14ac:dyDescent="0.25">
      <c r="A352" s="32">
        <f>IF(ROW()-9&lt;=SUM(Data_Analitik!$AK$2:$AK$351),ROW()-9,"")</f>
        <v>343</v>
      </c>
      <c r="B352" s="99" t="str">
        <f>IF($A352="","",IFERROR(INDEX(Data_Analitik!$B$2:$B$351,MATCH($A352,Data_Analitik!$AL$2:$AL$351,0)),""))</f>
        <v>343</v>
      </c>
      <c r="C352" s="101" t="str">
        <f>IF($A352="","",IFERROR(INDEX(Data_Analitik!$C$2:$C$351,MATCH($A352,Data_Analitik!$AL$2:$AL$351,0)),""))</f>
        <v>Jl. Badaun - Ds. Bjayau Lama</v>
      </c>
      <c r="D352" s="101" t="str">
        <f>IF($A352="","",IFERROR(INDEX(Data_Analitik!$D$2:$D$351,MATCH($A352,Data_Analitik!$AL$2:$AL$351,0)),""))</f>
        <v>Daha Barat</v>
      </c>
      <c r="E352" s="100">
        <f>IF($A352="","",IFERROR(INDEX(Data_Analitik!$E$2:$E$351,MATCH($A352,Data_Analitik!$AL$2:$AL$351,0)),""))</f>
        <v>3.1</v>
      </c>
      <c r="F352" s="97">
        <f>IF($A352="","",IFERROR(INDEX(Data_Analitik!$P$2:$P$351,MATCH($A352,Data_Analitik!$AL$2:$AL$351,0)),""))</f>
        <v>0</v>
      </c>
      <c r="G352" s="97">
        <f>IF($A352="","",IFERROR(INDEX(Data_Analitik!$R$2:$R$351,MATCH($A352,Data_Analitik!$AL$2:$AL$351,0)),""))</f>
        <v>0</v>
      </c>
      <c r="H352" s="97">
        <f>IF($A352="","",IFERROR(INDEX(Data_Analitik!$T$2:$T$351,MATCH($A352,Data_Analitik!$AL$2:$AL$351,0)),""))</f>
        <v>0</v>
      </c>
      <c r="I352" s="97">
        <f>IF($A352="","",IFERROR(INDEX(Data_Analitik!$V$2:$V$351,MATCH($A352,Data_Analitik!$AL$2:$AL$351,0)),""))</f>
        <v>0.99999996923631229</v>
      </c>
      <c r="J352" s="97">
        <f>IF($A352="","",IFERROR(INDEX(Data_Analitik!$X$2:$X$351,MATCH($A352,Data_Analitik!$AL$2:$AL$351,0)),""))</f>
        <v>0</v>
      </c>
      <c r="K352" s="97">
        <f>IF($A352="","",IFERROR(INDEX(Data_Analitik!$Z$2:$Z$351,MATCH($A352,Data_Analitik!$AL$2:$AL$351,0)),""))</f>
        <v>0.99999996923631229</v>
      </c>
      <c r="L352" s="33" t="str">
        <f>IF($A352="","",IFERROR(INDEX(Data_Analitik!$AB$2:$AB$351,MATCH($A352,Data_Analitik!$AL$2:$AL$351,0)),""))</f>
        <v>Rusak Berat Dominan</v>
      </c>
    </row>
    <row r="353" spans="1:12" ht="21.95" customHeight="1" x14ac:dyDescent="0.25">
      <c r="A353" s="32">
        <f>IF(ROW()-9&lt;=SUM(Data_Analitik!$AK$2:$AK$351),ROW()-9,"")</f>
        <v>344</v>
      </c>
      <c r="B353" s="99" t="str">
        <f>IF($A353="","",IFERROR(INDEX(Data_Analitik!$B$2:$B$351,MATCH($A353,Data_Analitik!$AL$2:$AL$351,0)),""))</f>
        <v>344</v>
      </c>
      <c r="C353" s="101" t="str">
        <f>IF($A353="","",IFERROR(INDEX(Data_Analitik!$C$2:$C$351,MATCH($A353,Data_Analitik!$AL$2:$AL$351,0)),""))</f>
        <v>Jl. Goha - Ds. Amawang Kanan</v>
      </c>
      <c r="D353" s="101" t="str">
        <f>IF($A353="","",IFERROR(INDEX(Data_Analitik!$D$2:$D$351,MATCH($A353,Data_Analitik!$AL$2:$AL$351,0)),""))</f>
        <v>Kandangan</v>
      </c>
      <c r="E353" s="100">
        <f>IF($A353="","",IFERROR(INDEX(Data_Analitik!$E$2:$E$351,MATCH($A353,Data_Analitik!$AL$2:$AL$351,0)),""))</f>
        <v>0.7</v>
      </c>
      <c r="F353" s="97">
        <f>IF($A353="","",IFERROR(INDEX(Data_Analitik!$P$2:$P$351,MATCH($A353,Data_Analitik!$AL$2:$AL$351,0)),""))</f>
        <v>0.99999998297010151</v>
      </c>
      <c r="G353" s="97">
        <f>IF($A353="","",IFERROR(INDEX(Data_Analitik!$R$2:$R$351,MATCH($A353,Data_Analitik!$AL$2:$AL$351,0)),""))</f>
        <v>0</v>
      </c>
      <c r="H353" s="97">
        <f>IF($A353="","",IFERROR(INDEX(Data_Analitik!$T$2:$T$351,MATCH($A353,Data_Analitik!$AL$2:$AL$351,0)),""))</f>
        <v>0</v>
      </c>
      <c r="I353" s="97">
        <f>IF($A353="","",IFERROR(INDEX(Data_Analitik!$V$2:$V$351,MATCH($A353,Data_Analitik!$AL$2:$AL$351,0)),""))</f>
        <v>0</v>
      </c>
      <c r="J353" s="97">
        <f>IF($A353="","",IFERROR(INDEX(Data_Analitik!$X$2:$X$351,MATCH($A353,Data_Analitik!$AL$2:$AL$351,0)),""))</f>
        <v>0.99999998297010151</v>
      </c>
      <c r="K353" s="97">
        <f>IF($A353="","",IFERROR(INDEX(Data_Analitik!$Z$2:$Z$351,MATCH($A353,Data_Analitik!$AL$2:$AL$351,0)),""))</f>
        <v>0</v>
      </c>
      <c r="L353" s="33" t="str">
        <f>IF($A353="","",IFERROR(INDEX(Data_Analitik!$AB$2:$AB$351,MATCH($A353,Data_Analitik!$AL$2:$AL$351,0)),""))</f>
        <v>Relatif Mantap</v>
      </c>
    </row>
    <row r="354" spans="1:12" ht="21.95" customHeight="1" x14ac:dyDescent="0.25">
      <c r="A354" s="32">
        <f>IF(ROW()-9&lt;=SUM(Data_Analitik!$AK$2:$AK$351),ROW()-9,"")</f>
        <v>345</v>
      </c>
      <c r="B354" s="99" t="str">
        <f>IF($A354="","",IFERROR(INDEX(Data_Analitik!$B$2:$B$351,MATCH($A354,Data_Analitik!$AL$2:$AL$351,0)),""))</f>
        <v>345</v>
      </c>
      <c r="C354" s="101" t="str">
        <f>IF($A354="","",IFERROR(INDEX(Data_Analitik!$C$2:$C$351,MATCH($A354,Data_Analitik!$AL$2:$AL$351,0)),""))</f>
        <v>Jl. Al - Ikhlas - Ds. Baluti</v>
      </c>
      <c r="D354" s="101" t="str">
        <f>IF($A354="","",IFERROR(INDEX(Data_Analitik!$D$2:$D$351,MATCH($A354,Data_Analitik!$AL$2:$AL$351,0)),""))</f>
        <v>Kandangan</v>
      </c>
      <c r="E354" s="100">
        <f>IF($A354="","",IFERROR(INDEX(Data_Analitik!$E$2:$E$351,MATCH($A354,Data_Analitik!$AL$2:$AL$351,0)),""))</f>
        <v>0.38</v>
      </c>
      <c r="F354" s="97">
        <f>IF($A354="","",IFERROR(INDEX(Data_Analitik!$P$2:$P$351,MATCH($A354,Data_Analitik!$AL$2:$AL$351,0)),""))</f>
        <v>0.99999998745165375</v>
      </c>
      <c r="G354" s="97">
        <f>IF($A354="","",IFERROR(INDEX(Data_Analitik!$R$2:$R$351,MATCH($A354,Data_Analitik!$AL$2:$AL$351,0)),""))</f>
        <v>0</v>
      </c>
      <c r="H354" s="97">
        <f>IF($A354="","",IFERROR(INDEX(Data_Analitik!$T$2:$T$351,MATCH($A354,Data_Analitik!$AL$2:$AL$351,0)),""))</f>
        <v>0</v>
      </c>
      <c r="I354" s="97">
        <f>IF($A354="","",IFERROR(INDEX(Data_Analitik!$V$2:$V$351,MATCH($A354,Data_Analitik!$AL$2:$AL$351,0)),""))</f>
        <v>0</v>
      </c>
      <c r="J354" s="97">
        <f>IF($A354="","",IFERROR(INDEX(Data_Analitik!$X$2:$X$351,MATCH($A354,Data_Analitik!$AL$2:$AL$351,0)),""))</f>
        <v>0.99999998745165375</v>
      </c>
      <c r="K354" s="97">
        <f>IF($A354="","",IFERROR(INDEX(Data_Analitik!$Z$2:$Z$351,MATCH($A354,Data_Analitik!$AL$2:$AL$351,0)),""))</f>
        <v>0</v>
      </c>
      <c r="L354" s="33" t="str">
        <f>IF($A354="","",IFERROR(INDEX(Data_Analitik!$AB$2:$AB$351,MATCH($A354,Data_Analitik!$AL$2:$AL$351,0)),""))</f>
        <v>Relatif Mantap</v>
      </c>
    </row>
    <row r="355" spans="1:12" ht="21.95" customHeight="1" x14ac:dyDescent="0.25">
      <c r="A355" s="32">
        <f>IF(ROW()-9&lt;=SUM(Data_Analitik!$AK$2:$AK$351),ROW()-9,"")</f>
        <v>346</v>
      </c>
      <c r="B355" s="99" t="str">
        <f>IF($A355="","",IFERROR(INDEX(Data_Analitik!$B$2:$B$351,MATCH($A355,Data_Analitik!$AL$2:$AL$351,0)),""))</f>
        <v>346</v>
      </c>
      <c r="C355" s="101" t="str">
        <f>IF($A355="","",IFERROR(INDEX(Data_Analitik!$C$2:$C$351,MATCH($A355,Data_Analitik!$AL$2:$AL$351,0)),""))</f>
        <v>Jl. Angkakai - Ds. Amawang Kiri</v>
      </c>
      <c r="D355" s="101" t="str">
        <f>IF($A355="","",IFERROR(INDEX(Data_Analitik!$D$2:$D$351,MATCH($A355,Data_Analitik!$AL$2:$AL$351,0)),""))</f>
        <v>Kandangan</v>
      </c>
      <c r="E355" s="100">
        <f>IF($A355="","",IFERROR(INDEX(Data_Analitik!$E$2:$E$351,MATCH($A355,Data_Analitik!$AL$2:$AL$351,0)),""))</f>
        <v>0.4</v>
      </c>
      <c r="F355" s="97">
        <f>IF($A355="","",IFERROR(INDEX(Data_Analitik!$P$2:$P$351,MATCH($A355,Data_Analitik!$AL$2:$AL$351,0)),""))</f>
        <v>1.0000000149011612</v>
      </c>
      <c r="G355" s="97">
        <f>IF($A355="","",IFERROR(INDEX(Data_Analitik!$R$2:$R$351,MATCH($A355,Data_Analitik!$AL$2:$AL$351,0)),""))</f>
        <v>0</v>
      </c>
      <c r="H355" s="97">
        <f>IF($A355="","",IFERROR(INDEX(Data_Analitik!$T$2:$T$351,MATCH($A355,Data_Analitik!$AL$2:$AL$351,0)),""))</f>
        <v>0</v>
      </c>
      <c r="I355" s="97">
        <f>IF($A355="","",IFERROR(INDEX(Data_Analitik!$V$2:$V$351,MATCH($A355,Data_Analitik!$AL$2:$AL$351,0)),""))</f>
        <v>0</v>
      </c>
      <c r="J355" s="97">
        <f>IF($A355="","",IFERROR(INDEX(Data_Analitik!$X$2:$X$351,MATCH($A355,Data_Analitik!$AL$2:$AL$351,0)),""))</f>
        <v>1.0000000149011612</v>
      </c>
      <c r="K355" s="97">
        <f>IF($A355="","",IFERROR(INDEX(Data_Analitik!$Z$2:$Z$351,MATCH($A355,Data_Analitik!$AL$2:$AL$351,0)),""))</f>
        <v>0</v>
      </c>
      <c r="L355" s="33" t="str">
        <f>IF($A355="","",IFERROR(INDEX(Data_Analitik!$AB$2:$AB$351,MATCH($A355,Data_Analitik!$AL$2:$AL$351,0)),""))</f>
        <v>Relatif Mantap</v>
      </c>
    </row>
    <row r="356" spans="1:12" ht="21.95" customHeight="1" x14ac:dyDescent="0.25">
      <c r="A356" s="32">
        <f>IF(ROW()-9&lt;=SUM(Data_Analitik!$AK$2:$AK$351),ROW()-9,"")</f>
        <v>347</v>
      </c>
      <c r="B356" s="99" t="str">
        <f>IF($A356="","",IFERROR(INDEX(Data_Analitik!$B$2:$B$351,MATCH($A356,Data_Analitik!$AL$2:$AL$351,0)),""))</f>
        <v>347</v>
      </c>
      <c r="C356" s="101" t="str">
        <f>IF($A356="","",IFERROR(INDEX(Data_Analitik!$C$2:$C$351,MATCH($A356,Data_Analitik!$AL$2:$AL$351,0)),""))</f>
        <v>Jl. Anjiran Rantauan - Ds. Taniran Tengah</v>
      </c>
      <c r="D356" s="101" t="str">
        <f>IF($A356="","",IFERROR(INDEX(Data_Analitik!$D$2:$D$351,MATCH($A356,Data_Analitik!$AL$2:$AL$351,0)),""))</f>
        <v>Angkinang</v>
      </c>
      <c r="E356" s="100">
        <f>IF($A356="","",IFERROR(INDEX(Data_Analitik!$E$2:$E$351,MATCH($A356,Data_Analitik!$AL$2:$AL$351,0)),""))</f>
        <v>1.21</v>
      </c>
      <c r="F356" s="97">
        <f>IF($A356="","",IFERROR(INDEX(Data_Analitik!$P$2:$P$351,MATCH($A356,Data_Analitik!$AL$2:$AL$351,0)),""))</f>
        <v>0</v>
      </c>
      <c r="G356" s="97">
        <f>IF($A356="","",IFERROR(INDEX(Data_Analitik!$R$2:$R$351,MATCH($A356,Data_Analitik!$AL$2:$AL$351,0)),""))</f>
        <v>0</v>
      </c>
      <c r="H356" s="97">
        <f>IF($A356="","",IFERROR(INDEX(Data_Analitik!$T$2:$T$351,MATCH($A356,Data_Analitik!$AL$2:$AL$351,0)),""))</f>
        <v>0</v>
      </c>
      <c r="I356" s="97">
        <f>IF($A356="","",IFERROR(INDEX(Data_Analitik!$V$2:$V$351,MATCH($A356,Data_Analitik!$AL$2:$AL$351,0)),""))</f>
        <v>0.99999998226638676</v>
      </c>
      <c r="J356" s="97">
        <f>IF($A356="","",IFERROR(INDEX(Data_Analitik!$X$2:$X$351,MATCH($A356,Data_Analitik!$AL$2:$AL$351,0)),""))</f>
        <v>0</v>
      </c>
      <c r="K356" s="97">
        <f>IF($A356="","",IFERROR(INDEX(Data_Analitik!$Z$2:$Z$351,MATCH($A356,Data_Analitik!$AL$2:$AL$351,0)),""))</f>
        <v>0.99999998226638676</v>
      </c>
      <c r="L356" s="33" t="str">
        <f>IF($A356="","",IFERROR(INDEX(Data_Analitik!$AB$2:$AB$351,MATCH($A356,Data_Analitik!$AL$2:$AL$351,0)),""))</f>
        <v>Rusak Berat Dominan</v>
      </c>
    </row>
    <row r="357" spans="1:12" ht="21.95" customHeight="1" x14ac:dyDescent="0.25">
      <c r="A357" s="32">
        <f>IF(ROW()-9&lt;=SUM(Data_Analitik!$AK$2:$AK$351),ROW()-9,"")</f>
        <v>348</v>
      </c>
      <c r="B357" s="99" t="str">
        <f>IF($A357="","",IFERROR(INDEX(Data_Analitik!$B$2:$B$351,MATCH($A357,Data_Analitik!$AL$2:$AL$351,0)),""))</f>
        <v>348</v>
      </c>
      <c r="C357" s="101" t="str">
        <f>IF($A357="","",IFERROR(INDEX(Data_Analitik!$C$2:$C$351,MATCH($A357,Data_Analitik!$AL$2:$AL$351,0)),""))</f>
        <v>Jl. Asam Duhat - Ds. Pantai Ulin</v>
      </c>
      <c r="D357" s="101" t="str">
        <f>IF($A357="","",IFERROR(INDEX(Data_Analitik!$D$2:$D$351,MATCH($A357,Data_Analitik!$AL$2:$AL$351,0)),""))</f>
        <v>Simpur</v>
      </c>
      <c r="E357" s="100">
        <f>IF($A357="","",IFERROR(INDEX(Data_Analitik!$E$2:$E$351,MATCH($A357,Data_Analitik!$AL$2:$AL$351,0)),""))</f>
        <v>1.1100000000000001</v>
      </c>
      <c r="F357" s="97">
        <f>IF($A357="","",IFERROR(INDEX(Data_Analitik!$P$2:$P$351,MATCH($A357,Data_Analitik!$AL$2:$AL$351,0)),""))</f>
        <v>0</v>
      </c>
      <c r="G357" s="97">
        <f>IF($A357="","",IFERROR(INDEX(Data_Analitik!$R$2:$R$351,MATCH($A357,Data_Analitik!$AL$2:$AL$351,0)),""))</f>
        <v>0</v>
      </c>
      <c r="H357" s="97">
        <f>IF($A357="","",IFERROR(INDEX(Data_Analitik!$T$2:$T$351,MATCH($A357,Data_Analitik!$AL$2:$AL$351,0)),""))</f>
        <v>0</v>
      </c>
      <c r="I357" s="97">
        <f>IF($A357="","",IFERROR(INDEX(Data_Analitik!$V$2:$V$351,MATCH($A357,Data_Analitik!$AL$2:$AL$351,0)),""))</f>
        <v>1.0000000128874906</v>
      </c>
      <c r="J357" s="97">
        <f>IF($A357="","",IFERROR(INDEX(Data_Analitik!$X$2:$X$351,MATCH($A357,Data_Analitik!$AL$2:$AL$351,0)),""))</f>
        <v>0</v>
      </c>
      <c r="K357" s="97">
        <f>IF($A357="","",IFERROR(INDEX(Data_Analitik!$Z$2:$Z$351,MATCH($A357,Data_Analitik!$AL$2:$AL$351,0)),""))</f>
        <v>1.0000000128874906</v>
      </c>
      <c r="L357" s="33" t="str">
        <f>IF($A357="","",IFERROR(INDEX(Data_Analitik!$AB$2:$AB$351,MATCH($A357,Data_Analitik!$AL$2:$AL$351,0)),""))</f>
        <v>Rusak Berat Dominan</v>
      </c>
    </row>
    <row r="358" spans="1:12" ht="21.95" customHeight="1" x14ac:dyDescent="0.25">
      <c r="A358" s="32">
        <f>IF(ROW()-9&lt;=SUM(Data_Analitik!$AK$2:$AK$351),ROW()-9,"")</f>
        <v>349</v>
      </c>
      <c r="B358" s="99" t="str">
        <f>IF($A358="","",IFERROR(INDEX(Data_Analitik!$B$2:$B$351,MATCH($A358,Data_Analitik!$AL$2:$AL$351,0)),""))</f>
        <v>349</v>
      </c>
      <c r="C358" s="101" t="str">
        <f>IF($A358="","",IFERROR(INDEX(Data_Analitik!$C$2:$C$351,MATCH($A358,Data_Analitik!$AL$2:$AL$351,0)),""))</f>
        <v>Jl. Pertanian - Ds. Wasah Tengah</v>
      </c>
      <c r="D358" s="101" t="str">
        <f>IF($A358="","",IFERROR(INDEX(Data_Analitik!$D$2:$D$351,MATCH($A358,Data_Analitik!$AL$2:$AL$351,0)),""))</f>
        <v>Simpur</v>
      </c>
      <c r="E358" s="100">
        <f>IF($A358="","",IFERROR(INDEX(Data_Analitik!$E$2:$E$351,MATCH($A358,Data_Analitik!$AL$2:$AL$351,0)),""))</f>
        <v>0.36</v>
      </c>
      <c r="F358" s="97">
        <f>IF($A358="","",IFERROR(INDEX(Data_Analitik!$P$2:$P$351,MATCH($A358,Data_Analitik!$AL$2:$AL$351,0)),""))</f>
        <v>0.27777778191698921</v>
      </c>
      <c r="G358" s="97">
        <f>IF($A358="","",IFERROR(INDEX(Data_Analitik!$R$2:$R$351,MATCH($A358,Data_Analitik!$AL$2:$AL$351,0)),""))</f>
        <v>0.722222195731269</v>
      </c>
      <c r="H358" s="97">
        <f>IF($A358="","",IFERROR(INDEX(Data_Analitik!$T$2:$T$351,MATCH($A358,Data_Analitik!$AL$2:$AL$351,0)),""))</f>
        <v>0</v>
      </c>
      <c r="I358" s="97">
        <f>IF($A358="","",IFERROR(INDEX(Data_Analitik!$V$2:$V$351,MATCH($A358,Data_Analitik!$AL$2:$AL$351,0)),""))</f>
        <v>0</v>
      </c>
      <c r="J358" s="97">
        <f>IF($A358="","",IFERROR(INDEX(Data_Analitik!$X$2:$X$351,MATCH($A358,Data_Analitik!$AL$2:$AL$351,0)),""))</f>
        <v>0.99999997764825821</v>
      </c>
      <c r="K358" s="97">
        <f>IF($A358="","",IFERROR(INDEX(Data_Analitik!$Z$2:$Z$351,MATCH($A358,Data_Analitik!$AL$2:$AL$351,0)),""))</f>
        <v>0</v>
      </c>
      <c r="L358" s="33" t="str">
        <f>IF($A358="","",IFERROR(INDEX(Data_Analitik!$AB$2:$AB$351,MATCH($A358,Data_Analitik!$AL$2:$AL$351,0)),""))</f>
        <v>Relatif Mantap</v>
      </c>
    </row>
    <row r="359" spans="1:12" ht="21.95" customHeight="1" x14ac:dyDescent="0.25">
      <c r="A359" s="34">
        <f>IF(ROW()-9&lt;=SUM(Data_Analitik!$AK$2:$AK$351),ROW()-9,"")</f>
        <v>350</v>
      </c>
      <c r="B359" s="35" t="str">
        <f>IF($A359="","",IFERROR(INDEX(Data_Analitik!$B$2:$B$351,MATCH($A359,Data_Analitik!$AL$2:$AL$351,0)),""))</f>
        <v>350</v>
      </c>
      <c r="C359" s="36" t="str">
        <f>IF($A359="","",IFERROR(INDEX(Data_Analitik!$C$2:$C$351,MATCH($A359,Data_Analitik!$AL$2:$AL$351,0)),""))</f>
        <v>Jl. Keramat Sakti - Ds. Tebing Tinggi</v>
      </c>
      <c r="D359" s="36" t="str">
        <f>IF($A359="","",IFERROR(INDEX(Data_Analitik!$D$2:$D$351,MATCH($A359,Data_Analitik!$AL$2:$AL$351,0)),""))</f>
        <v>Simpur</v>
      </c>
      <c r="E359" s="37">
        <f>IF($A359="","",IFERROR(INDEX(Data_Analitik!$E$2:$E$351,MATCH($A359,Data_Analitik!$AL$2:$AL$351,0)),""))</f>
        <v>0.69</v>
      </c>
      <c r="F359" s="38">
        <f>IF($A359="","",IFERROR(INDEX(Data_Analitik!$P$2:$P$351,MATCH($A359,Data_Analitik!$AL$2:$AL$351,0)),""))</f>
        <v>0.28985507678294531</v>
      </c>
      <c r="G359" s="38">
        <f>IF($A359="","",IFERROR(INDEX(Data_Analitik!$R$2:$R$351,MATCH($A359,Data_Analitik!$AL$2:$AL$351,0)),""))</f>
        <v>0.57971015356589062</v>
      </c>
      <c r="H359" s="38">
        <f>IF($A359="","",IFERROR(INDEX(Data_Analitik!$T$2:$T$351,MATCH($A359,Data_Analitik!$AL$2:$AL$351,0)),""))</f>
        <v>0</v>
      </c>
      <c r="I359" s="38">
        <f>IF($A359="","",IFERROR(INDEX(Data_Analitik!$V$2:$V$351,MATCH($A359,Data_Analitik!$AL$2:$AL$351,0)),""))</f>
        <v>0.13043478779170825</v>
      </c>
      <c r="J359" s="38">
        <f>IF($A359="","",IFERROR(INDEX(Data_Analitik!$X$2:$X$351,MATCH($A359,Data_Analitik!$AL$2:$AL$351,0)),""))</f>
        <v>0.86956523034883593</v>
      </c>
      <c r="K359" s="38">
        <f>IF($A359="","",IFERROR(INDEX(Data_Analitik!$Z$2:$Z$351,MATCH($A359,Data_Analitik!$AL$2:$AL$351,0)),""))</f>
        <v>0.13043478779170825</v>
      </c>
      <c r="L359" s="39" t="str">
        <f>IF($A359="","",IFERROR(INDEX(Data_Analitik!$AB$2:$AB$351,MATCH($A359,Data_Analitik!$AL$2:$AL$351,0)),""))</f>
        <v>Relatif Mantap</v>
      </c>
    </row>
  </sheetData>
  <mergeCells count="8">
    <mergeCell ref="A1:L2"/>
    <mergeCell ref="A3:L3"/>
    <mergeCell ref="D4:F4"/>
    <mergeCell ref="D5:F6"/>
    <mergeCell ref="G4:I4"/>
    <mergeCell ref="G5:I6"/>
    <mergeCell ref="J4:L4"/>
    <mergeCell ref="J5:L6"/>
  </mergeCells>
  <conditionalFormatting sqref="F10:K359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Panduan!$J$2:$J$13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Referensi</vt:lpstr>
      <vt:lpstr>Data_Analitik</vt:lpstr>
      <vt:lpstr>Dashboard</vt:lpstr>
      <vt:lpstr>Panduan</vt:lpstr>
      <vt:lpstr>Ruas_Per_Kecamatan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2026-07-16T03:21:19Z</dcterms:created>
  <dcterms:modified xsi:type="dcterms:W3CDTF">2026-07-16T03:21:19Z</dcterms:modified>
</cp:coreProperties>
</file>